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INSTRUÇÕES" sheetId="1" state="visible" r:id="rId3"/>
    <sheet name="PAINEL" sheetId="2" state="visible" r:id="rId4"/>
    <sheet name="CONSULTA_UNIDADE" sheetId="3" state="visible" r:id="rId5"/>
    <sheet name="CHAMADOS_GOP" sheetId="4" state="visible" r:id="rId6"/>
    <sheet name="VALIDACAO_GOP" sheetId="5" state="visible" r:id="rId7"/>
    <sheet name="VISAO_CTIN" sheetId="6" state="visible" r:id="rId8"/>
    <sheet name="VISAO_CTO" sheetId="7" state="visible" r:id="rId9"/>
    <sheet name="HISTORICO_RELEVANTE" sheetId="8" state="visible" r:id="rId10"/>
    <sheet name="MODELOS_EMAIL" sheetId="9" state="visible" r:id="rId11"/>
    <sheet name="ENTRADA_UNIDADES" sheetId="10" state="visible" r:id="rId12"/>
    <sheet name="ROTEIRO_FORMS" sheetId="11" state="visible" r:id="rId13"/>
    <sheet name="CADASTRO_VIVO_3CRE" sheetId="12" state="visible" r:id="rId14"/>
    <sheet name="LISTAS" sheetId="13" state="hidden" r:id="rId15"/>
  </sheets>
  <definedNames>
    <definedName function="false" hidden="false" localSheetId="11" name="_xlnm.Print_Area" vbProcedure="false">CADASTRO_VIVO_3CRE!$A$1:$Q$150</definedName>
    <definedName function="false" hidden="true" localSheetId="11" name="_xlnm._FilterDatabase" vbProcedure="false">CADASTRO_VIVO_3CRE!$A$1:$Q$136</definedName>
    <definedName function="false" hidden="false" localSheetId="3" name="_xlnm.Print_Area" vbProcedure="false">CHAMADOS_GOP!$A$1:$Z$500</definedName>
    <definedName function="false" hidden="true" localSheetId="3" name="_xlnm._FilterDatabase" vbProcedure="false">CHAMADOS_GOP!$A$1:$Z$1000</definedName>
    <definedName function="false" hidden="false" localSheetId="2" name="_xlnm.Print_Area" vbProcedure="false">CONSULTA_UNIDADE!$A$1:$I$80</definedName>
    <definedName function="false" hidden="false" localSheetId="9" name="_xlnm.Print_Area" vbProcedure="false">ENTRADA_UNIDADES!$A$1:$Z$200</definedName>
    <definedName function="false" hidden="false" localSheetId="7" name="_xlnm.Print_Area" vbProcedure="false">HISTORICO_RELEVANTE!$A$1:$I$500</definedName>
    <definedName function="false" hidden="true" localSheetId="7" name="_xlnm._FilterDatabase" vbProcedure="false">HISTORICO_RELEVANTE!$A$1:$I$1000</definedName>
    <definedName function="false" hidden="false" localSheetId="0" name="_xlnm.Print_Area" vbProcedure="false">INSTRUÇÕES!$A$1:$F$50</definedName>
    <definedName function="false" hidden="false" localSheetId="8" name="_xlnm.Print_Area" vbProcedure="false">MODELOS_EMAIL!$A$1:$E$20</definedName>
    <definedName function="false" hidden="false" localSheetId="1" name="_xlnm.Print_Area" vbProcedure="false">PAINEL!$A$1:$K$50</definedName>
    <definedName function="false" hidden="false" localSheetId="10" name="_xlnm.Print_Area" vbProcedure="false">ROTEIRO_FORMS!$A$1:$E$50</definedName>
    <definedName function="false" hidden="false" localSheetId="4" name="_xlnm.Print_Area" vbProcedure="false">VALIDACAO_GOP!$A$1:$J$50</definedName>
    <definedName function="false" hidden="false" localSheetId="5" name="_xlnm.Print_Area" vbProcedure="false">VISAO_CTIN!$A$1:$J$50</definedName>
    <definedName function="false" hidden="false" localSheetId="6" name="_xlnm.Print_Area" vbProcedure="false">VISAO_CTO!$A$1:$J$50</definedName>
    <definedName function="false" hidden="false" name="lista_aptidao" vbProcedure="false">LISTAS!$H$2:$H$6</definedName>
    <definedName function="false" hidden="false" name="lista_demandas" vbProcedure="false">LISTAS!$C$2:$C$7</definedName>
    <definedName function="false" hidden="false" name="lista_prioridade" vbProcedure="false">LISTAS!$E$2:$E$5</definedName>
    <definedName function="false" hidden="false" name="lista_setores" vbProcedure="false">LISTAS!$B$2:$B$13</definedName>
    <definedName function="false" hidden="false" name="lista_sim_nao" vbProcedure="false">LISTAS!$G$2:$G$5</definedName>
    <definedName function="false" hidden="false" name="lista_status" vbProcedure="false">LISTAS!$A$2:$A$30</definedName>
    <definedName function="false" hidden="false" name="lista_tipo_aparelho" vbProcedure="false">LISTAS!$F$2:$F$6</definedName>
    <definedName function="false" hidden="false" name="lista_validacao" vbProcedure="false">LISTAS!$D$2:$D$5</definedName>
    <definedName function="false" hidden="false" name="nomes_escolas" vbProcedure="false">CADASTRO_VIVO_3CRE!$E$2:$E$136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<sst xmlns="http://schemas.openxmlformats.org/spreadsheetml/2006/main" count="2022" uniqueCount="909">
  <si>
    <t xml:space="preserve">PAINEL EXECUTIVO</t>
  </si>
  <si>
    <t xml:space="preserve">EM ABERTO</t>
  </si>
  <si>
    <t xml:space="preserve">CRÍTICOS</t>
  </si>
  <si>
    <t xml:space="preserve">ATENÇÃO</t>
  </si>
  <si>
    <t xml:space="preserve">CONCLUÍDOS</t>
  </si>
  <si>
    <t xml:space="preserve">TOTAL</t>
  </si>
  <si>
    <t xml:space="preserve">Estado consolidado do conjunto de chamados ativos — atualiza automaticamente</t>
  </si>
  <si>
    <t xml:space="preserve">CONTROLE VIVO DE CLIMATIZAÇÃO — GUIA DE USO</t>
  </si>
  <si>
    <t xml:space="preserve">GOP / 3ª CRE — SME-RJ | Conforme POP nº 002-25</t>
  </si>
  <si>
    <t xml:space="preserve">PROPÓSITO</t>
  </si>
  <si>
    <t xml:space="preserve">Centralizar o registro, validação e acompanhamento das demandas de climatização das unidades escolares da 3ª CRE. O arquivo serve à GOP como instrumento de gestão tempestiva, permitindo informar setores parceiros (CTO, CTIN, GIN, CPS, GAD) sobre o estado de cada caso em qualquer momento, sem retrabalho de garimpar e-mails ou planilhas paralelas.</t>
  </si>
  <si>
    <t xml:space="preserve">FLUXO DE USO — ORDEM RECOMENDADA</t>
  </si>
  <si>
    <t xml:space="preserve">1) A unidade escolar responde ao Microsoft Forms com a demanda (questões em ROTEIRO_FORMS).
2) A resposta cai automaticamente na aba ENTRADA_UNIDADES.
3) A GOP analisa a entrada e transfere para CHAMADOS_GOP, atribuindo ID, status e responsável.
4) A GOP usa VALIDACAO_GOP para acompanhar o que precisa ser validado tecnicamente.
5) Quando o caso passa para a CTO, ele aparece em VISAO_CTO com prioridade.
6) Cada marco importante é registrado em HISTORICO_RELEVANTE.
7) PAINEL e CONSULTA_UNIDADE são para consulta e prestação de contas.</t>
  </si>
  <si>
    <t xml:space="preserve">AS ABAS, UMA A UMA</t>
  </si>
  <si>
    <t xml:space="preserve">ROTEIRO_FORMS — questões prontas para criar/atualizar o Microsoft Forms enviado às unidades.
ENTRADA_UNIDADES — recebe as respostas brutas do Forms (cópia automática ou manual).
CHAMADOS_GOP — base oficial de chamados. Cada linha é uma demanda em andamento.
VALIDACAO_GOP — visão filtrada dos chamados que dependem de validação técnica.
VISAO_CTO — visão filtrada do que precisa ser tratado pela CTO.
PAINEL — indicadores consolidados do conjunto.
CONSULTA_UNIDADE — pesquisa rápida por escola, com tudo o que existe sobre ela.
HISTORICO_RELEVANTE — linha do tempo dos marcos de cada chamado.
CADASTRO_VIVO_3CRE — base cadastral viva das 135 unidades, com inventário e validação.
LISTAS — domínios fechados (status, setores, demandas) para validação automática.</t>
  </si>
  <si>
    <t xml:space="preserve">REGRAS DE PREENCHIMENTO</t>
  </si>
  <si>
    <t xml:space="preserve">• Não digite valores em campos com setinha — use a lista suspensa. Padroniza vocabulário.
• IDs de chamado (formato GOP-AR-AAAA-NNNN) são fixos. Não os altere depois de atribuídos.
• Datas sempre no formato dd/mm/aaaa.
• Sempre que houver movimentação, atualize a coluna DATA ÚLTIMA ATUALIZAÇÃO em CHAMADOS_GOP — ela alimenta o alerta de dias sem movimento.
• Em HISTORICO_RELEVANTE, registre apenas marcos (vistoria realizada, orçamento aprovado, aparelho requisitado, instalação concluída). Não registre todo e-mail trocado.</t>
  </si>
  <si>
    <t xml:space="preserve">CADASTRO VIVO — COMO MANTER VIVO</t>
  </si>
  <si>
    <t xml:space="preserve">O CADASTRO_VIVO_3CRE foi populado com os dados da consultoria jun/jul 2025 (134 escolas com inventário). As colunas "Confirmado pela Unidade?" e "Validado pela GOP?" estão como Não para todas — esse é o estado inicial, indicando que os dados precisam ser revalidados.
Sempre que uma unidade confirmar seu inventário (via Forms ou contato direto), marque "Confirmado pela Unidade?" como Sim e registre a data. Quando a GOP validar, marque "Validado pela GOP?" como Sim. A coluna AÇÃO SUGERIDA atualiza-se automaticamente conforme essas marcações.</t>
  </si>
  <si>
    <t xml:space="preserve">ALERTAS VISUAIS AUTOMÁTICOS</t>
  </si>
  <si>
    <t xml:space="preserve">Em CHAMADOS_GOP, a coluna DIAS SEM ATUALIZAÇÃO calcula sozinha; o alerta SLA classifica em OK (até 15 dias), ATENÇÃO (15-30 dias) ou CRÍTICO (&gt;30 dias). Chamados Concluídos ou Encerrados saem dos alertas.
Em CADASTRO_VIVO_3CRE, a coluna AÇÃO SUGERIDA fica em vermelho quando falta confirmação da unidade, amarelo quando há necessidade de instalação e verde quando o inventário está em dia.</t>
  </si>
  <si>
    <t xml:space="preserve">LIMITES DESTE ARQUIVO</t>
  </si>
  <si>
    <t xml:space="preserve">Este arquivo é instrumento de gestão interna da GOP. Não substitui os registros oficiais nos sistemas corporativos da SME nem dispensa o envio dos e-mails formais previstos no POP-002/25. Funciona como camada de controle, memória operacional e prestação de contas do setor.</t>
  </si>
  <si>
    <t xml:space="preserve">CONTROLE VIVO DE CLIMATIZAÇÃO — 3ª CRE/GOP</t>
  </si>
  <si>
    <t xml:space="preserve">Fluxo de uso: unidade informa → GOP valida → chamado é acompanhado → CTO recebe visão limpa quando necessário</t>
  </si>
  <si>
    <t xml:space="preserve">INDICADOR</t>
  </si>
  <si>
    <t xml:space="preserve">Nº</t>
  </si>
  <si>
    <t xml:space="preserve">O que significa</t>
  </si>
  <si>
    <t xml:space="preserve">ETAPA DO FLUXO (POP)</t>
  </si>
  <si>
    <t xml:space="preserve">Qtd</t>
  </si>
  <si>
    <t xml:space="preserve">ENVOLVIMENTOS</t>
  </si>
  <si>
    <t xml:space="preserve">Chamados registrados</t>
  </si>
  <si>
    <t xml:space="preserve">Total de chamados cadastrados.</t>
  </si>
  <si>
    <t xml:space="preserve">01 - Recebido da unidade</t>
  </si>
  <si>
    <t xml:space="preserve">GOP</t>
  </si>
  <si>
    <t xml:space="preserve">Chamados abertos</t>
  </si>
  <si>
    <t xml:space="preserve">Demandas em acompanhamento.</t>
  </si>
  <si>
    <t xml:space="preserve">02 - Em triagem pela GOP</t>
  </si>
  <si>
    <t xml:space="preserve">CPS</t>
  </si>
  <si>
    <t xml:space="preserve">Pendentes de validação</t>
  </si>
  <si>
    <t xml:space="preserve">Casos a conferir pela GOP.</t>
  </si>
  <si>
    <t xml:space="preserve">03 - Vistoria solicitada à CPS</t>
  </si>
  <si>
    <t xml:space="preserve">GIN</t>
  </si>
  <si>
    <t xml:space="preserve">Aguardando CTO</t>
  </si>
  <si>
    <t xml:space="preserve">Chamados sob responsabilidade atual da CTO.</t>
  </si>
  <si>
    <t xml:space="preserve">04 - Aguardando agendamento de vistoria</t>
  </si>
  <si>
    <t xml:space="preserve">GAD</t>
  </si>
  <si>
    <t xml:space="preserve">Parados há mais de 7 dias</t>
  </si>
  <si>
    <t xml:space="preserve">Demandas para cobrança/revisão.</t>
  </si>
  <si>
    <t xml:space="preserve">05 - Vistoria agendada</t>
  </si>
  <si>
    <t xml:space="preserve">CTO</t>
  </si>
  <si>
    <t xml:space="preserve">Prioridade alta/crítica</t>
  </si>
  <si>
    <t xml:space="preserve">Casos preferenciais.</t>
  </si>
  <si>
    <t xml:space="preserve">06 - Aguardando relatório técnico</t>
  </si>
  <si>
    <t xml:space="preserve">CTIN</t>
  </si>
  <si>
    <t xml:space="preserve">07 - Relatório recebido — unidade apta</t>
  </si>
  <si>
    <t xml:space="preserve">COMP</t>
  </si>
  <si>
    <t xml:space="preserve">08 - Relatório recebido — unidade não apta</t>
  </si>
  <si>
    <t xml:space="preserve">GMP</t>
  </si>
  <si>
    <t xml:space="preserve">09 - Aguardando orçamentos da unidade</t>
  </si>
  <si>
    <t xml:space="preserve">Unidade Escolar</t>
  </si>
  <si>
    <t xml:space="preserve">10 - Orçamentos recebidos</t>
  </si>
  <si>
    <t xml:space="preserve">11 - Orçamentos em análise técnica</t>
  </si>
  <si>
    <t xml:space="preserve">Um chamado pode envolver mais de um setor; a soma pode exceder o total de chamados.</t>
  </si>
  <si>
    <t xml:space="preserve">12 - Orçamento aprovado</t>
  </si>
  <si>
    <t xml:space="preserve">13 - Orçamento reprovado</t>
  </si>
  <si>
    <t xml:space="preserve">14 - Verificando recurso com GAD</t>
  </si>
  <si>
    <t xml:space="preserve">15 - Aguardando remanejamento/nova concessão</t>
  </si>
  <si>
    <t xml:space="preserve">16 - Serviço contratado pela unidade</t>
  </si>
  <si>
    <t xml:space="preserve">17 - Serviço iniciado</t>
  </si>
  <si>
    <t xml:space="preserve">18 - Serviço concluído pela unidade</t>
  </si>
  <si>
    <t xml:space="preserve">19 - Aguardando vistoria de retorno</t>
  </si>
  <si>
    <t xml:space="preserve">20 - Serviço aprovado</t>
  </si>
  <si>
    <t xml:space="preserve">21 - Serviço reprovado — aguardando correção</t>
  </si>
  <si>
    <t xml:space="preserve">22 - Instalação/substituição autorizada</t>
  </si>
  <si>
    <t xml:space="preserve">23 - CTO comunicada</t>
  </si>
  <si>
    <t xml:space="preserve">24 - Aguardando disponibilidade em estoque</t>
  </si>
  <si>
    <t xml:space="preserve">25 - Aparelho requisitado</t>
  </si>
  <si>
    <t xml:space="preserve">26 - Entrega em acompanhamento</t>
  </si>
  <si>
    <t xml:space="preserve">27 - Instalação concluída</t>
  </si>
  <si>
    <t xml:space="preserve">28 - Encerrado</t>
  </si>
  <si>
    <t xml:space="preserve">29 - Suspenso/pendente de decisão superior</t>
  </si>
  <si>
    <t xml:space="preserve">CHAMADOS MAIS ANTIGOS SEM ATUALIZAÇÃO — AÇÃO IMEDIATA</t>
  </si>
  <si>
    <t xml:space="preserve">ID Chamado</t>
  </si>
  <si>
    <t xml:space="preserve">Status Atual</t>
  </si>
  <si>
    <t xml:space="preserve">Setor</t>
  </si>
  <si>
    <t xml:space="preserve">Dias s/Atual.</t>
  </si>
  <si>
    <t xml:space="preserve">CONSULTA POR UNIDADE ESCOLAR</t>
  </si>
  <si>
    <t xml:space="preserve">Selecione uma escola no campo de pesquisa para ver instantaneamente a ficha técnica, chamados e histórico.</t>
  </si>
  <si>
    <t xml:space="preserve">Unidade escolar</t>
  </si>
  <si>
    <t xml:space="preserve">Selecione a Unidade...</t>
  </si>
  <si>
    <t xml:space="preserve">Designação</t>
  </si>
  <si>
    <t xml:space="preserve">Endereço</t>
  </si>
  <si>
    <t xml:space="preserve">Bairro</t>
  </si>
  <si>
    <t xml:space="preserve">RESUMO DA UNIDADE</t>
  </si>
  <si>
    <t xml:space="preserve">Total de chamados</t>
  </si>
  <si>
    <t xml:space="preserve">Chamados em aberto</t>
  </si>
  <si>
    <t xml:space="preserve">Concluídos</t>
  </si>
  <si>
    <t xml:space="preserve">Críticos / atenção</t>
  </si>
  <si>
    <t xml:space="preserve">Última atualização</t>
  </si>
  <si>
    <t xml:space="preserve">Setor responsável atual</t>
  </si>
  <si>
    <t xml:space="preserve">CHAMADOS DA UNIDADE</t>
  </si>
  <si>
    <t xml:space="preserve">Data Abertura</t>
  </si>
  <si>
    <t xml:space="preserve">Tipo de Demanda</t>
  </si>
  <si>
    <t xml:space="preserve">Local / Sala</t>
  </si>
  <si>
    <t xml:space="preserve">Status</t>
  </si>
  <si>
    <t xml:space="preserve">Próxima Ação</t>
  </si>
  <si>
    <t xml:space="preserve">Dias s/ Atualização</t>
  </si>
  <si>
    <t xml:space="preserve">Alerta SLA</t>
  </si>
  <si>
    <t xml:space="preserve">HISTÓRICO RELEVANTE DA UNIDADE</t>
  </si>
  <si>
    <t xml:space="preserve">ID Evento</t>
  </si>
  <si>
    <t xml:space="preserve">Data do Evento</t>
  </si>
  <si>
    <t xml:space="preserve">Marco Relevante</t>
  </si>
  <si>
    <t xml:space="preserve">Setor Responsável</t>
  </si>
  <si>
    <t xml:space="preserve">Registrado Por</t>
  </si>
  <si>
    <t xml:space="preserve">Observação</t>
  </si>
  <si>
    <t xml:space="preserve">ID RESPOSTA FORMS</t>
  </si>
  <si>
    <t xml:space="preserve">ID CHAMADO</t>
  </si>
  <si>
    <t xml:space="preserve">DESIGNAÇÃO</t>
  </si>
  <si>
    <t xml:space="preserve">UNIDADE ESCOLAR</t>
  </si>
  <si>
    <t xml:space="preserve">LOCAL DA DEMANDA</t>
  </si>
  <si>
    <t xml:space="preserve">TIPO DE DEMANDA</t>
  </si>
  <si>
    <t xml:space="preserve">TIPO DE APARELHO</t>
  </si>
  <si>
    <t xml:space="preserve">BTU EXISTENTE</t>
  </si>
  <si>
    <t xml:space="preserve">BTU PRETENDIDO</t>
  </si>
  <si>
    <t xml:space="preserve">1º OU 2º APARELHO DO LOCAL</t>
  </si>
  <si>
    <t xml:space="preserve">QTD SPLIT SOLICITADO</t>
  </si>
  <si>
    <t xml:space="preserve">QTD JANELA SOLICITADO</t>
  </si>
  <si>
    <t xml:space="preserve">SALAS SEM CLIMATIZAÇÃO INFORMADAS</t>
  </si>
  <si>
    <t xml:space="preserve">RESULTADO/APTIDÃO</t>
  </si>
  <si>
    <t xml:space="preserve">STATUS ATUAL</t>
  </si>
  <si>
    <t xml:space="preserve">SETOR RESPONSÁVEL ATUAL</t>
  </si>
  <si>
    <t xml:space="preserve">PRÓXIMA PROVIDÊNCIA</t>
  </si>
  <si>
    <t xml:space="preserve">DATA ÚLTIMA ATUALIZAÇÃO</t>
  </si>
  <si>
    <t xml:space="preserve">DIAS SEM ATUALIZAÇÃO</t>
  </si>
  <si>
    <t xml:space="preserve">INFORMAÇÃO VALIDADA?</t>
  </si>
  <si>
    <t xml:space="preserve">PRIORIDADE</t>
  </si>
  <si>
    <t xml:space="preserve">OBSERVAÇÕES</t>
  </si>
  <si>
    <t xml:space="preserve">DATA DE ABERTURA</t>
  </si>
  <si>
    <t xml:space="preserve">DIAS EM ABERTO</t>
  </si>
  <si>
    <t xml:space="preserve">ALERTA SLA</t>
  </si>
  <si>
    <t xml:space="preserve">ALERTA ANTIGUIDADE</t>
  </si>
  <si>
    <t xml:space="preserve">ord_val</t>
  </si>
  <si>
    <t xml:space="preserve">ord_ctin</t>
  </si>
  <si>
    <t xml:space="preserve">ord_cto</t>
  </si>
  <si>
    <t xml:space="preserve">ord_cons</t>
  </si>
  <si>
    <t xml:space="preserve">score_antig</t>
  </si>
  <si>
    <t xml:space="preserve">rank_antig</t>
  </si>
  <si>
    <t xml:space="preserve">GOP-AR-2026-0001</t>
  </si>
  <si>
    <t xml:space="preserve">Escola Municipal Professor Visitação</t>
  </si>
  <si>
    <t xml:space="preserve">6, 8, 9, SR</t>
  </si>
  <si>
    <t xml:space="preserve">Substituição/Instalação de Aparelho</t>
  </si>
  <si>
    <t xml:space="preserve">Split e janela</t>
  </si>
  <si>
    <t xml:space="preserve">Não apta</t>
  </si>
  <si>
    <t xml:space="preserve">GIN / Unidade Escolar</t>
  </si>
  <si>
    <t xml:space="preserve">Confirmar recurso, data de início e previsão de conclusão das adequações.</t>
  </si>
  <si>
    <t xml:space="preserve">Pendente de Vistoria</t>
  </si>
  <si>
    <t xml:space="preserve">Média</t>
  </si>
  <si>
    <t xml:space="preserve">Status original: CTIN aprovou os orçamentos | Observação original: Aguardando data de início das adequações elétricas | Registro GOP: Previsão de  conclusão elétrica 16/06</t>
  </si>
  <si>
    <t xml:space="preserve">GOP-AR-2026-0002</t>
  </si>
  <si>
    <t xml:space="preserve">Escola Municipal Bento Ribeiro</t>
  </si>
  <si>
    <t xml:space="preserve">A confirmar pela unidade</t>
  </si>
  <si>
    <t xml:space="preserve">Unidade Escolar / GIN</t>
  </si>
  <si>
    <t xml:space="preserve">Cobrar/receber orçamentos e conferir se contemplam o escopo técnico.</t>
  </si>
  <si>
    <t xml:space="preserve">Status original: Aguardando novos orçamentos para adequação | Observação original: E/CTIN sinalizou que os orçamentos enviados não atendem - 14/04/2026 | Registro GOP: Visita da CTIN não identificou demanda por aprelhos / Diretor solicita aparel...</t>
  </si>
  <si>
    <t xml:space="preserve">GOP-AR-2026-0003</t>
  </si>
  <si>
    <t xml:space="preserve">Espaço de Desenvolvimento Infantil Tânia Cristina Moreira</t>
  </si>
  <si>
    <t xml:space="preserve">Salas: 1, 2, 3, 4, 5, 6, 7 e 8</t>
  </si>
  <si>
    <t xml:space="preserve">Janela</t>
  </si>
  <si>
    <t xml:space="preserve">Apta</t>
  </si>
  <si>
    <t xml:space="preserve">Confirmar encerramento e atualizar cadastro vivo da unidade.</t>
  </si>
  <si>
    <t xml:space="preserve">Sim</t>
  </si>
  <si>
    <t xml:space="preserve">Status original: Serviços elétricos finalizados | Observação original: E/CTIN disse que agendaria vistoria - 20/04/2026 | Registro GOP: Instalados</t>
  </si>
  <si>
    <t xml:space="preserve">GOP-AR-2026-0004</t>
  </si>
  <si>
    <t xml:space="preserve">CIEP Procópio Ferreira</t>
  </si>
  <si>
    <t xml:space="preserve">Salas 5, 12, 17 e 20 1 e 18</t>
  </si>
  <si>
    <t xml:space="preserve">Acompanhar execução e registrar data de conclusão.</t>
  </si>
  <si>
    <t xml:space="preserve">Status original: CTIN aprovou os orçamentos | Observação original: Aguardando data de início das adequações elétricas | Registro GOP: Sala de aula sem climatização. Obra iniciada em 13/05 previsão de término 30/05</t>
  </si>
  <si>
    <t xml:space="preserve">GOP-AR-2026-0005</t>
  </si>
  <si>
    <t xml:space="preserve">Creche Municipal Geralda de Jesus Aleixo</t>
  </si>
  <si>
    <t xml:space="preserve">Berçário</t>
  </si>
  <si>
    <t xml:space="preserve">Split</t>
  </si>
  <si>
    <t xml:space="preserve">Apta parcialmente</t>
  </si>
  <si>
    <t xml:space="preserve">Status original: Orçamentos aprovados pela E/CTIN em 17/04/2026 | Observação original: Aguardando previsão de término das adequações elétricas | Registro GOP: Instalado  aparelho berçário. Não apta para o 2º aparelho</t>
  </si>
  <si>
    <t xml:space="preserve">GOP-AR-2026-0006</t>
  </si>
  <si>
    <t xml:space="preserve">Espaço de Desenvolvimento Infantil Padre Nelson Carlos Del Mônaco</t>
  </si>
  <si>
    <t xml:space="preserve">salas 7 e 8</t>
  </si>
  <si>
    <t xml:space="preserve">Status original: Orçamentos aprovados pela E/CTIN em 17/04/2026 | Observação original: Aguardando previsão de término das adequações elétricas | Registro GOP: Falta enviar 02 orçamento de elétrica</t>
  </si>
  <si>
    <t xml:space="preserve">GOP-AR-2026-0007</t>
  </si>
  <si>
    <t xml:space="preserve">Espaço de Desenvolvimento Infantil Educandário de Santa Cruz</t>
  </si>
  <si>
    <t xml:space="preserve">_</t>
  </si>
  <si>
    <t xml:space="preserve">Status original: Orçamentos aprovados pela E/CTIN em 17/04/2026 | Observação original: Aguardando previsão de término das adequações elétricas | Registro GOP: Não tem demanda por aprelho, apenas adequações eléticas. Obra iniciada em  05...</t>
  </si>
  <si>
    <t xml:space="preserve">GOP-AR-2026-0008</t>
  </si>
  <si>
    <t xml:space="preserve">Escola Municipal Nereu Sampaio</t>
  </si>
  <si>
    <t xml:space="preserve">Status original: GIN informou que adequações elétricas foram iniciadas em 07/04/2026 | Observação original: Aguardando término das adequações elétricas - previsão 28/04/2026 | Registro GOP: Solicitar nova vistoria para inclusão de aparelhos nas salas sem climatização</t>
  </si>
  <si>
    <t xml:space="preserve">GOP-AR-2026-0009</t>
  </si>
  <si>
    <t xml:space="preserve">Escola Municipal José Veríssimo</t>
  </si>
  <si>
    <t xml:space="preserve">Salas 01 a 05,08, 09,10,17, 21 e 24</t>
  </si>
  <si>
    <t xml:space="preserve">Status original: Aguardando orçamentos para adequação | Observação original: Última cobrança da E/CTO - 20/04/2026 | Registro GOP: Aguardando data do início da obra</t>
  </si>
  <si>
    <t xml:space="preserve">GOP-AR-2026-0010</t>
  </si>
  <si>
    <t xml:space="preserve">Escola Municipal Professor Augusto Paulino Filho</t>
  </si>
  <si>
    <t xml:space="preserve">salas 02,10, 15 e 17</t>
  </si>
  <si>
    <t xml:space="preserve">Status original: Aguardando orçamentos para adequação | Observação original: Última cobrança da E/CTO - 20/04/2026 | Registro GOP: Sala de aula sem climatização Orçamentos  aprovados pela CPS- aguardando a da...</t>
  </si>
  <si>
    <t xml:space="preserve">GOP-AR-2026-0011</t>
  </si>
  <si>
    <t xml:space="preserve">Escola Municipal Isabel Mendes</t>
  </si>
  <si>
    <t xml:space="preserve">salas 1,2,3,4,5,6,7,9,11 e recursos</t>
  </si>
  <si>
    <t xml:space="preserve">Status original: Aguardando orçamentos para adequação | Observação original: Última cobrança da E/CTO - 20/04/2026 | Registro GOP: Previsão de término da elétrica 15/06</t>
  </si>
  <si>
    <t xml:space="preserve">GOP-AR-2026-0012</t>
  </si>
  <si>
    <t xml:space="preserve">Escola Municipal Eurico Vilela</t>
  </si>
  <si>
    <t xml:space="preserve">sala 2 , 5, 10, 9 e 12</t>
  </si>
  <si>
    <t xml:space="preserve">Status original: Aguardando orçamentos para adequação | Observação original: Última cobrança da E/CTO - 20/04/2026 | Registro GOP: Valor imputado no cartão SDP.</t>
  </si>
  <si>
    <t xml:space="preserve">GOP-AR-2026-0013</t>
  </si>
  <si>
    <t xml:space="preserve">Escola Municipal Brigadeiro Faria Lima</t>
  </si>
  <si>
    <t xml:space="preserve">Salas 7 e 12</t>
  </si>
  <si>
    <t xml:space="preserve">Status original: Providenciando instalação dos aparelhos enviados | Observação original: Aparelhos requisitados em 30/03/2026 | Registro GOP: Aparelhos instalados</t>
  </si>
  <si>
    <t xml:space="preserve">GOP-AR-2026-0014</t>
  </si>
  <si>
    <t xml:space="preserve">Escola Municipal Tobias Barreto</t>
  </si>
  <si>
    <t xml:space="preserve">Status original: Aguardando orçamentos para adequação | Observação original: Aparelhos requisitados em 01/04/2026 | Registro GOP: Aguardando orçamentos</t>
  </si>
  <si>
    <t xml:space="preserve">GOP-AR-2026-0015</t>
  </si>
  <si>
    <t xml:space="preserve">Escola Municipal Cívico Militar Carioca</t>
  </si>
  <si>
    <t xml:space="preserve">Salas 1,2,4,5,6,7,8,9,10,11 artes, sala inteligente</t>
  </si>
  <si>
    <t xml:space="preserve">Status original: Providenciando instalação dos aparelhos enviados | Observação original: Aparelhos requisitados em 01/04/2026 e 06/04/2026 | Registro GOP: Aparelhos instalados</t>
  </si>
  <si>
    <t xml:space="preserve">GOP-AR-2026-0016</t>
  </si>
  <si>
    <t xml:space="preserve">Escola Municipal Joaquim Ribeiro</t>
  </si>
  <si>
    <t xml:space="preserve">Colaboratório - 2 janelas de 18 mil BTU
Sala 308 - 1 split de 18 mil BTU (2° ...</t>
  </si>
  <si>
    <t xml:space="preserve">Status original: Providenciando instalação dos aparelhos enviados | Observação original: Aparelhos requisitados em 07/04/2026 | Registro GOP: Aparelhos instalados</t>
  </si>
  <si>
    <t xml:space="preserve">GOP-AR-2026-0017</t>
  </si>
  <si>
    <t xml:space="preserve">Escola Municipal Sarmiento</t>
  </si>
  <si>
    <t xml:space="preserve">Sala 1, 10, 16</t>
  </si>
  <si>
    <t xml:space="preserve">Verificar informações mínimas e definir encaminhamento.</t>
  </si>
  <si>
    <t xml:space="preserve">Status original: Providenciando instalação dos aparelhos enviados | Observação original: Aparelhos requisitados em 08/04/2026 | Registro GOP: Aguardando a confirmação da instalação dos aparelhos</t>
  </si>
  <si>
    <t xml:space="preserve">GOP-AR-2026-0018</t>
  </si>
  <si>
    <t xml:space="preserve">Escola Municipal Manoel Bomfim</t>
  </si>
  <si>
    <t xml:space="preserve">Sala 5</t>
  </si>
  <si>
    <t xml:space="preserve">Status original: Providenciando instalação dos aparelhos enviados | Observação original: Aparelhos requisitados em 10/04/2026 | Registro GOP: Aparelhos instalados</t>
  </si>
  <si>
    <t xml:space="preserve">GOP-AR-2026-0019</t>
  </si>
  <si>
    <t xml:space="preserve">Escola Municipal Antônio Pereira</t>
  </si>
  <si>
    <t xml:space="preserve">salas 2 e 4</t>
  </si>
  <si>
    <t xml:space="preserve">Auditório /sala da direção</t>
  </si>
  <si>
    <t xml:space="preserve">GIN / CPS</t>
  </si>
  <si>
    <t xml:space="preserve">Preparar comunicação para CTO, se a demanda já estiver autorizada.</t>
  </si>
  <si>
    <t xml:space="preserve">Status original: Providenciando instalação dos aparelhos enviados | Observação original: Aparelhos requisitados em 21/05/2026 | Registro GOP: Recebeu os aparelhos. Previsão de término da instalação 29/05</t>
  </si>
  <si>
    <t xml:space="preserve">GOP-AR-2026-0020</t>
  </si>
  <si>
    <t xml:space="preserve">Espaço de Desenvolvimento Infantil Henrique Foréis</t>
  </si>
  <si>
    <t xml:space="preserve">berçário  | berçário</t>
  </si>
  <si>
    <t xml:space="preserve">Status original: Providenciando instalação dos aparelhos enviados | Observação original: Aparelhos requisitados em 21/05/2026 | Registro GOP: Instalados</t>
  </si>
  <si>
    <t xml:space="preserve">GOP-AR-2026-0021</t>
  </si>
  <si>
    <t xml:space="preserve">Núcleo de Arte Nise da Silveira</t>
  </si>
  <si>
    <t xml:space="preserve">Sala de teatro</t>
  </si>
  <si>
    <t xml:space="preserve">Status original: Garantia acionada  | Observação original: Aparelhos requisitados em 09/05/2026 | Registro GOP: Sala de Teatro instalado. Adequação para instalação na sala de dança</t>
  </si>
  <si>
    <t xml:space="preserve">GOP-AR-2026-0022</t>
  </si>
  <si>
    <t xml:space="preserve">Creche Municipal Tia Andreza</t>
  </si>
  <si>
    <t xml:space="preserve">Refeitório, sala dos professores, salas 1 e 4</t>
  </si>
  <si>
    <t xml:space="preserve">Status original: Aguardando orçamentos para adequação | Registro GOP: Unidade fábrica de vidro</t>
  </si>
  <si>
    <t xml:space="preserve">GOP-AR-2026-0023</t>
  </si>
  <si>
    <t xml:space="preserve">CIEP Vinicius de Moraes</t>
  </si>
  <si>
    <t xml:space="preserve">Salas 1, 2, 4, 6, 7, 11, 10 e 12</t>
  </si>
  <si>
    <t xml:space="preserve">Observação original: Aparelho requisitado para sala 10 | Registro GOP: Aparelho instalado na sala de recursos sala 10. Adequação elétrica para as de...</t>
  </si>
  <si>
    <t xml:space="preserve">GOP-AR-2026-0024</t>
  </si>
  <si>
    <t xml:space="preserve">Escola Municipal Alagoas</t>
  </si>
  <si>
    <t xml:space="preserve">1,2,3,4,5,6,7,8,9,10,11,12</t>
  </si>
  <si>
    <t xml:space="preserve">Status original: Vistoria finalizada | Registro GOP: Instalados</t>
  </si>
  <si>
    <t xml:space="preserve">GOP-AR-2026-0025</t>
  </si>
  <si>
    <t xml:space="preserve">Escola Especial Municipal Doutor Ulisses Pernambucano</t>
  </si>
  <si>
    <t xml:space="preserve">sala de leitura</t>
  </si>
  <si>
    <t xml:space="preserve">Status original: Aguardando orçamentos para adequação | Registro GOP: Busacando orçamentos</t>
  </si>
  <si>
    <t xml:space="preserve">GOP-AR-2026-0026</t>
  </si>
  <si>
    <t xml:space="preserve">Creche Municipal José de Vieira da Silva</t>
  </si>
  <si>
    <t xml:space="preserve">refeitório</t>
  </si>
  <si>
    <t xml:space="preserve">Status original: Aguardando orçamentos para adequação | Registro GOP: Climatização do refeitório com 03 splits 24 mil que se encontram na unidade.</t>
  </si>
  <si>
    <t xml:space="preserve">GOP-AR-2026-0027</t>
  </si>
  <si>
    <t xml:space="preserve">Escola Municipal Hélio Smidt</t>
  </si>
  <si>
    <t xml:space="preserve">Colaboratório Sala de leitura</t>
  </si>
  <si>
    <t xml:space="preserve">Aparelhos enviados em 18/05/2026 | Instalação concluída</t>
  </si>
  <si>
    <t xml:space="preserve">GOP-AR-2026-0028</t>
  </si>
  <si>
    <t xml:space="preserve">Escola Municipal Levy Neves</t>
  </si>
  <si>
    <t xml:space="preserve">Pendente</t>
  </si>
  <si>
    <t xml:space="preserve">Acompanhar agendamento de vistoria técnica pela CPS.</t>
  </si>
  <si>
    <t xml:space="preserve">A GAD está em fase de liquidação do empenho para que os serviços possam ser iniciados.</t>
  </si>
  <si>
    <t xml:space="preserve">VALIDAÇÃO TÉCNICA — DEMANDAS PARA ANÁLISE DA GOP/CPS</t>
  </si>
  <si>
    <t xml:space="preserve">Esta aba lista automaticamente os chamados que dependem de validação ou vistoria técnica.</t>
  </si>
  <si>
    <t xml:space="preserve">INDICADORES</t>
  </si>
  <si>
    <t xml:space="preserve">PENDENTES DE VISTORIA</t>
  </si>
  <si>
    <t xml:space="preserve">NÃO VALIDADAS</t>
  </si>
  <si>
    <t xml:space="preserve">AGUARDANDO ORÇAMENTO</t>
  </si>
  <si>
    <t xml:space="preserve">EM ANÁLISE TÉCNICA</t>
  </si>
  <si>
    <t xml:space="preserve">TOTAL EM VALIDAÇÃO</t>
  </si>
  <si>
    <t xml:space="preserve">CHAMADOS QUE DEPENDEM DE VALIDAÇÃO TÉCNICA</t>
  </si>
  <si>
    <t xml:space="preserve">Local Demanda</t>
  </si>
  <si>
    <t xml:space="preserve">Tipo Demanda</t>
  </si>
  <si>
    <t xml:space="preserve">Setor Resp.</t>
  </si>
  <si>
    <t xml:space="preserve">Próxima Providência</t>
  </si>
  <si>
    <t xml:space="preserve">Última Atualiz.</t>
  </si>
  <si>
    <t xml:space="preserve">VISÃO CTIN</t>
  </si>
  <si>
    <t xml:space="preserve">Chamados que envolvem autorização ou decisão técnica da CTIN (alta complexidade e marcos de aprovação)</t>
  </si>
  <si>
    <t xml:space="preserve">SOB CTIN</t>
  </si>
  <si>
    <t xml:space="preserve">AGUARDANDO APROVAÇÃO</t>
  </si>
  <si>
    <t xml:space="preserve">ALTA COMPLEXIDADE</t>
  </si>
  <si>
    <t xml:space="preserve">AUTORIZAÇÃO EMITIDA</t>
  </si>
  <si>
    <t xml:space="preserve">TOTAL NO ESCOPO</t>
  </si>
  <si>
    <t xml:space="preserve">CHAMADOS NO ESCOPO DA CTIN</t>
  </si>
  <si>
    <t xml:space="preserve">VISÃO CTO — DEMANDAS PARA TRATATIVA DE INSTALAÇÃO</t>
  </si>
  <si>
    <t xml:space="preserve">Chamados sob responsabilidade da CTO ou nas etapas finais (autorização à entrega).</t>
  </si>
  <si>
    <t xml:space="preserve">SOB CTO</t>
  </si>
  <si>
    <t xml:space="preserve">INSTALAÇÃO AUTORIZADA</t>
  </si>
  <si>
    <t xml:space="preserve">APARELHO REQUISITADO</t>
  </si>
  <si>
    <t xml:space="preserve">ENTREGA EM CURSO</t>
  </si>
  <si>
    <t xml:space="preserve">INSTALADO</t>
  </si>
  <si>
    <t xml:space="preserve">CHAMADOS NO ESCOPO DA CTO</t>
  </si>
  <si>
    <t xml:space="preserve">ID EVENTO</t>
  </si>
  <si>
    <t xml:space="preserve">DATA</t>
  </si>
  <si>
    <t xml:space="preserve">MARCO RELEVANTE</t>
  </si>
  <si>
    <t xml:space="preserve">SETOR</t>
  </si>
  <si>
    <t xml:space="preserve">RESPONSÁVEL PELO REGISTRO</t>
  </si>
  <si>
    <t xml:space="preserve">OBSERVAÇÃO</t>
  </si>
  <si>
    <t xml:space="preserve">ord_cons_hist</t>
  </si>
  <si>
    <t xml:space="preserve">EV-00001</t>
  </si>
  <si>
    <t xml:space="preserve">3.1 — UE: identificar intercorrência e informar à GOP</t>
  </si>
  <si>
    <t xml:space="preserve">Sistema (migração inicial)</t>
  </si>
  <si>
    <t xml:space="preserve">Aguardando data de início das adequações elétricas | Previsão de  conclusão elétrica 16/06</t>
  </si>
  <si>
    <t xml:space="preserve">EV-00002</t>
  </si>
  <si>
    <t xml:space="preserve">E/CTIN sinalizou que os orçamentos enviados não atendem - 14/04/2026 | Visita da CTIN não identificou demanda por aprelhos / Diretor solicita aparelho para Sala de ginástica, secretaria, sala de leitu</t>
  </si>
  <si>
    <t xml:space="preserve">EV-00003</t>
  </si>
  <si>
    <t xml:space="preserve">E/CTIN disse que agendaria vistoria - 20/04/2026 | Instalados</t>
  </si>
  <si>
    <t xml:space="preserve">EV-00004</t>
  </si>
  <si>
    <t xml:space="preserve">Aguardando data de início das adequações elétricas | Sala de aula sem climatização. Obra iniciada em 13/05 previsão de término 30/05</t>
  </si>
  <si>
    <t xml:space="preserve">EV-00005</t>
  </si>
  <si>
    <t xml:space="preserve">Aguardando previsão de término das adequações elétricas | Instalado  aparelho berçário. Não apta para o 2º aparelho</t>
  </si>
  <si>
    <t xml:space="preserve">EV-00006</t>
  </si>
  <si>
    <t xml:space="preserve">Aguardando previsão de término das adequações elétricas | Falta enviar 02 orçamento de elétrica</t>
  </si>
  <si>
    <t xml:space="preserve">EV-00007</t>
  </si>
  <si>
    <t xml:space="preserve">Aguardando previsão de término das adequações elétricas | Não tem demanda por aprelho, apenas adequações eléticas. Obra iniciada em  05/05/26 com previsão de término no dia 26/05/26</t>
  </si>
  <si>
    <t xml:space="preserve">EV-00008</t>
  </si>
  <si>
    <t xml:space="preserve">Aguardando término das adequações elétricas - previsão 28/04/2026 | Solicitar nova vistoria para inclusão de aparelhos nas salas sem climatização</t>
  </si>
  <si>
    <t xml:space="preserve">EV-00009</t>
  </si>
  <si>
    <t xml:space="preserve">Última cobrança da E/CTO - 20/04/2026 | Aguardando data do início da obra</t>
  </si>
  <si>
    <t xml:space="preserve">EV-00010</t>
  </si>
  <si>
    <t xml:space="preserve">Última cobrança da E/CTO - 20/04/2026 | Sala de aula sem climatização Orçamentos  aprovados pela CPS- aguardando a data de início da obra</t>
  </si>
  <si>
    <t xml:space="preserve">EV-00011</t>
  </si>
  <si>
    <t xml:space="preserve">Última cobrança da E/CTO - 20/04/2026 | Previsão de término da elétrica 15/06</t>
  </si>
  <si>
    <t xml:space="preserve">EV-00012</t>
  </si>
  <si>
    <t xml:space="preserve">Última cobrança da E/CTO - 20/04/2026 | Valor imputado no cartão SDP.</t>
  </si>
  <si>
    <t xml:space="preserve">EV-00013</t>
  </si>
  <si>
    <t xml:space="preserve">Aparelhos requisitados em 30/03/2026 | Aparelhos instalados</t>
  </si>
  <si>
    <t xml:space="preserve">EV-00014</t>
  </si>
  <si>
    <t xml:space="preserve">Aparelhos requisitados em 01/04/2026 | Aguardando orçamentos</t>
  </si>
  <si>
    <t xml:space="preserve">EV-00015</t>
  </si>
  <si>
    <t xml:space="preserve">Aparelhos requisitados em 01/04/2026 e 06/04/2026 | Aparelhos instalados</t>
  </si>
  <si>
    <t xml:space="preserve">EV-00016</t>
  </si>
  <si>
    <t xml:space="preserve">Aparelhos requisitados em 07/04/2026 | Aparelhos instalados</t>
  </si>
  <si>
    <t xml:space="preserve">EV-00017</t>
  </si>
  <si>
    <t xml:space="preserve">Aparelhos requisitados em 08/04/2026 | Aguardando a confirmação da instalação dos aparelhos</t>
  </si>
  <si>
    <t xml:space="preserve">EV-00018</t>
  </si>
  <si>
    <t xml:space="preserve">Aparelhos requisitados em 10/04/2026 | Aparelhos instalados</t>
  </si>
  <si>
    <t xml:space="preserve">EV-00019</t>
  </si>
  <si>
    <t xml:space="preserve">Aparelhos requisitados em 21/05/2026 | Recebeu os aparelhos. Previsão de término da instalação 29/05</t>
  </si>
  <si>
    <t xml:space="preserve">EV-00020</t>
  </si>
  <si>
    <t xml:space="preserve">Aparelhos requisitados em 21/05/2026 | Instalados</t>
  </si>
  <si>
    <t xml:space="preserve">EV-00021</t>
  </si>
  <si>
    <t xml:space="preserve">Aparelhos requisitados em 09/05/2026 | Sala de Teatro instalado. Adequação para instalação na sala de dança</t>
  </si>
  <si>
    <t xml:space="preserve">EV-00022</t>
  </si>
  <si>
    <t xml:space="preserve">Unidade fábrica de vidro</t>
  </si>
  <si>
    <t xml:space="preserve">EV-00023</t>
  </si>
  <si>
    <t xml:space="preserve">Aparelho requisitado para sala 10 | Aparelho instalado na sala de recursos sala 10. Adequação elétrica para as demais salas.</t>
  </si>
  <si>
    <t xml:space="preserve">EV-00024</t>
  </si>
  <si>
    <t xml:space="preserve">Instalados</t>
  </si>
  <si>
    <t xml:space="preserve">EV-00025</t>
  </si>
  <si>
    <t xml:space="preserve">Busacando orçamentos</t>
  </si>
  <si>
    <t xml:space="preserve">EV-00026</t>
  </si>
  <si>
    <t xml:space="preserve">Climatização do refeitório com 03 splits 24 mil que se encontram na unidade.</t>
  </si>
  <si>
    <t xml:space="preserve">EV-00027</t>
  </si>
  <si>
    <t xml:space="preserve">EV-00028</t>
  </si>
  <si>
    <t xml:space="preserve">MODELOS DE E-MAIL POR ETAPA DO POP</t>
  </si>
  <si>
    <t xml:space="preserve">Templates para comunicação com setores parceiros. Substitua os marcadores {ID_CHAMADO}, {UNIDADE} e {DATA} antes de enviar.</t>
  </si>
  <si>
    <t xml:space="preserve">TIPO DE COMUNICAÇÃO</t>
  </si>
  <si>
    <t xml:space="preserve">ETAPA POP</t>
  </si>
  <si>
    <t xml:space="preserve">TEMPLATE</t>
  </si>
  <si>
    <t xml:space="preserve">Solicitação de Vistoria</t>
  </si>
  <si>
    <t xml:space="preserve">02 → 03</t>
  </si>
  <si>
    <t xml:space="preserve">Assunto: Solicitação de vistoria técnica — Chamado {ID_CHAMADO} ({UNIDADE})
Prezados, encaminho para conhecimento e providências a demanda de climatização registrada pela {UNIDADE} sob o chamado {ID_CHAMADO}. Solicito o agendamento de vistoria técnica para avaliação da situação local conforme POP-002/25.
Informações:
• Identificação do local: [descrever]
• Tipo de aparelho existente: [split/janela] | BTUs: [informar]
• 1º ou 2º aparelho do local: [informar]
Atenciosamente, GOP/3ª CRE</t>
  </si>
  <si>
    <t xml:space="preserve">Encaminhamento de Orçamentos</t>
  </si>
  <si>
    <t xml:space="preserve">10 → 11</t>
  </si>
  <si>
    <t xml:space="preserve">Assunto: Orçamentos para análise técnica — Chamado {ID_CHAMADO}
Prezados, encaminho os orçamentos apresentados pela {UNIDADE} referentes ao chamado {ID_CHAMADO} para análise técnica da CPS. Os orçamentos seguem em anexo e atendem aos requisitos estabelecidos no relatório técnico.
Aguardo retorno para prosseguimento. Atenciosamente, GOP/3ª CRE</t>
  </si>
  <si>
    <t xml:space="preserve">Comunicação de Aprovação</t>
  </si>
  <si>
    <t xml:space="preserve">12 → 13</t>
  </si>
  <si>
    <t xml:space="preserve">Assunto: Aprovação de orçamento — Chamado {ID_CHAMADO}
Prezados, comunico que o orçamento referente ao chamado {ID_CHAMADO} ({UNIDADE}) foi APROVADO pela análise técnica em {DATA}. Solicito que a unidade dê prosseguimento à contratação dos serviços conforme escopo aprovado.
Atenciosamente, GOP/3ª CRE</t>
  </si>
  <si>
    <t xml:space="preserve">Solicitação de Recursos</t>
  </si>
  <si>
    <t xml:space="preserve">13 → 14</t>
  </si>
  <si>
    <t xml:space="preserve">Assunto: Verificação de recursos — Chamado {ID_CHAMADO}
Prezados da GAD, solicito verificação da disponibilidade de recursos para execução dos serviços referentes ao chamado {ID_CHAMADO} ({UNIDADE}), com orçamento aprovado em {DATA}. Em caso de insuficiência, aguardo orientação quanto a remanejamento ou nova concessão.
Atenciosamente, GOP/3ª CRE</t>
  </si>
  <si>
    <t xml:space="preserve">Informe de Início de Serviços</t>
  </si>
  <si>
    <t xml:space="preserve">16 → 17</t>
  </si>
  <si>
    <t xml:space="preserve">Assunto: Início de execução — Chamado {ID_CHAMADO}
Prezados, informo que os serviços relativos ao chamado {ID_CHAMADO} ({UNIDADE}) tiveram início em {DATA}. Previsão de conclusão: [INFORMAR]. Manteremos comunicação tempestiva sobre o andamento.
Atenciosamente, GOP/3ª CRE</t>
  </si>
  <si>
    <t xml:space="preserve">Autorização de Instalação</t>
  </si>
  <si>
    <t xml:space="preserve">21 → 22</t>
  </si>
  <si>
    <t xml:space="preserve">Assunto: Autorização de instalação — Chamado {ID_CHAMADO}
Prezados da CTO, comunico que os serviços de adequação prévia referentes ao chamado {ID_CHAMADO} ({UNIDADE}) foram concluídos e aprovados em {DATA}. Solicito o planejamento da entrega e instalação dos aparelhos conforme demanda inicial.
Atenciosamente, GOP/3ª CRE</t>
  </si>
  <si>
    <t xml:space="preserve">Encerramento de Chamado</t>
  </si>
  <si>
    <t xml:space="preserve">27 → 28</t>
  </si>
  <si>
    <t xml:space="preserve">Assunto: Encerramento — Chamado {ID_CHAMADO}
Prezados, comunico o encerramento do chamado {ID_CHAMADO} ({UNIDADE}) com instalação concluída em {DATA}. Todos os registros foram atualizados no controle interno. Equipe disponível para qualquer esclarecimento.
Atenciosamente, GOP/3ª CRE</t>
  </si>
  <si>
    <t xml:space="preserve">ID RESPOSTA</t>
  </si>
  <si>
    <t xml:space="preserve">HORA DE INÍCIO</t>
  </si>
  <si>
    <t xml:space="preserve">HORA DE CONCLUSÃO</t>
  </si>
  <si>
    <t xml:space="preserve">E-MAIL DO RESPONDENTE</t>
  </si>
  <si>
    <t xml:space="preserve">NOME OFICIAL DA UNIDADE</t>
  </si>
  <si>
    <t xml:space="preserve">TIPO DE SOLICITAÇÃO</t>
  </si>
  <si>
    <t xml:space="preserve">LOCAL EXATO DA DEMANDA</t>
  </si>
  <si>
    <t xml:space="preserve">QTD SALAS COM APARELHO FUNCIONANDO</t>
  </si>
  <si>
    <t xml:space="preserve">QTD SALAS SEM CLIMATIZAÇÃO</t>
  </si>
  <si>
    <t xml:space="preserve">QTD APARELHOS COM DEFEITO</t>
  </si>
  <si>
    <t xml:space="preserve">EXISTE LAUDO DE IMPRESTABILIDADE?</t>
  </si>
  <si>
    <t xml:space="preserve">HÁ FOTOS/EVIDÊNCIAS?</t>
  </si>
  <si>
    <t xml:space="preserve">DESCRIÇÃO SUCINTA DA DEMANDA</t>
  </si>
  <si>
    <t xml:space="preserve">RESPONSÁVEL PELA INFORMAÇÃO</t>
  </si>
  <si>
    <t xml:space="preserve">CONTATO</t>
  </si>
  <si>
    <t xml:space="preserve">Pergunta no Microsoft Forms</t>
  </si>
  <si>
    <t xml:space="preserve">Tipo de campo sugerido</t>
  </si>
  <si>
    <t xml:space="preserve">Regra/Opções</t>
  </si>
  <si>
    <t xml:space="preserve">Objetivo</t>
  </si>
  <si>
    <t xml:space="preserve">Código de designação da escola</t>
  </si>
  <si>
    <t xml:space="preserve">Escolha ou texto curto</t>
  </si>
  <si>
    <t xml:space="preserve">Manter como texto.</t>
  </si>
  <si>
    <t xml:space="preserve">Chave de amarração com cadastro vivo.</t>
  </si>
  <si>
    <t xml:space="preserve">Nome oficial da unidade escolar</t>
  </si>
  <si>
    <t xml:space="preserve">Texto curto</t>
  </si>
  <si>
    <t xml:space="preserve">Obrigatório.</t>
  </si>
  <si>
    <t xml:space="preserve">Validação visual da escola.</t>
  </si>
  <si>
    <t xml:space="preserve">Tipo de solicitação</t>
  </si>
  <si>
    <t xml:space="preserve">Escolha</t>
  </si>
  <si>
    <t xml:space="preserve">Nova instalação; substituição; manutenção corretiva; manutenção preventiva; 
adequação infra/elétrica; atualização cadastral.</t>
  </si>
  <si>
    <t xml:space="preserve">Classificar a demanda.</t>
  </si>
  <si>
    <t xml:space="preserve">Local exato da demanda</t>
  </si>
  <si>
    <t xml:space="preserve">Ex.: Sala 5, Secretaria, Sala de leitura.</t>
  </si>
  <si>
    <t xml:space="preserve">Identificar o local demandado.</t>
  </si>
  <si>
    <t xml:space="preserve">Tipo de aparelho</t>
  </si>
  <si>
    <t xml:space="preserve">Split; janela; split e janela; não possui; não sabe informar.</t>
  </si>
  <si>
    <t xml:space="preserve">Indicar equipamento.</t>
  </si>
  <si>
    <t xml:space="preserve">BTU do aparelho existente</t>
  </si>
  <si>
    <t xml:space="preserve">Número ou texto curto</t>
  </si>
  <si>
    <t xml:space="preserve">Preencher quando houver aparelho instalado.</t>
  </si>
  <si>
    <t xml:space="preserve">Apoiar avaliação técnica.</t>
  </si>
  <si>
    <t xml:space="preserve">BTU pretendido</t>
  </si>
  <si>
    <t xml:space="preserve">Obrigatório quando houver aumento de potência.</t>
  </si>
  <si>
    <t xml:space="preserve">Apoiar planejamento técnico.</t>
  </si>
  <si>
    <t xml:space="preserve">É o 1º ou 2º aparelho do local?</t>
  </si>
  <si>
    <t xml:space="preserve">1º aparelho; 2º aparelho; não se aplica; não sabe informar.</t>
  </si>
  <si>
    <t xml:space="preserve">Informação do fluxo.</t>
  </si>
  <si>
    <t xml:space="preserve">Quantidade de salas com aparelhos funcionando hoje</t>
  </si>
  <si>
    <t xml:space="preserve">Número</t>
  </si>
  <si>
    <t xml:space="preserve">Inteiro maior ou igual a zero.</t>
  </si>
  <si>
    <t xml:space="preserve">Capturar situação real.</t>
  </si>
  <si>
    <t xml:space="preserve">Quantidade de salas totalmente sem climatização hoje</t>
  </si>
  <si>
    <t xml:space="preserve">Medir déficit real.</t>
  </si>
  <si>
    <t xml:space="preserve">Quantidade de aparelhos com defeito hoje</t>
  </si>
  <si>
    <t xml:space="preserve">Separar manutenção de necessidade nova.</t>
  </si>
  <si>
    <t xml:space="preserve">Existe laudo de imprestabilidade?</t>
  </si>
  <si>
    <t xml:space="preserve">Sim; não; não se aplica; a confirmar.</t>
  </si>
  <si>
    <t xml:space="preserve">Apoiar triagem documental.</t>
  </si>
  <si>
    <t xml:space="preserve">Há fotos/evidências?</t>
  </si>
  <si>
    <t xml:space="preserve">Sim; não; a confirmar.</t>
  </si>
  <si>
    <t xml:space="preserve">Dar materialidade à demanda.</t>
  </si>
  <si>
    <t xml:space="preserve">Descrição sucinta da demanda</t>
  </si>
  <si>
    <t xml:space="preserve">Texto longo</t>
  </si>
  <si>
    <t xml:space="preserve">Limite sugerido: 250 caracteres.</t>
  </si>
  <si>
    <t xml:space="preserve">Registrar o essencial.</t>
  </si>
  <si>
    <t xml:space="preserve">Responsável pela informação e contato</t>
  </si>
  <si>
    <t xml:space="preserve">Nome e telefone/e-mail institucional.</t>
  </si>
  <si>
    <t xml:space="preserve">Permitir retorno rápido.</t>
  </si>
  <si>
    <t xml:space="preserve">CRE</t>
  </si>
  <si>
    <t xml:space="preserve">DESIG</t>
  </si>
  <si>
    <t xml:space="preserve">DESIGNAÇÃO2</t>
  </si>
  <si>
    <t xml:space="preserve">SICI</t>
  </si>
  <si>
    <t xml:space="preserve">QTD SALAS DE AULA</t>
  </si>
  <si>
    <t xml:space="preserve">APARELHOS EM SALA</t>
  </si>
  <si>
    <t xml:space="preserve">APARELHOS TOTAL</t>
  </si>
  <si>
    <t xml:space="preserve">SALAS SEM APARELHO</t>
  </si>
  <si>
    <t xml:space="preserve">NECESSIDADE APARELHOS</t>
  </si>
  <si>
    <t xml:space="preserve">FONTE/OBSERVAÇÃO</t>
  </si>
  <si>
    <t xml:space="preserve">DATA ÚLTIMA CONFIRMAÇÃO</t>
  </si>
  <si>
    <t xml:space="preserve">CONFIRMADO PELA UNIDADE?</t>
  </si>
  <si>
    <t xml:space="preserve">VALIDADO PELA GOP?</t>
  </si>
  <si>
    <t xml:space="preserve">AÇÃO SUGERIDA</t>
  </si>
  <si>
    <t xml:space="preserve">ENDEREÇO</t>
  </si>
  <si>
    <t xml:space="preserve">BAIRRO</t>
  </si>
  <si>
    <t xml:space="preserve">3ª</t>
  </si>
  <si>
    <t xml:space="preserve">E/CRE(03.13.502)</t>
  </si>
  <si>
    <t xml:space="preserve">CIEP Chanceler Willy Brandt</t>
  </si>
  <si>
    <t xml:space="preserve">Consultoria jun/jul 2025</t>
  </si>
  <si>
    <t xml:space="preserve">Não</t>
  </si>
  <si>
    <t xml:space="preserve">Rua Álvaro Seixas, S/Nº</t>
  </si>
  <si>
    <t xml:space="preserve">Engenho Novo</t>
  </si>
  <si>
    <t xml:space="preserve">E/CRE(03.12.503)</t>
  </si>
  <si>
    <t xml:space="preserve">CIEP Coronel Sarmento</t>
  </si>
  <si>
    <t xml:space="preserve">Av. Itaóca, S/Nº</t>
  </si>
  <si>
    <t xml:space="preserve">Inhaúma</t>
  </si>
  <si>
    <t xml:space="preserve">E/CRE(03.12.501)</t>
  </si>
  <si>
    <t xml:space="preserve">CIEP Patrice Lumumba</t>
  </si>
  <si>
    <t xml:space="preserve">Praça Da Confederação Suíça,  s/nº</t>
  </si>
  <si>
    <t xml:space="preserve">Del Castilho</t>
  </si>
  <si>
    <t xml:space="preserve">E/CRE(03.12.502)</t>
  </si>
  <si>
    <t xml:space="preserve">Praça Da Confederação Suíça, S/Nº</t>
  </si>
  <si>
    <t xml:space="preserve">E/CRE(03.28.501)</t>
  </si>
  <si>
    <t xml:space="preserve">Av. Dom Hélder Câmara, 1.715 1715</t>
  </si>
  <si>
    <t xml:space="preserve">Jacarezinho</t>
  </si>
  <si>
    <t xml:space="preserve">E/CRE(03.13.602)</t>
  </si>
  <si>
    <t xml:space="preserve">Creche Municipal Aconchego</t>
  </si>
  <si>
    <t xml:space="preserve">Rua Maria Luisa 70</t>
  </si>
  <si>
    <t xml:space="preserve">Lins De Vasconcelos</t>
  </si>
  <si>
    <t xml:space="preserve">E/CRE(03.12.601)</t>
  </si>
  <si>
    <t xml:space="preserve">Creche Municipal Cantinho Feliz</t>
  </si>
  <si>
    <t xml:space="preserve">Praça dos Esportes - Águia De Ouro 10</t>
  </si>
  <si>
    <t xml:space="preserve">E/CRE(03.13.606)</t>
  </si>
  <si>
    <t xml:space="preserve">Creche Municipal Cantinho do Queto</t>
  </si>
  <si>
    <t xml:space="preserve">Rua Salvador, 1 - Morro Do Queto</t>
  </si>
  <si>
    <t xml:space="preserve">Sampaio</t>
  </si>
  <si>
    <t xml:space="preserve">E/CRE(03.13.610)</t>
  </si>
  <si>
    <t xml:space="preserve">Creche Municipal Emmanuel</t>
  </si>
  <si>
    <t xml:space="preserve">Rua Heráclito Graça 509</t>
  </si>
  <si>
    <t xml:space="preserve">E/CRE(03.12.602)</t>
  </si>
  <si>
    <t xml:space="preserve">Creche Municipal Engenho da Rainha</t>
  </si>
  <si>
    <t xml:space="preserve">Rua Pereira Pinto 191</t>
  </si>
  <si>
    <t xml:space="preserve">Tomás Coelho</t>
  </si>
  <si>
    <t xml:space="preserve">E/CRE(03.28.601)</t>
  </si>
  <si>
    <t xml:space="preserve">Av. Dom Hélder Câmara, 2.057</t>
  </si>
  <si>
    <t xml:space="preserve">E/CRE(03.13.611)</t>
  </si>
  <si>
    <t xml:space="preserve">Creche Municipal José Ramos Januário - Zé Pretinho</t>
  </si>
  <si>
    <t xml:space="preserve">Rua Luiz Jorge Salomão - Morro São João 347</t>
  </si>
  <si>
    <t xml:space="preserve">E/CRE(03.30.601)</t>
  </si>
  <si>
    <t xml:space="preserve">Estrada do Itararé 480 Rua Nova</t>
  </si>
  <si>
    <t xml:space="preserve">Bonsucesso</t>
  </si>
  <si>
    <t xml:space="preserve">E/CRE(03.13.612)</t>
  </si>
  <si>
    <t xml:space="preserve">Creche Municipal Marcilia Catarina da Costa Orgélio - Tia Mana</t>
  </si>
  <si>
    <t xml:space="preserve">Rua dos Rios - Comunidade Dois de Maio s/nº</t>
  </si>
  <si>
    <t xml:space="preserve">Jacaré</t>
  </si>
  <si>
    <t xml:space="preserve">E/CRE(03.13.604)</t>
  </si>
  <si>
    <t xml:space="preserve">Creche Municipal Nosso Cantinho</t>
  </si>
  <si>
    <t xml:space="preserve">Av. Menezes Cortes, Km 0, S/Nº</t>
  </si>
  <si>
    <t xml:space="preserve">E/CRE(03.30.602)</t>
  </si>
  <si>
    <t xml:space="preserve">Creche Municipal Nova Brasília</t>
  </si>
  <si>
    <t xml:space="preserve">Rua Jehovan Costa, S/Nº - Complexo Do Alemão</t>
  </si>
  <si>
    <t xml:space="preserve">E/CRE(03.13.607)</t>
  </si>
  <si>
    <t xml:space="preserve">Creche Municipal Odetinha Vidal de Oliveira</t>
  </si>
  <si>
    <t xml:space="preserve">Rua Prof. Antenor Nascentes, 340 - Conj. Hab. Lins De Vascondelos</t>
  </si>
  <si>
    <t xml:space="preserve">E/CRE(03.13.608)</t>
  </si>
  <si>
    <t xml:space="preserve">Creche Municipal Rachel Leite Dias</t>
  </si>
  <si>
    <t xml:space="preserve">Rua Fernão Cardim, s/n.º  Comunidade Fernão Cardim s/n.º</t>
  </si>
  <si>
    <t xml:space="preserve">Engenho De Dentro</t>
  </si>
  <si>
    <t xml:space="preserve">E/CRE(03.13.609)</t>
  </si>
  <si>
    <t xml:space="preserve">Creche Municipal Recanto da Cachoeira</t>
  </si>
  <si>
    <t xml:space="preserve">Rua Sincorá - Cachoeira Grande s/nº</t>
  </si>
  <si>
    <t xml:space="preserve">E/CRE(03.12.603)</t>
  </si>
  <si>
    <t xml:space="preserve">Creche Municipal Renascer</t>
  </si>
  <si>
    <t xml:space="preserve">Rua Engenheiro José de Castro 24</t>
  </si>
  <si>
    <t xml:space="preserve">E/CRE(03.13.603)</t>
  </si>
  <si>
    <t xml:space="preserve">Creche Municipal Sylvia Orthof</t>
  </si>
  <si>
    <t xml:space="preserve">Rua Solimões, S/Nº - Morro Do Urubu</t>
  </si>
  <si>
    <t xml:space="preserve">Piedade</t>
  </si>
  <si>
    <t xml:space="preserve">E/CRE(03.28.602)</t>
  </si>
  <si>
    <t xml:space="preserve">Rua José Maria Belo S/N.°</t>
  </si>
  <si>
    <t xml:space="preserve">E/CRE(03.13.601)</t>
  </si>
  <si>
    <t xml:space="preserve">Creche Municipal Vila dos Mineiros</t>
  </si>
  <si>
    <t xml:space="preserve">Rua Manuel Correia,199 - Casa 2 - Vila Dos Mineiros</t>
  </si>
  <si>
    <t xml:space="preserve">E/CRE(03.28.604)</t>
  </si>
  <si>
    <t xml:space="preserve">Creche Municipal da Comunidade do Jacarezinho</t>
  </si>
  <si>
    <t xml:space="preserve">Rua Do Comércio  - Praça do Azul s/n</t>
  </si>
  <si>
    <t xml:space="preserve">E/CRE(03.13.055)</t>
  </si>
  <si>
    <t xml:space="preserve">Rua Dois De Fevereiro, S/Nº</t>
  </si>
  <si>
    <t xml:space="preserve">Encantado</t>
  </si>
  <si>
    <t xml:space="preserve">E/CRE(03.13.024)</t>
  </si>
  <si>
    <t xml:space="preserve">Escola Municipal Acre</t>
  </si>
  <si>
    <t xml:space="preserve">Rua Santos Titara 50</t>
  </si>
  <si>
    <t xml:space="preserve">Todos Os Santos</t>
  </si>
  <si>
    <t xml:space="preserve">E/CRE(03.13.019)</t>
  </si>
  <si>
    <t xml:space="preserve">Escola Municipal Affonso Taunay</t>
  </si>
  <si>
    <t xml:space="preserve">Rua Vilela Tavares 211</t>
  </si>
  <si>
    <t xml:space="preserve">Méier</t>
  </si>
  <si>
    <t xml:space="preserve">E/CRE(03.13.051)</t>
  </si>
  <si>
    <t xml:space="preserve">Av. Dom Hélder Câmara, 6.742</t>
  </si>
  <si>
    <t xml:space="preserve">Pilares</t>
  </si>
  <si>
    <t xml:space="preserve">E/CRE(03.12.002)</t>
  </si>
  <si>
    <t xml:space="preserve">Escola Municipal Alcide de Gasperi</t>
  </si>
  <si>
    <t xml:space="preserve">Rua Miraluz 181</t>
  </si>
  <si>
    <t xml:space="preserve">Higienópolis</t>
  </si>
  <si>
    <t xml:space="preserve">E/CRE(03.12.035)</t>
  </si>
  <si>
    <t xml:space="preserve">Rua Moacir De Almeida  771</t>
  </si>
  <si>
    <t xml:space="preserve">E/CRE(03.13.037)</t>
  </si>
  <si>
    <t xml:space="preserve">Escola Municipal Augusto Frederico Schmidt</t>
  </si>
  <si>
    <t xml:space="preserve">Rua  Mapurari, S/Nº</t>
  </si>
  <si>
    <t xml:space="preserve">E/CRE(03.12.015)</t>
  </si>
  <si>
    <t xml:space="preserve">Escola Municipal Barão de Macahubas</t>
  </si>
  <si>
    <t xml:space="preserve">Rua Padre Januario, 220</t>
  </si>
  <si>
    <t xml:space="preserve">E/CRE(03.13.016)</t>
  </si>
  <si>
    <t xml:space="preserve">Escola Municipal Benevenuta Ribeiro</t>
  </si>
  <si>
    <t xml:space="preserve">Rua Felipe Cavalcanti, 10</t>
  </si>
  <si>
    <t xml:space="preserve">E/CRE(03.13.020)</t>
  </si>
  <si>
    <t xml:space="preserve">Rua Cônego Tobias 112</t>
  </si>
  <si>
    <t xml:space="preserve">E/CRE(03.13.032)</t>
  </si>
  <si>
    <t xml:space="preserve">Escola Municipal Bolívar</t>
  </si>
  <si>
    <t xml:space="preserve">Rua José Dos Reis, 466</t>
  </si>
  <si>
    <t xml:space="preserve">E/CRE(03.13.040)</t>
  </si>
  <si>
    <t xml:space="preserve">Rua Violeta, S/Nº</t>
  </si>
  <si>
    <t xml:space="preserve">Água Santa</t>
  </si>
  <si>
    <t xml:space="preserve">E/CRE(03.12.016)</t>
  </si>
  <si>
    <t xml:space="preserve">Escola Municipal Ceará</t>
  </si>
  <si>
    <t xml:space="preserve">Rua Dona Emilia, 161</t>
  </si>
  <si>
    <t xml:space="preserve">E/CRE(03.13.005)</t>
  </si>
  <si>
    <t xml:space="preserve">Escola Municipal Cesar Augusto Soares</t>
  </si>
  <si>
    <t xml:space="preserve">Rua Cadete Paim Pamplona 50</t>
  </si>
  <si>
    <t xml:space="preserve">E/CRE(03.12.043)</t>
  </si>
  <si>
    <t xml:space="preserve">Rua Conde de Porto Alegre,301 - Bloco 3</t>
  </si>
  <si>
    <t xml:space="preserve">Rocha</t>
  </si>
  <si>
    <t xml:space="preserve">E/CRE(03.12.005)</t>
  </si>
  <si>
    <t xml:space="preserve">Escola Municipal D. João VI</t>
  </si>
  <si>
    <t xml:space="preserve">Rua Darke De Matos 166</t>
  </si>
  <si>
    <t xml:space="preserve">E/CRE(03.12.008)</t>
  </si>
  <si>
    <t xml:space="preserve">Escola Municipal Delfim Moreira</t>
  </si>
  <si>
    <t xml:space="preserve">Pça. Ubajara 28</t>
  </si>
  <si>
    <t xml:space="preserve">E/CRE(03.12.024)</t>
  </si>
  <si>
    <t xml:space="preserve">Escola Municipal Domingos Bebiano</t>
  </si>
  <si>
    <t xml:space="preserve">Estr. Adhemar Bebiano, 1.870</t>
  </si>
  <si>
    <t xml:space="preserve">E/CRE(03.13.008)</t>
  </si>
  <si>
    <t xml:space="preserve">Escola Municipal Dr. Mário Augusto Teixeira de Freitas</t>
  </si>
  <si>
    <t xml:space="preserve">Pça. Ibae, S/Nº</t>
  </si>
  <si>
    <t xml:space="preserve">E/CRE(03.13.035)</t>
  </si>
  <si>
    <t xml:space="preserve">Escola Municipal Edgard Sussekind de Mendonça</t>
  </si>
  <si>
    <t xml:space="preserve">Rua Ana Leonídia, S/Nº</t>
  </si>
  <si>
    <t xml:space="preserve">E/CRE(03.12.044)</t>
  </si>
  <si>
    <t xml:space="preserve">Escola Municipal Elza Soares</t>
  </si>
  <si>
    <t xml:space="preserve">Rua Ana Neri 1552 Bloco 2</t>
  </si>
  <si>
    <t xml:space="preserve">E/CRE(03.13.054)</t>
  </si>
  <si>
    <t xml:space="preserve">Escola Municipal Engenheiro Roberto Magno de Carvalho</t>
  </si>
  <si>
    <t xml:space="preserve">Praça José Benevides, S/Nº</t>
  </si>
  <si>
    <t xml:space="preserve">E/CRE(03.12.004)</t>
  </si>
  <si>
    <t xml:space="preserve">Escola Municipal Estado da Guanabara</t>
  </si>
  <si>
    <t xml:space="preserve">Rua Lourenço Ribeiro 31</t>
  </si>
  <si>
    <t xml:space="preserve">E/CRE(03.12.031)</t>
  </si>
  <si>
    <t xml:space="preserve">Escola Municipal Eurico Salles</t>
  </si>
  <si>
    <t xml:space="preserve">Av. Pastor Martin Luther King,  3.416</t>
  </si>
  <si>
    <t xml:space="preserve">Engenho Da Rainha</t>
  </si>
  <si>
    <t xml:space="preserve">E/CRE(03.12.021)</t>
  </si>
  <si>
    <t xml:space="preserve">Rua Lagoa Clara, S/Nº</t>
  </si>
  <si>
    <t xml:space="preserve">E/CRE(03.13.021)</t>
  </si>
  <si>
    <t xml:space="preserve">Escola Municipal Francisco Jobim</t>
  </si>
  <si>
    <t xml:space="preserve">Rua Adriano 310</t>
  </si>
  <si>
    <t xml:space="preserve">E/CRE(03.12.009)</t>
  </si>
  <si>
    <t xml:space="preserve">Escola Municipal George Sumner</t>
  </si>
  <si>
    <t xml:space="preserve">Rua Ana Néri, 2.028</t>
  </si>
  <si>
    <t xml:space="preserve">Riachuelo</t>
  </si>
  <si>
    <t xml:space="preserve">E/CRE(03.13.042)</t>
  </si>
  <si>
    <t xml:space="preserve">Escola Municipal Goiás</t>
  </si>
  <si>
    <t xml:space="preserve">Rua Goiás,  248</t>
  </si>
  <si>
    <t xml:space="preserve">E/CRE(03.12.020)</t>
  </si>
  <si>
    <t xml:space="preserve">Escola Municipal Gustavo Armbrust</t>
  </si>
  <si>
    <t xml:space="preserve">Rua Irapó S/N.°</t>
  </si>
  <si>
    <t xml:space="preserve">E/CRE(03.13.023)</t>
  </si>
  <si>
    <t xml:space="preserve">Escola Municipal Honório Gurgel</t>
  </si>
  <si>
    <t xml:space="preserve">Rua José Dos Reis 707</t>
  </si>
  <si>
    <t xml:space="preserve">E/CRE(03.13.034)</t>
  </si>
  <si>
    <t xml:space="preserve">Rua José Dos Reis, 879</t>
  </si>
  <si>
    <t xml:space="preserve">E/CRE(03.13.018)</t>
  </si>
  <si>
    <t xml:space="preserve">Rua Joaquim Méier 293</t>
  </si>
  <si>
    <t xml:space="preserve">E/CRE(03.13.027)</t>
  </si>
  <si>
    <t xml:space="preserve">Escola Municipal Jean Mermoz</t>
  </si>
  <si>
    <t xml:space="preserve">Rua São Gabriel, 261</t>
  </si>
  <si>
    <t xml:space="preserve">Cachambi</t>
  </si>
  <si>
    <t xml:space="preserve">E/CRE(03.12.023)</t>
  </si>
  <si>
    <t xml:space="preserve">Pça. Soldado Cosme Dos Santos, 28 28</t>
  </si>
  <si>
    <t xml:space="preserve">E/CRE(03.12.041)</t>
  </si>
  <si>
    <t xml:space="preserve">Escola Municipal José Aparecido do Prado Sarti</t>
  </si>
  <si>
    <t xml:space="preserve">Rua Alcides de Oliveira</t>
  </si>
  <si>
    <t xml:space="preserve">E/CRE(03.13.011)</t>
  </si>
  <si>
    <t xml:space="preserve">Escola Municipal José Eduardo de Macedo Soares</t>
  </si>
  <si>
    <t xml:space="preserve">Rua Mário Piragibe 41</t>
  </si>
  <si>
    <t xml:space="preserve">E/CRE(03.13.026)</t>
  </si>
  <si>
    <t xml:space="preserve">Escola Municipal José Lins do Rego</t>
  </si>
  <si>
    <t xml:space="preserve">Rua Reginaldo Pardelha, S/Nº</t>
  </si>
  <si>
    <t xml:space="preserve">E/CRE(03.12.029)</t>
  </si>
  <si>
    <t xml:space="preserve">Escola Municipal José Marti</t>
  </si>
  <si>
    <t xml:space="preserve">Pça. Abuna, S/Nº</t>
  </si>
  <si>
    <t xml:space="preserve">E/CRE(03.13.002)</t>
  </si>
  <si>
    <t xml:space="preserve">Rua Henrique Dias,  150</t>
  </si>
  <si>
    <t xml:space="preserve">E/CRE(03.13.044)</t>
  </si>
  <si>
    <t xml:space="preserve">Escola Municipal João Kopke</t>
  </si>
  <si>
    <t xml:space="preserve">Rua Souza Cerqueira, 63</t>
  </si>
  <si>
    <t xml:space="preserve">E/CRE(03.12.017)</t>
  </si>
  <si>
    <t xml:space="preserve">Escola Municipal Lauro Sodré</t>
  </si>
  <si>
    <t xml:space="preserve">Estr. Adhemar Bebiano, 785</t>
  </si>
  <si>
    <t xml:space="preserve">E/CRE(03.12.033)</t>
  </si>
  <si>
    <t xml:space="preserve">Rua Compositor J. B. Carvalho, 64 64</t>
  </si>
  <si>
    <t xml:space="preserve">E/CRE(03.12.034)</t>
  </si>
  <si>
    <t xml:space="preserve">Escola Municipal Liberato Bittencourt</t>
  </si>
  <si>
    <t xml:space="preserve">Rua Eng. César Do Rêgo M. Filho, S/Nº</t>
  </si>
  <si>
    <t xml:space="preserve">E/CRE(03.13.503)</t>
  </si>
  <si>
    <t xml:space="preserve">Escola Municipal Lins de Vasconcelos</t>
  </si>
  <si>
    <t xml:space="preserve">Rua Engenheiro Brotero 126</t>
  </si>
  <si>
    <t xml:space="preserve">E/CRE(03.13.038)</t>
  </si>
  <si>
    <t xml:space="preserve">Escola Municipal Londres</t>
  </si>
  <si>
    <t xml:space="preserve">Rua Monsenhor Jerônimo, S/Nº</t>
  </si>
  <si>
    <t xml:space="preserve">E/CRE(03.12.012)</t>
  </si>
  <si>
    <t xml:space="preserve">Rua Braque, 31</t>
  </si>
  <si>
    <t xml:space="preserve">E/CRE(03.13.052)</t>
  </si>
  <si>
    <t xml:space="preserve">Escola Municipal Maranhão</t>
  </si>
  <si>
    <t xml:space="preserve">Av. João Ribeiro, 389</t>
  </si>
  <si>
    <t xml:space="preserve">E/CRE(03.13.001)</t>
  </si>
  <si>
    <t xml:space="preserve">Escola Municipal Marechal Carlos Machado Bittencourt</t>
  </si>
  <si>
    <t xml:space="preserve">Rua Dr. Garnier,  390 A</t>
  </si>
  <si>
    <t xml:space="preserve">E/CRE(03.12.030)</t>
  </si>
  <si>
    <t xml:space="preserve">Escola Municipal Marechal Estevão Leitão de Carvalho</t>
  </si>
  <si>
    <t xml:space="preserve">Av. Pastor Martin Luther King, 3.217</t>
  </si>
  <si>
    <t xml:space="preserve">E/CRE(03.13.033)</t>
  </si>
  <si>
    <t xml:space="preserve">Escola Municipal Maria Izabel Bivar</t>
  </si>
  <si>
    <t xml:space="preserve">Rua José Dos Reis, 1.305</t>
  </si>
  <si>
    <t xml:space="preserve">E/CRE(03.13.014)</t>
  </si>
  <si>
    <t xml:space="preserve">Escola Municipal Medeiros e Albuquerque</t>
  </si>
  <si>
    <t xml:space="preserve">Rua Bolívia 62</t>
  </si>
  <si>
    <t xml:space="preserve">E/CRE(03.13.056)</t>
  </si>
  <si>
    <t xml:space="preserve">Escola Municipal Ministro Carlos Alberto Menezes Direito</t>
  </si>
  <si>
    <t xml:space="preserve">Rua Bérgamo 342</t>
  </si>
  <si>
    <t xml:space="preserve">E/CRE(03.13.013)</t>
  </si>
  <si>
    <t xml:space="preserve">Escola Municipal Ministro Gama Filho</t>
  </si>
  <si>
    <t xml:space="preserve">Rua Eng. Eufrásio Borges 14</t>
  </si>
  <si>
    <t xml:space="preserve">E/CRE(03.12.006)</t>
  </si>
  <si>
    <t xml:space="preserve">Escola Municipal Ministro Orosimbo Nonato</t>
  </si>
  <si>
    <t xml:space="preserve">Rua Darke De Matos 152</t>
  </si>
  <si>
    <t xml:space="preserve">E/CRE(03.12.014)</t>
  </si>
  <si>
    <t xml:space="preserve">Rua Nunes Viana, S/Nº</t>
  </si>
  <si>
    <t xml:space="preserve">E/CRE(03.12.018)</t>
  </si>
  <si>
    <t xml:space="preserve">Escola Municipal Nicolau Antônio Taunay</t>
  </si>
  <si>
    <t xml:space="preserve">Rua Gimirim, S/Nº</t>
  </si>
  <si>
    <t xml:space="preserve">E/CRE(03.13.031)</t>
  </si>
  <si>
    <t xml:space="preserve">Escola Municipal Nossa Senhora de Pompéia</t>
  </si>
  <si>
    <t xml:space="preserve">Rua Cirne Maia 109</t>
  </si>
  <si>
    <t xml:space="preserve">E/CRE(03.12.019)</t>
  </si>
  <si>
    <t xml:space="preserve">Escola Municipal Olavo Josino de Salles</t>
  </si>
  <si>
    <t xml:space="preserve">Rua Guarapuava, S/Nº</t>
  </si>
  <si>
    <t xml:space="preserve">E/CRE(03.12.003)</t>
  </si>
  <si>
    <t xml:space="preserve">Escola Municipal Ordem e Progresso</t>
  </si>
  <si>
    <t xml:space="preserve">Rua Acapuva 132</t>
  </si>
  <si>
    <t xml:space="preserve">E/CRE(03.12.001)</t>
  </si>
  <si>
    <t xml:space="preserve">Escola Municipal Oswaldo Cruz</t>
  </si>
  <si>
    <t xml:space="preserve">Av. Dos Democráticos, 683</t>
  </si>
  <si>
    <t xml:space="preserve">Manguinhos</t>
  </si>
  <si>
    <t xml:space="preserve">E/CRE(03.12.010)</t>
  </si>
  <si>
    <t xml:space="preserve">Escola Municipal Pace</t>
  </si>
  <si>
    <t xml:space="preserve">Av. Dom Hélder Câmara 2.320</t>
  </si>
  <si>
    <t xml:space="preserve">Maria Da Graça</t>
  </si>
  <si>
    <t xml:space="preserve">E/CRE(03.13.003)</t>
  </si>
  <si>
    <t xml:space="preserve">Escola Municipal Pareto</t>
  </si>
  <si>
    <t xml:space="preserve">Rua Vinte E Quatro De Maio, 225 225</t>
  </si>
  <si>
    <t xml:space="preserve">E/CRE(03.13.030)</t>
  </si>
  <si>
    <t xml:space="preserve">Escola Municipal Pastor Miranda Pinto</t>
  </si>
  <si>
    <t xml:space="preserve">Pça. Avaí, S/Nº</t>
  </si>
  <si>
    <t xml:space="preserve">E/CRE(03.12.011)</t>
  </si>
  <si>
    <t xml:space="preserve">Escola Municipal Pernambuco</t>
  </si>
  <si>
    <t xml:space="preserve">Rua Conde De Azambuja  579</t>
  </si>
  <si>
    <t xml:space="preserve">E/CRE(03.12.027)</t>
  </si>
  <si>
    <t xml:space="preserve">Escola Municipal Professor Afonso Várzea</t>
  </si>
  <si>
    <t xml:space="preserve">Av. Itaóca 2.086</t>
  </si>
  <si>
    <t xml:space="preserve">E/CRE(03.13.022)</t>
  </si>
  <si>
    <t xml:space="preserve">Rua Cônego Tobias 116</t>
  </si>
  <si>
    <t xml:space="preserve">E/CRE(03.29.001)</t>
  </si>
  <si>
    <t xml:space="preserve">Escola Municipal Professor Mourão Filho</t>
  </si>
  <si>
    <t xml:space="preserve">Rua Aristóteles  Ferreira S/N°</t>
  </si>
  <si>
    <t xml:space="preserve">E/CRE(03.13.025)</t>
  </si>
  <si>
    <t xml:space="preserve">Rua Ferreira De Andrade 209 Fundos</t>
  </si>
  <si>
    <t xml:space="preserve">E/CRE(03.12.025)</t>
  </si>
  <si>
    <t xml:space="preserve">Escola Municipal Professora Arminda Moreira Padova</t>
  </si>
  <si>
    <t xml:space="preserve">Rua Chapadinha s/nº</t>
  </si>
  <si>
    <t xml:space="preserve">E/CRE(03.12.037)</t>
  </si>
  <si>
    <t xml:space="preserve">Escola Municipal Professora Vera Saback Sampaio</t>
  </si>
  <si>
    <t xml:space="preserve">Estrada de Itararé 1071</t>
  </si>
  <si>
    <t xml:space="preserve">E/CRE(03.13.046)</t>
  </si>
  <si>
    <t xml:space="preserve">Escola Municipal República de El Salvador</t>
  </si>
  <si>
    <t xml:space="preserve">Rua Almeida Nogueira, 85</t>
  </si>
  <si>
    <t xml:space="preserve">E/CRE(03.13.015)</t>
  </si>
  <si>
    <t xml:space="preserve">Escola Municipal República do Peru</t>
  </si>
  <si>
    <t xml:space="preserve">Rua Arquias Cordeiro 508</t>
  </si>
  <si>
    <t xml:space="preserve">E/CRE(03.12.032)</t>
  </si>
  <si>
    <t xml:space="preserve">Escola Municipal Reverendo Álvaro Reis</t>
  </si>
  <si>
    <t xml:space="preserve">Estr.Adhemar Bebiano, 4.341</t>
  </si>
  <si>
    <t xml:space="preserve">E/CRE(03.13.036)</t>
  </si>
  <si>
    <t xml:space="preserve">Escola Municipal Rio Grande do Sul</t>
  </si>
  <si>
    <t xml:space="preserve">Rua Adolfo Bergamini, 201</t>
  </si>
  <si>
    <t xml:space="preserve">E/CRE(03.13.006)</t>
  </si>
  <si>
    <t xml:space="preserve">Escola Municipal Rio de Janeiro</t>
  </si>
  <si>
    <t xml:space="preserve">Rua Peçanha Da Silva, 165</t>
  </si>
  <si>
    <t xml:space="preserve">E/CRE(03.12.022)</t>
  </si>
  <si>
    <t xml:space="preserve">Escola Municipal Rubens Berardo</t>
  </si>
  <si>
    <t xml:space="preserve">Av. Itaóca, 2.326 2.326</t>
  </si>
  <si>
    <t xml:space="preserve">E/CRE(03.13.007)</t>
  </si>
  <si>
    <t xml:space="preserve">Rua Vinte Quatro De Maio 931</t>
  </si>
  <si>
    <t xml:space="preserve">E/CRE(03.13.012)</t>
  </si>
  <si>
    <t xml:space="preserve">Escola Municipal Senador João Lyra Tavares</t>
  </si>
  <si>
    <t xml:space="preserve">Rua Luiz Bezerra 2</t>
  </si>
  <si>
    <t xml:space="preserve">E/CRE(03.13.501)</t>
  </si>
  <si>
    <t xml:space="preserve">Escola Municipal Senegal</t>
  </si>
  <si>
    <t xml:space="preserve">Rua Vitor Meireles,  161</t>
  </si>
  <si>
    <t xml:space="preserve">E/CRE(03.13.053)</t>
  </si>
  <si>
    <t xml:space="preserve">Escola Municipal Suécia</t>
  </si>
  <si>
    <t xml:space="preserve">Rua Mateus De Andrade, 42</t>
  </si>
  <si>
    <t xml:space="preserve">E/CRE(03.12.013)</t>
  </si>
  <si>
    <t xml:space="preserve">Escola Municipal São Domingos</t>
  </si>
  <si>
    <t xml:space="preserve">Pça. Confederação Suíça, S/Nº</t>
  </si>
  <si>
    <t xml:space="preserve">E/CRE(03.13.048)</t>
  </si>
  <si>
    <t xml:space="preserve">Escola Municipal Sérvulo de Lima</t>
  </si>
  <si>
    <t xml:space="preserve">Rua Elias Da Silva, 27</t>
  </si>
  <si>
    <t xml:space="preserve">E/CRE(03.13.043)</t>
  </si>
  <si>
    <t xml:space="preserve">Escola Municipal Tagore</t>
  </si>
  <si>
    <t xml:space="preserve">Pça. Frederico Durval, S/Nº</t>
  </si>
  <si>
    <t xml:space="preserve">E/CRE(03.13.029)</t>
  </si>
  <si>
    <t xml:space="preserve">Escola Municipal Thomas Mann</t>
  </si>
  <si>
    <t xml:space="preserve">Rua Ferreira De Andrade, 195</t>
  </si>
  <si>
    <t xml:space="preserve">E/CRE(03.13.041)</t>
  </si>
  <si>
    <t xml:space="preserve">Rua Pompilio De Albuquerque 62</t>
  </si>
  <si>
    <t xml:space="preserve">E/CRE(03.13.049)</t>
  </si>
  <si>
    <t xml:space="preserve">Escola Municipal Virgílio de Melo Franco</t>
  </si>
  <si>
    <t xml:space="preserve">Rua Eng. Clovis Daudt, 310 310</t>
  </si>
  <si>
    <t xml:space="preserve">E/CRE(03.13.802)</t>
  </si>
  <si>
    <t xml:space="preserve">Espaço de Desenvolvimento Infantil Anísio Teixeira</t>
  </si>
  <si>
    <t xml:space="preserve">Rua Avenida João Ribeiro 389</t>
  </si>
  <si>
    <t xml:space="preserve">E/CRE(03.12.811)</t>
  </si>
  <si>
    <t xml:space="preserve">Espaço de Desenvolvimento Infantil Bricio Filho</t>
  </si>
  <si>
    <t xml:space="preserve">Av. Dom Hélder Câmara 1.496</t>
  </si>
  <si>
    <t xml:space="preserve">Benfica</t>
  </si>
  <si>
    <t xml:space="preserve">E/CRE(03.13.807)</t>
  </si>
  <si>
    <t xml:space="preserve">Espaço de Desenvolvimento Infantil Carlos Gomes</t>
  </si>
  <si>
    <t xml:space="preserve">Rua José Dos Reis, 1.305  Fundos</t>
  </si>
  <si>
    <t xml:space="preserve">E/CRE(03.12.807)</t>
  </si>
  <si>
    <t xml:space="preserve">Espaço de Desenvolvimento Infantil Del Castilho</t>
  </si>
  <si>
    <t xml:space="preserve">Av. Dom Hélder Câmara 3732</t>
  </si>
  <si>
    <t xml:space="preserve">E/CRE(03.29.801)</t>
  </si>
  <si>
    <t xml:space="preserve">Espaço de Desenvolvimento Infantil Dona Lindu</t>
  </si>
  <si>
    <t xml:space="preserve">Estrada do Itararé 650 Comp. do Alemão</t>
  </si>
  <si>
    <t xml:space="preserve">Ramos</t>
  </si>
  <si>
    <t xml:space="preserve">E/CRE(03.13.806)</t>
  </si>
  <si>
    <t xml:space="preserve">Rua Purus, S/Nº</t>
  </si>
  <si>
    <t xml:space="preserve">E/CRE(03.13.809)</t>
  </si>
  <si>
    <t xml:space="preserve">Espaço de Desenvolvimento Infantil Escultora Lygia Clark (antigo colégio Mestre Mariano)</t>
  </si>
  <si>
    <t xml:space="preserve"> Travessa Soares Pereira, nº 13</t>
  </si>
  <si>
    <t xml:space="preserve">E/CRE(03.13.830)</t>
  </si>
  <si>
    <t xml:space="preserve">Espaço de Desenvolvimento Infantil Félix Pacheco</t>
  </si>
  <si>
    <t xml:space="preserve">Rua Assis Carneiro, 649</t>
  </si>
  <si>
    <t xml:space="preserve">E/CRE(03.13.804)</t>
  </si>
  <si>
    <t xml:space="preserve">Espaço de Desenvolvimento Infantil George Bernanos</t>
  </si>
  <si>
    <t xml:space="preserve">Pça. Avai, S/Nº</t>
  </si>
  <si>
    <t xml:space="preserve">E/CRE(03.12.801)</t>
  </si>
  <si>
    <t xml:space="preserve">Rua Manoel Maurício</t>
  </si>
  <si>
    <t xml:space="preserve">Inhauma</t>
  </si>
  <si>
    <t xml:space="preserve">E/CRE(03.12.812)</t>
  </si>
  <si>
    <t xml:space="preserve">Espaço de Desenvolvimento Infantil Hermenegildo de Barros</t>
  </si>
  <si>
    <t xml:space="preserve">Pça. Emboaba s/nº</t>
  </si>
  <si>
    <t xml:space="preserve">E/CRE(03.12.813)</t>
  </si>
  <si>
    <t xml:space="preserve">Espaço de Desenvolvimento Infantil Jornalista Jorge Bastos Moreno</t>
  </si>
  <si>
    <t xml:space="preserve">Rua Ana Neri 1552 Bloco 1</t>
  </si>
  <si>
    <t xml:space="preserve">E/CRE(03.12.802)</t>
  </si>
  <si>
    <t xml:space="preserve">Espaço de Desenvolvimento Infantil Lucia Maria Batista de Albuquerque</t>
  </si>
  <si>
    <t xml:space="preserve">Estrada do Itararé 1031</t>
  </si>
  <si>
    <t xml:space="preserve">E/CRE(03.13.803)</t>
  </si>
  <si>
    <t xml:space="preserve">Espaço de Desenvolvimento Infantil Maria Braz</t>
  </si>
  <si>
    <t xml:space="preserve">Rua Heráclito Graça, 109</t>
  </si>
  <si>
    <t xml:space="preserve">E/CRE(03.12.810)</t>
  </si>
  <si>
    <t xml:space="preserve">Espaço de Desenvolvimento Infantil Maria Mazzetti</t>
  </si>
  <si>
    <t xml:space="preserve">Av. Pastor Martin Luther King 4676</t>
  </si>
  <si>
    <t xml:space="preserve">E/CRE(03.13.805)</t>
  </si>
  <si>
    <t xml:space="preserve">Espaço de Desenvolvimento Infantil Maurício Cardoso</t>
  </si>
  <si>
    <t xml:space="preserve">Rua Adolfo Bergamini, 231</t>
  </si>
  <si>
    <t xml:space="preserve">E/CRE(03.28.801)</t>
  </si>
  <si>
    <t xml:space="preserve">Avenida Dom Hélder Câmara 1811</t>
  </si>
  <si>
    <t xml:space="preserve">E/CRE(03.13.808)</t>
  </si>
  <si>
    <t xml:space="preserve">Espaço de Desenvolvimento Infantil Presidente Kennedy</t>
  </si>
  <si>
    <t xml:space="preserve">Rua Vitor Meireles 145</t>
  </si>
  <si>
    <t xml:space="preserve">E/CRE(03.13.801)</t>
  </si>
  <si>
    <t xml:space="preserve">Espaço de Desenvolvimento Infantil Professor José Libonati Filho</t>
  </si>
  <si>
    <t xml:space="preserve">E/CRE(03.12.806)</t>
  </si>
  <si>
    <t xml:space="preserve">Espaço de Desenvolvimento Infantil Professora Eliane Monte Chiari Dantas</t>
  </si>
  <si>
    <t xml:space="preserve">Rua Yucatan s/nº</t>
  </si>
  <si>
    <t xml:space="preserve">E/CRE(03.12.803)</t>
  </si>
  <si>
    <t xml:space="preserve">Espaço de Desenvolvimento Infantil Professora Luiza Helena Maia Medeiros</t>
  </si>
  <si>
    <t xml:space="preserve">Travessa Guanajuato s/n°</t>
  </si>
  <si>
    <t xml:space="preserve">E/CRE(03.12.804)</t>
  </si>
  <si>
    <t xml:space="preserve">Espaço de Desenvolvimento Infantil Professora Tania Martins Novo Lenz</t>
  </si>
  <si>
    <t xml:space="preserve">Rua Italia D`Incau s/n°</t>
  </si>
  <si>
    <t xml:space="preserve">Cavalcanti</t>
  </si>
  <si>
    <t xml:space="preserve">E/CRE(03.12.809)</t>
  </si>
  <si>
    <t xml:space="preserve">Espaço de Desenvolvimento Infantil Professora Valéria Pereira de Souza Pinto</t>
  </si>
  <si>
    <t xml:space="preserve">Rua Projetada s/nº Complexo Alemão </t>
  </si>
  <si>
    <t xml:space="preserve">E/CRE(03.12.805)</t>
  </si>
  <si>
    <t xml:space="preserve">Rua Relicário s/nº</t>
  </si>
  <si>
    <t xml:space="preserve">E/CRE(03.12.006-ART)</t>
  </si>
  <si>
    <t xml:space="preserve">Rua Darke de Matos, 152</t>
  </si>
  <si>
    <t xml:space="preserve">STATUS</t>
  </si>
  <si>
    <t xml:space="preserve">SETORES</t>
  </si>
  <si>
    <t xml:space="preserve">DEMANDAS</t>
  </si>
  <si>
    <t xml:space="preserve">VALIDAÇÃO</t>
  </si>
  <si>
    <t xml:space="preserve">TIPO_APARELHO</t>
  </si>
  <si>
    <t xml:space="preserve">SIM_NÃO</t>
  </si>
  <si>
    <t xml:space="preserve">APTIDÃO</t>
  </si>
  <si>
    <t xml:space="preserve">Baixa</t>
  </si>
  <si>
    <t xml:space="preserve">Nova Instalação</t>
  </si>
  <si>
    <t xml:space="preserve">Substituição de Aparelho</t>
  </si>
  <si>
    <t xml:space="preserve">Não validada</t>
  </si>
  <si>
    <t xml:space="preserve">Alta</t>
  </si>
  <si>
    <t xml:space="preserve">Não se aplica</t>
  </si>
  <si>
    <t xml:space="preserve">Manutenção Corretiva</t>
  </si>
  <si>
    <t xml:space="preserve">Não procede</t>
  </si>
  <si>
    <t xml:space="preserve">Crítica</t>
  </si>
  <si>
    <t xml:space="preserve">Não possui</t>
  </si>
  <si>
    <t xml:space="preserve">A confirmar</t>
  </si>
  <si>
    <t xml:space="preserve">Manutenção Preventiva</t>
  </si>
  <si>
    <t xml:space="preserve">Não sabe informar</t>
  </si>
  <si>
    <t xml:space="preserve">Adequação Infra/Elétrica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</si>
</sst>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"/>
    <numFmt numFmtId="167" formatCode="dd/mm/yyyy"/>
    <numFmt numFmtId="168" formatCode="#,##0"/>
    <numFmt numFmtId="169" formatCode="m/d/yyyy\ h:mm"/>
  </numFmts>
  <fonts count="53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475569"/>
      <name val="Calibri Light"/>
      <family val="0"/>
      <charset val="1"/>
    </font>
    <font>
      <b val="true"/>
      <sz val="8"/>
      <color rgb="FF1F3864"/>
      <name val="Calibri Light"/>
      <family val="0"/>
      <charset val="1"/>
    </font>
    <font>
      <b val="true"/>
      <sz val="8"/>
      <color rgb="FFC00000"/>
      <name val="Calibri Light"/>
      <family val="0"/>
      <charset val="1"/>
    </font>
    <font>
      <b val="true"/>
      <sz val="8"/>
      <color rgb="FFBF8F00"/>
      <name val="Calibri Light"/>
      <family val="0"/>
      <charset val="1"/>
    </font>
    <font>
      <b val="true"/>
      <sz val="8"/>
      <color rgb="FF548235"/>
      <name val="Calibri Light"/>
      <family val="0"/>
      <charset val="1"/>
    </font>
    <font>
      <b val="true"/>
      <sz val="8"/>
      <color rgb="FF475569"/>
      <name val="Calibri Light"/>
      <family val="0"/>
      <charset val="1"/>
    </font>
    <font>
      <b val="true"/>
      <sz val="24"/>
      <color rgb="FF1F3864"/>
      <name val="Calibri"/>
      <family val="0"/>
      <charset val="1"/>
    </font>
    <font>
      <b val="true"/>
      <sz val="24"/>
      <color rgb="FFC00000"/>
      <name val="Calibri"/>
      <family val="0"/>
      <charset val="1"/>
    </font>
    <font>
      <b val="true"/>
      <sz val="24"/>
      <color rgb="FFBF8F00"/>
      <name val="Calibri"/>
      <family val="0"/>
      <charset val="1"/>
    </font>
    <font>
      <b val="true"/>
      <sz val="24"/>
      <color rgb="FF548235"/>
      <name val="Calibri"/>
      <family val="0"/>
      <charset val="1"/>
    </font>
    <font>
      <b val="true"/>
      <sz val="24"/>
      <color rgb="FF475569"/>
      <name val="Calibri"/>
      <family val="0"/>
      <charset val="1"/>
    </font>
    <font>
      <i val="true"/>
      <sz val="9"/>
      <color rgb="FF475569"/>
      <name val="Calibri Light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2E75B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F1F1F"/>
      <name val="Calibri"/>
      <family val="0"/>
      <charset val="1"/>
    </font>
    <font>
      <sz val="11"/>
      <name val="Segoe UI"/>
      <family val="0"/>
      <charset val="1"/>
    </font>
    <font>
      <i val="true"/>
      <sz val="10"/>
      <color rgb="FF475569"/>
      <name val="Calibri Light"/>
      <family val="0"/>
      <charset val="1"/>
    </font>
    <font>
      <b val="true"/>
      <sz val="10"/>
      <color rgb="FFFFFFFF"/>
      <name val="Calibri Light"/>
      <family val="0"/>
      <charset val="1"/>
    </font>
    <font>
      <sz val="11"/>
      <color rgb="FF1F1F1F"/>
      <name val="Calibri"/>
      <family val="0"/>
      <charset val="1"/>
    </font>
    <font>
      <b val="true"/>
      <sz val="18"/>
      <color rgb="FF1F3864"/>
      <name val="Calibri"/>
      <family val="0"/>
      <charset val="1"/>
    </font>
    <font>
      <sz val="10"/>
      <color rgb="FF475569"/>
      <name val="Calibri Light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1"/>
      <color rgb="FF2E75B6"/>
      <name val="Calibri"/>
      <family val="0"/>
      <charset val="1"/>
    </font>
    <font>
      <b val="true"/>
      <sz val="18"/>
      <color rgb="FF2E75B6"/>
      <name val="Calibri"/>
      <family val="0"/>
      <charset val="1"/>
    </font>
    <font>
      <b val="true"/>
      <sz val="18"/>
      <color rgb="FFBF8F00"/>
      <name val="Calibri"/>
      <family val="0"/>
      <charset val="1"/>
    </font>
    <font>
      <b val="true"/>
      <sz val="18"/>
      <color rgb="FFC00000"/>
      <name val="Calibri"/>
      <family val="0"/>
      <charset val="1"/>
    </font>
    <font>
      <b val="true"/>
      <sz val="18"/>
      <color rgb="FF7030A0"/>
      <name val="Calibri"/>
      <family val="0"/>
      <charset val="1"/>
    </font>
    <font>
      <i val="true"/>
      <sz val="8"/>
      <color rgb="FF475569"/>
      <name val="Calibri Light"/>
      <family val="0"/>
      <charset val="1"/>
    </font>
    <font>
      <b val="true"/>
      <sz val="10"/>
      <color rgb="FF548235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6"/>
      <color rgb="FF1B365D"/>
      <name val="Segoe UI"/>
      <family val="0"/>
      <charset val="1"/>
    </font>
    <font>
      <i val="true"/>
      <sz val="10"/>
      <color rgb="FF555555"/>
      <name val="Segoe UI"/>
      <family val="0"/>
      <charset val="1"/>
    </font>
    <font>
      <b val="true"/>
      <sz val="10"/>
      <color rgb="FF1B365D"/>
      <name val="Segoe UI"/>
      <family val="0"/>
      <charset val="1"/>
    </font>
    <font>
      <b val="true"/>
      <sz val="10"/>
      <color rgb="FF1A1A1A"/>
      <name val="Segoe UI"/>
      <family val="0"/>
      <charset val="1"/>
    </font>
    <font>
      <sz val="10"/>
      <color rgb="FF1A1A1A"/>
      <name val="Segoe UI"/>
      <family val="0"/>
      <charset val="1"/>
    </font>
    <font>
      <b val="true"/>
      <sz val="12"/>
      <color rgb="FF1B365D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8"/>
      <color rgb="FFBFBFBF"/>
      <name val="Calibri"/>
      <family val="0"/>
      <charset val="1"/>
    </font>
    <font>
      <b val="true"/>
      <sz val="10"/>
      <color rgb="FF475569"/>
      <name val="Calibri Light"/>
      <family val="0"/>
      <charset val="1"/>
    </font>
    <font>
      <b val="true"/>
      <sz val="8"/>
      <color rgb="FF2E75B6"/>
      <name val="Calibri Light"/>
      <family val="0"/>
      <charset val="1"/>
    </font>
    <font>
      <b val="true"/>
      <sz val="28"/>
      <color rgb="FFBF8F00"/>
      <name val="Calibri"/>
      <family val="0"/>
      <charset val="1"/>
    </font>
    <font>
      <b val="true"/>
      <sz val="28"/>
      <color rgb="FFC00000"/>
      <name val="Calibri"/>
      <family val="0"/>
      <charset val="1"/>
    </font>
    <font>
      <b val="true"/>
      <sz val="28"/>
      <color rgb="FF2E75B6"/>
      <name val="Calibri"/>
      <family val="0"/>
      <charset val="1"/>
    </font>
    <font>
      <b val="true"/>
      <sz val="28"/>
      <color rgb="FF1F3864"/>
      <name val="Calibri"/>
      <family val="0"/>
      <charset val="1"/>
    </font>
    <font>
      <b val="true"/>
      <sz val="28"/>
      <color rgb="FF475569"/>
      <name val="Calibri"/>
      <family val="0"/>
      <charset val="1"/>
    </font>
    <font>
      <b val="true"/>
      <sz val="28"/>
      <color rgb="FF54823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F172A"/>
      <name val="Calibri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475569"/>
        <bgColor rgb="FF555555"/>
      </patternFill>
    </fill>
    <fill>
      <patternFill patternType="solid">
        <fgColor rgb="FFFFFFFF"/>
        <bgColor rgb="FFF8FAFC"/>
      </patternFill>
    </fill>
    <fill>
      <patternFill patternType="solid">
        <fgColor rgb="FFEBF0F7"/>
        <bgColor rgb="FFEBF1F5"/>
      </patternFill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E2EFDA"/>
        <bgColor rgb="FFEBF1F5"/>
      </patternFill>
    </fill>
    <fill>
      <patternFill patternType="solid">
        <fgColor rgb="FF1F3864"/>
        <bgColor rgb="FF1B365D"/>
      </patternFill>
    </fill>
    <fill>
      <patternFill patternType="solid">
        <fgColor rgb="FFD9E2F3"/>
        <bgColor rgb="FFE4D5F0"/>
      </patternFill>
    </fill>
    <fill>
      <patternFill patternType="solid">
        <fgColor rgb="FFF2F2F2"/>
        <bgColor rgb="FFF2F4F8"/>
      </patternFill>
    </fill>
    <fill>
      <patternFill patternType="solid">
        <fgColor rgb="FFF2F4F8"/>
        <bgColor rgb="FFF2F2F2"/>
      </patternFill>
    </fill>
    <fill>
      <patternFill patternType="solid">
        <fgColor rgb="FF2E75B6"/>
        <bgColor rgb="FF0F766E"/>
      </patternFill>
    </fill>
    <fill>
      <patternFill patternType="solid">
        <fgColor rgb="FFFFFEE0"/>
        <bgColor rgb="FFFFFFFF"/>
      </patternFill>
    </fill>
    <fill>
      <patternFill patternType="solid">
        <fgColor rgb="FFEBF1F5"/>
        <bgColor rgb="FFEBF0F7"/>
      </patternFill>
    </fill>
    <fill>
      <patternFill patternType="solid">
        <fgColor rgb="FF1B365D"/>
        <bgColor rgb="FF1F3864"/>
      </patternFill>
    </fill>
    <fill>
      <patternFill patternType="solid">
        <fgColor rgb="FFF8FAFC"/>
        <bgColor rgb="FFF0FDFA"/>
      </patternFill>
    </fill>
    <fill>
      <patternFill patternType="solid">
        <fgColor rgb="FF0F766E"/>
        <bgColor rgb="FF008080"/>
      </patternFill>
    </fill>
    <fill>
      <patternFill patternType="solid">
        <fgColor rgb="FF6D28D9"/>
        <bgColor rgb="FF7030A0"/>
      </patternFill>
    </fill>
    <fill>
      <patternFill patternType="solid">
        <fgColor rgb="FFF5F3FF"/>
        <bgColor rgb="FFF2F4F8"/>
      </patternFill>
    </fill>
    <fill>
      <patternFill patternType="solid">
        <fgColor rgb="FFF0FDFA"/>
        <bgColor rgb="FFF8FAFC"/>
      </patternFill>
    </fill>
    <fill>
      <patternFill patternType="solid">
        <fgColor rgb="FF1E3A8A"/>
        <bgColor rgb="FF1F3864"/>
      </patternFill>
    </fill>
    <fill>
      <patternFill patternType="solid">
        <fgColor rgb="FF1F4E78"/>
        <bgColor rgb="FF1E3A8A"/>
      </patternFill>
    </fill>
    <fill>
      <patternFill patternType="solid">
        <fgColor rgb="FF334155"/>
        <bgColor rgb="FF1F3864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 style="thin">
        <color rgb="FF1F3864"/>
      </top>
      <bottom style="medium">
        <color rgb="FF1F3864"/>
      </bottom>
      <diagonal/>
    </border>
    <border diagonalUp="false" diagonalDown="false">
      <left/>
      <right/>
      <top style="thin">
        <color rgb="FFC00000"/>
      </top>
      <bottom style="medium">
        <color rgb="FFC00000"/>
      </bottom>
      <diagonal/>
    </border>
    <border diagonalUp="false" diagonalDown="false">
      <left/>
      <right/>
      <top style="thin">
        <color rgb="FFBF8F00"/>
      </top>
      <bottom style="medium">
        <color rgb="FFBF8F00"/>
      </bottom>
      <diagonal/>
    </border>
    <border diagonalUp="false" diagonalDown="false">
      <left/>
      <right/>
      <top style="thin">
        <color rgb="FF548235"/>
      </top>
      <bottom style="medium">
        <color rgb="FF548235"/>
      </bottom>
      <diagonal/>
    </border>
    <border diagonalUp="false" diagonalDown="false">
      <left/>
      <right/>
      <top style="thin">
        <color rgb="FF475569"/>
      </top>
      <bottom style="medium">
        <color rgb="FF475569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ck">
        <color rgb="FF1F3864"/>
      </left>
      <right/>
      <top/>
      <bottom/>
      <diagonal/>
    </border>
    <border diagonalUp="false" diagonalDown="false">
      <left/>
      <right/>
      <top/>
      <bottom style="dotted">
        <color rgb="FFBFBFBF"/>
      </bottom>
      <diagonal/>
    </border>
    <border diagonalUp="false" diagonalDown="false">
      <left style="thick">
        <color rgb="FF2E75B6"/>
      </left>
      <right/>
      <top/>
      <bottom/>
      <diagonal/>
    </border>
    <border diagonalUp="false" diagonalDown="false">
      <left style="thick">
        <color rgb="FFBF8F00"/>
      </left>
      <right/>
      <top/>
      <bottom/>
      <diagonal/>
    </border>
    <border diagonalUp="false" diagonalDown="false">
      <left style="thick">
        <color rgb="FFC00000"/>
      </left>
      <right/>
      <top/>
      <bottom/>
      <diagonal/>
    </border>
    <border diagonalUp="false" diagonalDown="false">
      <left style="thick">
        <color rgb="FF7030A0"/>
      </left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/>
      <right/>
      <top/>
      <bottom style="thin">
        <color rgb="FF475569"/>
      </bottom>
      <diagonal/>
    </border>
    <border diagonalUp="false" diagonalDown="false">
      <left/>
      <right/>
      <top style="thin">
        <color rgb="FF2E75B6"/>
      </top>
      <bottom style="medium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7" fillId="9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8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0" borderId="6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24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9" fillId="11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6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28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9" fillId="3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1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11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3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4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8" fillId="13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14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4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41" fillId="1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1" fillId="1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16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9" fillId="1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6" borderId="1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8" fontId="39" fillId="16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39" fillId="16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9" fillId="1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9" fillId="3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9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3" borderId="1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8" fontId="39" fillId="3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39" fillId="3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9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4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3" fillId="3" borderId="16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7" fillId="9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9" fillId="1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1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9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16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17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2" fillId="17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2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1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4" borderId="1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5" fillId="4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4" borderId="1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3" borderId="1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5" fillId="3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3" borderId="1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1" fillId="18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9" fontId="51" fillId="18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52" fillId="19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52" fillId="0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51" fillId="1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2" fillId="2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1" fillId="2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2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39" fillId="16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9" fillId="16" borderId="1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39" fillId="3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9" fillId="3" borderId="1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1" fillId="2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2" fillId="1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ont>
        <name val="Calibri"/>
        <charset val="1"/>
        <family val="0"/>
        <b val="1"/>
        <color rgb="FFC00000"/>
        <sz val="10"/>
      </font>
      <fill>
        <patternFill>
          <bgColor rgb="FFFBE5D6"/>
        </patternFill>
      </fill>
    </dxf>
    <dxf>
      <font>
        <name val="Calibri"/>
        <charset val="1"/>
        <family val="0"/>
        <b val="1"/>
        <color rgb="FFBF8F00"/>
        <sz val="10"/>
      </font>
      <fill>
        <patternFill>
          <bgColor rgb="FFFFF2CC"/>
        </patternFill>
      </fill>
    </dxf>
    <dxf>
      <font>
        <name val="Calibri"/>
        <charset val="1"/>
        <family val="0"/>
        <b val="1"/>
        <color rgb="FFC00000"/>
      </font>
      <fill>
        <patternFill>
          <bgColor rgb="FFFBE5D6"/>
        </patternFill>
      </fill>
    </dxf>
    <dxf>
      <font>
        <name val="Calibri"/>
        <charset val="1"/>
        <family val="0"/>
        <b val="1"/>
        <color rgb="FFBF8F00"/>
      </font>
      <fill>
        <patternFill>
          <bgColor rgb="FFFFF2CC"/>
        </patternFill>
      </fill>
    </dxf>
    <dxf>
      <font>
        <name val="Calibri"/>
        <charset val="1"/>
        <family val="0"/>
        <b val="1"/>
        <color rgb="FF548235"/>
      </font>
      <fill>
        <patternFill>
          <bgColor rgb="FFE2EFDA"/>
        </patternFill>
      </fill>
    </dxf>
    <dxf>
      <fill>
        <patternFill patternType="solid">
          <fgColor rgb="FF1B365D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7030A0"/>
        </patternFill>
      </fill>
    </dxf>
    <dxf>
      <font>
        <name val="Calibri"/>
        <charset val="1"/>
        <family val="0"/>
        <b val="1"/>
        <color rgb="FF7030A0"/>
        <sz val="10"/>
      </font>
      <fill>
        <patternFill>
          <bgColor rgb="FFE4D5F0"/>
        </patternFill>
      </fill>
    </dxf>
    <dxf>
      <font>
        <name val="Calibri"/>
        <charset val="1"/>
        <family val="0"/>
        <color rgb="FF548235"/>
        <sz val="10"/>
      </font>
      <fill>
        <patternFill>
          <bgColor rgb="FFE2EFDA"/>
        </patternFill>
      </fill>
    </dxf>
    <dxf>
      <font>
        <name val="Calibri"/>
        <charset val="1"/>
        <family val="0"/>
        <color rgb="FF548235"/>
      </font>
      <fill>
        <patternFill>
          <bgColor rgb="FFE2EFDA"/>
        </patternFill>
      </fill>
    </dxf>
    <dxf>
      <fill>
        <patternFill>
          <bgColor rgb="FFE2EFDA"/>
        </patternFill>
      </fill>
    </dxf>
    <dxf>
      <font>
        <name val="Calibri"/>
        <charset val="1"/>
        <family val="0"/>
        <color rgb="FFFFFFFF"/>
      </font>
      <fill>
        <patternFill>
          <bgColor rgb="FFFFFFFF"/>
        </patternFill>
      </fill>
    </dxf>
    <dxf>
      <font>
        <name val="Calibri"/>
        <charset val="1"/>
        <family val="0"/>
        <b val="1"/>
        <color rgb="FF1F3864"/>
        <sz val="10"/>
      </font>
      <fill>
        <patternFill>
          <bgColor rgb="FFD9E2F3"/>
        </patternFill>
      </fill>
    </dxf>
    <dxf>
      <font>
        <name val="Calibri"/>
        <charset val="1"/>
        <family val="0"/>
        <b val="1"/>
        <color rgb="FF2E75B6"/>
        <sz val="10"/>
      </font>
      <fill>
        <patternFill>
          <bgColor rgb="FFD9E2F3"/>
        </patternFill>
      </fill>
    </dxf>
    <dxf>
      <font>
        <name val="Calibri"/>
        <charset val="1"/>
        <family val="0"/>
        <b val="1"/>
        <color rgb="FF548235"/>
        <sz val="10"/>
      </font>
      <fill>
        <patternFill>
          <bgColor rgb="FFE2EFDA"/>
        </patternFill>
      </fill>
    </dxf>
    <dxf>
      <font>
        <name val="Calibri"/>
        <charset val="1"/>
        <family val="0"/>
        <b val="1"/>
        <color rgb="FF475569"/>
        <sz val="10"/>
      </font>
      <fill>
        <patternFill>
          <bgColor rgb="FFEBF0F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F172A"/>
      <rgbColor rgb="FF548235"/>
      <rgbColor rgb="FF6D28D9"/>
      <rgbColor rgb="FF0F766E"/>
      <rgbColor rgb="FFBFBFBF"/>
      <rgbColor rgb="FF555555"/>
      <rgbColor rgb="FFF5F3FF"/>
      <rgbColor rgb="FF7030A0"/>
      <rgbColor rgb="FFFFFEE0"/>
      <rgbColor rgb="FFF0FDFA"/>
      <rgbColor rgb="FF660066"/>
      <rgbColor rgb="FFFF8080"/>
      <rgbColor rgb="FF1F4E78"/>
      <rgbColor rgb="FFE4D5F0"/>
      <rgbColor rgb="FF1F3864"/>
      <rgbColor rgb="FFFF00FF"/>
      <rgbColor rgb="FFF2F4F8"/>
      <rgbColor rgb="FF00FFFF"/>
      <rgbColor rgb="FF800080"/>
      <rgbColor rgb="FF800000"/>
      <rgbColor rgb="FF008080"/>
      <rgbColor rgb="FF0000FF"/>
      <rgbColor rgb="FF00CCFF"/>
      <rgbColor rgb="FFEBF1F5"/>
      <rgbColor rgb="FFE2EFDA"/>
      <rgbColor rgb="FFFFF2CC"/>
      <rgbColor rgb="FFD3D3D3"/>
      <rgbColor rgb="FFEBF0F7"/>
      <rgbColor rgb="FFD9E2F3"/>
      <rgbColor rgb="FFFBE5D6"/>
      <rgbColor rgb="FF2E75B6"/>
      <rgbColor rgb="FF33CCCC"/>
      <rgbColor rgb="FF99CC00"/>
      <rgbColor rgb="FFF8FAFC"/>
      <rgbColor rgb="FFBF8F00"/>
      <rgbColor rgb="FFFF6600"/>
      <rgbColor rgb="FF475569"/>
      <rgbColor rgb="FF969696"/>
      <rgbColor rgb="FF1B365D"/>
      <rgbColor rgb="FF339966"/>
      <rgbColor rgb="FF1A1A1A"/>
      <rgbColor rgb="FF1F1F1F"/>
      <rgbColor rgb="FF993300"/>
      <rgbColor rgb="FF993366"/>
      <rgbColor rgb="FF1E3A8A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6" min="2" style="1" width="19"/>
    <col collapsed="false" customWidth="true" hidden="false" outlineLevel="0" max="7" min="7" style="1" width="2"/>
  </cols>
  <sheetData>
    <row r="1" customFormat="false" ht="6" hidden="false" customHeight="true" outlineLevel="0" collapsed="false">
      <c r="B1" s="2"/>
      <c r="C1" s="2"/>
      <c r="D1" s="2"/>
      <c r="E1" s="2"/>
      <c r="F1" s="2"/>
    </row>
    <row r="2" customFormat="false" ht="15.75" hidden="false" customHeight="true" outlineLevel="0" collapsed="false">
      <c r="B2" s="3" t="s">
        <v>0</v>
      </c>
    </row>
    <row r="3" customFormat="false" ht="6" hidden="false" customHeight="true" outlineLevel="0" collapsed="false"/>
    <row r="4" customFormat="false" ht="15.75" hidden="false" customHeight="true" outlineLevel="0" collapsed="false">
      <c r="B4" s="4" t="s">
        <v>1</v>
      </c>
      <c r="C4" s="5" t="s">
        <v>2</v>
      </c>
      <c r="D4" s="6" t="s">
        <v>3</v>
      </c>
      <c r="E4" s="7" t="s">
        <v>4</v>
      </c>
      <c r="F4" s="8" t="s">
        <v>5</v>
      </c>
    </row>
    <row r="5" customFormat="false" ht="37.5" hidden="false" customHeight="true" outlineLevel="0" collapsed="false">
      <c r="B5" s="9" t="n">
        <f aca="false">COUNTIFS(CHAMADOS_GOP!B2:B1000,"&lt;&gt;",CHAMADOS_GOP!O2:O1000,"&lt;&gt;27 - Instalação concluída",CHAMADOS_GOP!O2:O1000,"&lt;&gt;28 - Encerrado")</f>
        <v>17</v>
      </c>
      <c r="C5" s="10" t="n">
        <f aca="false">COUNTIF(CHAMADOS_GOP!Y2:Y1000,"*CRÍTICO*")</f>
        <v>5</v>
      </c>
      <c r="D5" s="11" t="n">
        <f aca="false">COUNTIF(CHAMADOS_GOP!Y2:Y1000,"*ATENÇÃO*")</f>
        <v>1</v>
      </c>
      <c r="E5" s="12" t="n">
        <f aca="false">COUNTIF(CHAMADOS_GOP!O2:O1000,"27 - Instalação concluída")</f>
        <v>11</v>
      </c>
      <c r="F5" s="13" t="n">
        <f aca="false">COUNTIF(CHAMADOS_GOP!B2:B1000,"&lt;&gt;")</f>
        <v>28</v>
      </c>
    </row>
    <row r="6" customFormat="false" ht="6" hidden="false" customHeight="true" outlineLevel="0" collapsed="false"/>
    <row r="7" customFormat="false" ht="15.75" hidden="false" customHeight="true" outlineLevel="0" collapsed="false">
      <c r="B7" s="14" t="s">
        <v>6</v>
      </c>
      <c r="C7" s="14"/>
      <c r="D7" s="14"/>
      <c r="E7" s="14"/>
      <c r="F7" s="14"/>
    </row>
    <row r="8" customFormat="false" ht="15.75" hidden="false" customHeight="true" outlineLevel="0" collapsed="false"/>
    <row r="9" customFormat="false" ht="6" hidden="false" customHeight="true" outlineLevel="0" collapsed="false">
      <c r="B9" s="15"/>
      <c r="C9" s="15"/>
      <c r="D9" s="15"/>
      <c r="E9" s="15"/>
      <c r="F9" s="15"/>
    </row>
    <row r="11" customFormat="false" ht="24" hidden="false" customHeight="true" outlineLevel="0" collapsed="false">
      <c r="B11" s="16" t="s">
        <v>7</v>
      </c>
      <c r="C11" s="16"/>
      <c r="D11" s="16"/>
      <c r="E11" s="16"/>
      <c r="F11" s="16"/>
    </row>
    <row r="12" customFormat="false" ht="39.75" hidden="false" customHeight="true" outlineLevel="0" collapsed="false">
      <c r="B12" s="17" t="s">
        <v>8</v>
      </c>
      <c r="C12" s="17"/>
      <c r="D12" s="17"/>
      <c r="E12" s="17"/>
      <c r="F12" s="17"/>
    </row>
    <row r="14" customFormat="false" ht="24" hidden="false" customHeight="true" outlineLevel="0" collapsed="false">
      <c r="B14" s="18" t="s">
        <v>9</v>
      </c>
      <c r="C14" s="18"/>
      <c r="D14" s="18"/>
      <c r="E14" s="18"/>
      <c r="F14" s="18"/>
    </row>
    <row r="15" customFormat="false" ht="75.75" hidden="false" customHeight="true" outlineLevel="0" collapsed="false">
      <c r="B15" s="19" t="s">
        <v>10</v>
      </c>
      <c r="C15" s="19"/>
      <c r="D15" s="19"/>
      <c r="E15" s="19"/>
      <c r="F15" s="19"/>
    </row>
    <row r="17" customFormat="false" ht="24" hidden="false" customHeight="true" outlineLevel="0" collapsed="false">
      <c r="B17" s="18" t="s">
        <v>11</v>
      </c>
      <c r="C17" s="18"/>
      <c r="D17" s="18"/>
      <c r="E17" s="18"/>
      <c r="F17" s="18"/>
    </row>
    <row r="18" customFormat="false" ht="123.75" hidden="false" customHeight="true" outlineLevel="0" collapsed="false">
      <c r="B18" s="19" t="s">
        <v>12</v>
      </c>
      <c r="C18" s="19"/>
      <c r="D18" s="19"/>
      <c r="E18" s="19"/>
      <c r="F18" s="19"/>
    </row>
    <row r="20" customFormat="false" ht="24" hidden="false" customHeight="true" outlineLevel="0" collapsed="false">
      <c r="B20" s="18" t="s">
        <v>13</v>
      </c>
      <c r="C20" s="18"/>
      <c r="D20" s="18"/>
      <c r="E20" s="18"/>
      <c r="F20" s="18"/>
    </row>
    <row r="21" customFormat="false" ht="171.75" hidden="false" customHeight="true" outlineLevel="0" collapsed="false">
      <c r="B21" s="19" t="s">
        <v>14</v>
      </c>
      <c r="C21" s="19"/>
      <c r="D21" s="19"/>
      <c r="E21" s="19"/>
      <c r="F21" s="19"/>
    </row>
    <row r="23" customFormat="false" ht="24" hidden="false" customHeight="true" outlineLevel="0" collapsed="false">
      <c r="B23" s="18" t="s">
        <v>15</v>
      </c>
      <c r="C23" s="18"/>
      <c r="D23" s="18"/>
      <c r="E23" s="18"/>
      <c r="F23" s="18"/>
    </row>
    <row r="24" customFormat="false" ht="123.75" hidden="false" customHeight="true" outlineLevel="0" collapsed="false">
      <c r="B24" s="19" t="s">
        <v>16</v>
      </c>
      <c r="C24" s="19"/>
      <c r="D24" s="19"/>
      <c r="E24" s="19"/>
      <c r="F24" s="19"/>
    </row>
    <row r="26" customFormat="false" ht="24" hidden="false" customHeight="true" outlineLevel="0" collapsed="false">
      <c r="B26" s="18" t="s">
        <v>17</v>
      </c>
      <c r="C26" s="18"/>
      <c r="D26" s="18"/>
      <c r="E26" s="18"/>
      <c r="F26" s="18"/>
    </row>
    <row r="27" customFormat="false" ht="123.75" hidden="false" customHeight="true" outlineLevel="0" collapsed="false">
      <c r="B27" s="19" t="s">
        <v>18</v>
      </c>
      <c r="C27" s="19"/>
      <c r="D27" s="19"/>
      <c r="E27" s="19"/>
      <c r="F27" s="19"/>
    </row>
    <row r="29" customFormat="false" ht="24" hidden="false" customHeight="true" outlineLevel="0" collapsed="false">
      <c r="B29" s="18" t="s">
        <v>19</v>
      </c>
      <c r="C29" s="18"/>
      <c r="D29" s="18"/>
      <c r="E29" s="18"/>
      <c r="F29" s="18"/>
    </row>
    <row r="30" customFormat="false" ht="108" hidden="false" customHeight="true" outlineLevel="0" collapsed="false">
      <c r="B30" s="19" t="s">
        <v>20</v>
      </c>
      <c r="C30" s="19"/>
      <c r="D30" s="19"/>
      <c r="E30" s="19"/>
      <c r="F30" s="19"/>
    </row>
    <row r="32" customFormat="false" ht="24" hidden="false" customHeight="true" outlineLevel="0" collapsed="false">
      <c r="B32" s="18" t="s">
        <v>21</v>
      </c>
      <c r="C32" s="18"/>
      <c r="D32" s="18"/>
      <c r="E32" s="18"/>
      <c r="F32" s="18"/>
    </row>
    <row r="33" customFormat="false" ht="60" hidden="false" customHeight="true" outlineLevel="0" collapsed="false">
      <c r="B33" s="19" t="s">
        <v>22</v>
      </c>
      <c r="C33" s="19"/>
      <c r="D33" s="19"/>
      <c r="E33" s="19"/>
      <c r="F33" s="19"/>
    </row>
  </sheetData>
  <mergeCells count="17">
    <mergeCell ref="B7:F7"/>
    <mergeCell ref="B11:F11"/>
    <mergeCell ref="B12:F12"/>
    <mergeCell ref="B14:F14"/>
    <mergeCell ref="B15:F15"/>
    <mergeCell ref="B17:F17"/>
    <mergeCell ref="B18:F18"/>
    <mergeCell ref="B20:F20"/>
    <mergeCell ref="B21:F21"/>
    <mergeCell ref="B23:F23"/>
    <mergeCell ref="B24:F24"/>
    <mergeCell ref="B26:F26"/>
    <mergeCell ref="B27:F27"/>
    <mergeCell ref="B29:F29"/>
    <mergeCell ref="B30:F30"/>
    <mergeCell ref="B32:F32"/>
    <mergeCell ref="B33:F33"/>
  </mergeCells>
  <printOptions headings="false" gridLines="false" gridLinesSet="true" horizontalCentered="true" verticalCentered="false"/>
  <pageMargins left="0.4" right="0.4" top="0.6" bottom="0.6" header="0.3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&amp;R&amp;"Calibri,Bold"&amp;K1f3864Controle Vivo de Climatização&amp;"Calibri,Regular"&amp;10 &amp;K595959  ·  GOP / 3ª CRE</oddHeader>
    <oddFooter>&amp;C&amp;9 &amp;K595959Página &amp;P de &amp;N  · 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3.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3"/>
    <col collapsed="false" customWidth="true" hidden="false" outlineLevel="0" max="3" min="3" style="1" width="36"/>
    <col collapsed="false" customWidth="true" hidden="false" outlineLevel="0" max="4" min="4" style="1" width="3"/>
    <col collapsed="false" customWidth="true" hidden="false" outlineLevel="0" max="5" min="5" style="1" width="46"/>
    <col collapsed="false" customWidth="true" hidden="false" outlineLevel="0" max="6" min="6" style="1" width="9"/>
    <col collapsed="false" customWidth="true" hidden="false" outlineLevel="0" max="7" min="7" style="1" width="3"/>
    <col collapsed="false" customWidth="true" hidden="false" outlineLevel="0" max="8" min="8" style="1" width="22"/>
    <col collapsed="false" customWidth="true" hidden="false" outlineLevel="0" max="9" min="9" style="1" width="9"/>
    <col collapsed="false" customWidth="true" hidden="false" outlineLevel="0" max="11" min="10" style="1" width="3"/>
  </cols>
  <sheetData>
    <row r="1" customFormat="false" ht="42" hidden="false" customHeight="true" outlineLevel="0" collapsed="false">
      <c r="A1" s="16" t="s">
        <v>23</v>
      </c>
      <c r="B1" s="16"/>
      <c r="C1" s="16"/>
      <c r="D1" s="16"/>
      <c r="E1" s="16"/>
      <c r="F1" s="16"/>
      <c r="G1" s="16"/>
      <c r="H1" s="16"/>
      <c r="I1" s="16"/>
      <c r="J1" s="20"/>
      <c r="K1" s="20"/>
    </row>
    <row r="2" customFormat="false" ht="25.5" hidden="false" customHeight="true" outlineLevel="0" collapsed="false">
      <c r="A2" s="21" t="s">
        <v>24</v>
      </c>
      <c r="B2" s="21"/>
      <c r="C2" s="21"/>
      <c r="D2" s="21"/>
      <c r="E2" s="21"/>
      <c r="F2" s="21"/>
      <c r="G2" s="21"/>
      <c r="H2" s="21"/>
      <c r="I2" s="21"/>
      <c r="J2" s="22"/>
      <c r="K2" s="22"/>
    </row>
    <row r="3" customFormat="false" ht="13.5" hidden="false" customHeight="true" outlineLevel="0" collapsed="false">
      <c r="A3" s="23" t="s">
        <v>25</v>
      </c>
      <c r="B3" s="24" t="s">
        <v>26</v>
      </c>
      <c r="C3" s="23" t="s">
        <v>27</v>
      </c>
      <c r="D3" s="25"/>
      <c r="E3" s="23" t="s">
        <v>28</v>
      </c>
      <c r="F3" s="24" t="s">
        <v>29</v>
      </c>
      <c r="G3" s="25"/>
      <c r="H3" s="23" t="s">
        <v>30</v>
      </c>
      <c r="I3" s="24" t="s">
        <v>29</v>
      </c>
      <c r="J3" s="25"/>
      <c r="K3" s="25"/>
    </row>
    <row r="4" customFormat="false" ht="15.75" hidden="false" customHeight="true" outlineLevel="0" collapsed="false">
      <c r="A4" s="26" t="s">
        <v>31</v>
      </c>
      <c r="B4" s="27" t="n">
        <f aca="false">COUNTA(CHAMADOS_GOP!$D$2:$D$1000)</f>
        <v>28</v>
      </c>
      <c r="C4" s="28" t="s">
        <v>32</v>
      </c>
      <c r="D4" s="25"/>
      <c r="E4" s="29" t="s">
        <v>33</v>
      </c>
      <c r="F4" s="30" t="n">
        <f aca="false">COUNTIF(CHAMADOS_GOP!$O$2:$O$1000,E4)</f>
        <v>0</v>
      </c>
      <c r="G4" s="25"/>
      <c r="H4" s="29" t="s">
        <v>34</v>
      </c>
      <c r="I4" s="31" t="n">
        <f aca="false">COUNTIF(CHAMADOS_GOP!$P$2:$P$1000,"*"&amp;H4&amp;"*")</f>
        <v>11</v>
      </c>
      <c r="J4" s="25"/>
      <c r="K4" s="25"/>
    </row>
    <row r="5" customFormat="false" ht="15.75" hidden="false" customHeight="true" outlineLevel="0" collapsed="false">
      <c r="A5" s="32" t="s">
        <v>35</v>
      </c>
      <c r="B5" s="33" t="n">
        <f aca="false">COUNTIFS(CHAMADOS_GOP!O2:O1000,"&lt;&gt;",CHAMADOS_GOP!O2:O1000,"&lt;&gt;28 - Encerrado")</f>
        <v>28</v>
      </c>
      <c r="C5" s="34" t="s">
        <v>36</v>
      </c>
      <c r="D5" s="25"/>
      <c r="E5" s="35" t="s">
        <v>37</v>
      </c>
      <c r="F5" s="36" t="n">
        <f aca="false">COUNTIF(CHAMADOS_GOP!$O$2:$O$1000,E5)</f>
        <v>1</v>
      </c>
      <c r="G5" s="25"/>
      <c r="H5" s="35" t="s">
        <v>38</v>
      </c>
      <c r="I5" s="37" t="n">
        <f aca="false">COUNTIF(CHAMADOS_GOP!$P$2:$P$1000,"*"&amp;H5&amp;"*")</f>
        <v>2</v>
      </c>
      <c r="J5" s="25"/>
      <c r="K5" s="25"/>
    </row>
    <row r="6" customFormat="false" ht="15.75" hidden="false" customHeight="true" outlineLevel="0" collapsed="false">
      <c r="A6" s="26" t="s">
        <v>39</v>
      </c>
      <c r="B6" s="38" t="n">
        <f aca="false">COUNTIF(CHAMADOS_GOP!T2:T1000,"Pendente de Vistoria")+COUNTIF(CHAMADOS_GOP!T2:T1000,"Não validada")</f>
        <v>19</v>
      </c>
      <c r="C6" s="28" t="s">
        <v>40</v>
      </c>
      <c r="D6" s="25"/>
      <c r="E6" s="29" t="s">
        <v>41</v>
      </c>
      <c r="F6" s="30" t="n">
        <f aca="false">COUNTIF(CHAMADOS_GOP!$O$2:$O$1000,E6)</f>
        <v>0</v>
      </c>
      <c r="G6" s="25"/>
      <c r="H6" s="29" t="s">
        <v>42</v>
      </c>
      <c r="I6" s="31" t="n">
        <f aca="false">COUNTIF(CHAMADOS_GOP!$P$2:$P$1000,"*"&amp;H6&amp;"*")</f>
        <v>15</v>
      </c>
      <c r="J6" s="25"/>
      <c r="K6" s="25"/>
    </row>
    <row r="7" customFormat="false" ht="27.75" hidden="false" customHeight="true" outlineLevel="0" collapsed="false">
      <c r="A7" s="32" t="s">
        <v>43</v>
      </c>
      <c r="B7" s="33" t="n">
        <f aca="false">COUNTIF(CHAMADOS_GOP!P2:P1000,"*CTO*")</f>
        <v>1</v>
      </c>
      <c r="C7" s="34" t="s">
        <v>44</v>
      </c>
      <c r="D7" s="25"/>
      <c r="E7" s="35" t="s">
        <v>45</v>
      </c>
      <c r="F7" s="36" t="n">
        <f aca="false">COUNTIF(CHAMADOS_GOP!$O$2:$O$1000,E7)</f>
        <v>1</v>
      </c>
      <c r="G7" s="25"/>
      <c r="H7" s="35" t="s">
        <v>46</v>
      </c>
      <c r="I7" s="37" t="n">
        <f aca="false">COUNTIF(CHAMADOS_GOP!$P$2:$P$1000,"*"&amp;H7&amp;"*")</f>
        <v>0</v>
      </c>
      <c r="J7" s="25"/>
      <c r="K7" s="25"/>
    </row>
    <row r="8" customFormat="false" ht="15.75" hidden="false" customHeight="true" outlineLevel="0" collapsed="false">
      <c r="A8" s="26" t="s">
        <v>47</v>
      </c>
      <c r="B8" s="39" t="n">
        <f aca="false">COUNTIFS(CHAMADOS_GOP!S2:S1000,"&gt;7",CHAMADOS_GOP!O2:O1000,"&lt;&gt;28 - Encerrado")</f>
        <v>0</v>
      </c>
      <c r="C8" s="28" t="s">
        <v>48</v>
      </c>
      <c r="D8" s="25"/>
      <c r="E8" s="29" t="s">
        <v>49</v>
      </c>
      <c r="F8" s="30" t="n">
        <f aca="false">COUNTIF(CHAMADOS_GOP!$O$2:$O$1000,E8)</f>
        <v>0</v>
      </c>
      <c r="G8" s="25"/>
      <c r="H8" s="29" t="s">
        <v>50</v>
      </c>
      <c r="I8" s="31" t="n">
        <f aca="false">COUNTIF(CHAMADOS_GOP!$P$2:$P$1000,"*"&amp;H8&amp;"*")</f>
        <v>1</v>
      </c>
      <c r="J8" s="25"/>
      <c r="K8" s="25"/>
    </row>
    <row r="9" customFormat="false" ht="15.75" hidden="false" customHeight="true" outlineLevel="0" collapsed="false">
      <c r="A9" s="32" t="s">
        <v>51</v>
      </c>
      <c r="B9" s="40" t="n">
        <f aca="false">COUNTIFS(CHAMADOS_GOP!Y2:Y1000,"*CRÍTICO*",CHAMADOS_GOP!O2:O1000,"&lt;&gt;28 - Encerrado")</f>
        <v>5</v>
      </c>
      <c r="C9" s="34" t="s">
        <v>52</v>
      </c>
      <c r="D9" s="25"/>
      <c r="E9" s="35" t="s">
        <v>53</v>
      </c>
      <c r="F9" s="36" t="n">
        <f aca="false">COUNTIF(CHAMADOS_GOP!$O$2:$O$1000,E9)</f>
        <v>0</v>
      </c>
      <c r="G9" s="25"/>
      <c r="H9" s="35" t="s">
        <v>54</v>
      </c>
      <c r="I9" s="37" t="n">
        <f aca="false">COUNTIF(CHAMADOS_GOP!$P$2:$P$1000,"*"&amp;H9&amp;"*")</f>
        <v>0</v>
      </c>
      <c r="J9" s="25"/>
      <c r="K9" s="25"/>
    </row>
    <row r="10" customFormat="false" ht="15.75" hidden="false" customHeight="true" outlineLevel="0" collapsed="false">
      <c r="A10" s="25"/>
      <c r="B10" s="25"/>
      <c r="C10" s="25"/>
      <c r="D10" s="25"/>
      <c r="E10" s="29" t="s">
        <v>55</v>
      </c>
      <c r="F10" s="30" t="n">
        <f aca="false">COUNTIF(CHAMADOS_GOP!$O$2:$O$1000,E10)</f>
        <v>1</v>
      </c>
      <c r="G10" s="25"/>
      <c r="H10" s="29" t="s">
        <v>56</v>
      </c>
      <c r="I10" s="31" t="n">
        <f aca="false">COUNTIF(CHAMADOS_GOP!$P$2:$P$1000,"*"&amp;H10&amp;"*")</f>
        <v>0</v>
      </c>
      <c r="J10" s="25"/>
      <c r="K10" s="25"/>
    </row>
    <row r="11" customFormat="false" ht="15.75" hidden="false" customHeight="true" outlineLevel="0" collapsed="false">
      <c r="A11" s="25"/>
      <c r="B11" s="25"/>
      <c r="C11" s="25"/>
      <c r="D11" s="25"/>
      <c r="E11" s="35" t="s">
        <v>57</v>
      </c>
      <c r="F11" s="36" t="n">
        <f aca="false">COUNTIF(CHAMADOS_GOP!$O$2:$O$1000,E11)</f>
        <v>0</v>
      </c>
      <c r="G11" s="25"/>
      <c r="H11" s="35" t="s">
        <v>58</v>
      </c>
      <c r="I11" s="37" t="n">
        <f aca="false">COUNTIF(CHAMADOS_GOP!$P$2:$P$1000,"*"&amp;H11&amp;"*")</f>
        <v>0</v>
      </c>
      <c r="J11" s="25"/>
      <c r="K11" s="25"/>
    </row>
    <row r="12" customFormat="false" ht="15.75" hidden="false" customHeight="true" outlineLevel="0" collapsed="false">
      <c r="A12" s="25"/>
      <c r="B12" s="25"/>
      <c r="C12" s="25"/>
      <c r="D12" s="25"/>
      <c r="E12" s="29" t="s">
        <v>59</v>
      </c>
      <c r="F12" s="30" t="n">
        <f aca="false">COUNTIF(CHAMADOS_GOP!$O$2:$O$1000,E12)</f>
        <v>7</v>
      </c>
      <c r="G12" s="25"/>
      <c r="H12" s="29" t="s">
        <v>60</v>
      </c>
      <c r="I12" s="31" t="n">
        <f aca="false">COUNTIF(CHAMADOS_GOP!$P$2:$P$1000,"*"&amp;H12&amp;"*")</f>
        <v>14</v>
      </c>
      <c r="J12" s="25"/>
      <c r="K12" s="25"/>
    </row>
    <row r="13" customFormat="false" ht="15.75" hidden="false" customHeight="true" outlineLevel="0" collapsed="false">
      <c r="A13" s="25"/>
      <c r="B13" s="25"/>
      <c r="C13" s="25"/>
      <c r="D13" s="25"/>
      <c r="E13" s="35" t="s">
        <v>61</v>
      </c>
      <c r="F13" s="36" t="n">
        <f aca="false">COUNTIF(CHAMADOS_GOP!$O$2:$O$1000,E13)</f>
        <v>0</v>
      </c>
      <c r="G13" s="25"/>
      <c r="H13" s="25"/>
      <c r="I13" s="25"/>
      <c r="J13" s="25"/>
      <c r="K13" s="25"/>
    </row>
    <row r="14" customFormat="false" ht="15.75" hidden="false" customHeight="true" outlineLevel="0" collapsed="false">
      <c r="A14" s="25"/>
      <c r="B14" s="25"/>
      <c r="C14" s="25"/>
      <c r="D14" s="25"/>
      <c r="E14" s="29" t="s">
        <v>62</v>
      </c>
      <c r="F14" s="30" t="n">
        <f aca="false">COUNTIF(CHAMADOS_GOP!$O$2:$O$1000,E14)</f>
        <v>0</v>
      </c>
      <c r="G14" s="25"/>
      <c r="H14" s="41" t="s">
        <v>63</v>
      </c>
      <c r="I14" s="41"/>
      <c r="J14" s="25"/>
      <c r="K14" s="25"/>
    </row>
    <row r="15" customFormat="false" ht="15.75" hidden="false" customHeight="true" outlineLevel="0" collapsed="false">
      <c r="A15" s="25"/>
      <c r="B15" s="25"/>
      <c r="C15" s="25"/>
      <c r="D15" s="25"/>
      <c r="E15" s="35" t="s">
        <v>64</v>
      </c>
      <c r="F15" s="36" t="n">
        <f aca="false">COUNTIF(CHAMADOS_GOP!$O$2:$O$1000,E15)</f>
        <v>3</v>
      </c>
      <c r="G15" s="25"/>
      <c r="H15" s="41"/>
      <c r="I15" s="41"/>
      <c r="J15" s="25"/>
      <c r="K15" s="25"/>
    </row>
    <row r="16" customFormat="false" ht="15.75" hidden="false" customHeight="true" outlineLevel="0" collapsed="false">
      <c r="A16" s="25"/>
      <c r="B16" s="25"/>
      <c r="C16" s="25"/>
      <c r="D16" s="25"/>
      <c r="E16" s="29" t="s">
        <v>65</v>
      </c>
      <c r="F16" s="30" t="n">
        <f aca="false">COUNTIF(CHAMADOS_GOP!$O$2:$O$1000,E16)</f>
        <v>0</v>
      </c>
      <c r="G16" s="25"/>
      <c r="H16" s="41"/>
      <c r="I16" s="41"/>
      <c r="J16" s="25"/>
      <c r="K16" s="25"/>
    </row>
    <row r="17" customFormat="false" ht="15.75" hidden="false" customHeight="true" outlineLevel="0" collapsed="false">
      <c r="A17" s="25"/>
      <c r="B17" s="25"/>
      <c r="C17" s="25"/>
      <c r="D17" s="25"/>
      <c r="E17" s="35" t="s">
        <v>66</v>
      </c>
      <c r="F17" s="36" t="n">
        <f aca="false">COUNTIF(CHAMADOS_GOP!$O$2:$O$1000,E17)</f>
        <v>0</v>
      </c>
      <c r="G17" s="25"/>
      <c r="H17" s="41"/>
      <c r="I17" s="41"/>
      <c r="J17" s="25"/>
      <c r="K17" s="25"/>
    </row>
    <row r="18" customFormat="false" ht="15.75" hidden="false" customHeight="true" outlineLevel="0" collapsed="false">
      <c r="A18" s="25"/>
      <c r="B18" s="25"/>
      <c r="C18" s="25"/>
      <c r="D18" s="25"/>
      <c r="E18" s="29" t="s">
        <v>67</v>
      </c>
      <c r="F18" s="30" t="n">
        <f aca="false">COUNTIF(CHAMADOS_GOP!$O$2:$O$1000,E18)</f>
        <v>0</v>
      </c>
      <c r="G18" s="25"/>
      <c r="H18" s="25"/>
      <c r="I18" s="25"/>
      <c r="J18" s="25"/>
      <c r="K18" s="25"/>
    </row>
    <row r="19" customFormat="false" ht="15.75" hidden="false" customHeight="true" outlineLevel="0" collapsed="false">
      <c r="A19" s="25"/>
      <c r="B19" s="25"/>
      <c r="C19" s="25"/>
      <c r="D19" s="25"/>
      <c r="E19" s="35" t="s">
        <v>68</v>
      </c>
      <c r="F19" s="36" t="n">
        <f aca="false">COUNTIF(CHAMADOS_GOP!$O$2:$O$1000,E19)</f>
        <v>0</v>
      </c>
      <c r="G19" s="25"/>
      <c r="H19" s="25"/>
      <c r="I19" s="25"/>
      <c r="J19" s="25"/>
      <c r="K19" s="25"/>
    </row>
    <row r="20" customFormat="false" ht="15.75" hidden="false" customHeight="true" outlineLevel="0" collapsed="false">
      <c r="A20" s="25"/>
      <c r="B20" s="25"/>
      <c r="C20" s="25"/>
      <c r="D20" s="25"/>
      <c r="E20" s="29" t="s">
        <v>69</v>
      </c>
      <c r="F20" s="30" t="n">
        <f aca="false">COUNTIF(CHAMADOS_GOP!$O$2:$O$1000,E20)</f>
        <v>4</v>
      </c>
      <c r="G20" s="25"/>
      <c r="H20" s="25"/>
      <c r="I20" s="25"/>
      <c r="J20" s="25"/>
      <c r="K20" s="25"/>
    </row>
    <row r="21" customFormat="false" ht="15.75" hidden="false" customHeight="true" outlineLevel="0" collapsed="false">
      <c r="A21" s="25"/>
      <c r="B21" s="25"/>
      <c r="C21" s="25"/>
      <c r="D21" s="25"/>
      <c r="E21" s="35" t="s">
        <v>70</v>
      </c>
      <c r="F21" s="36" t="n">
        <f aca="false">COUNTIF(CHAMADOS_GOP!$O$2:$O$1000,E21)</f>
        <v>0</v>
      </c>
      <c r="G21" s="25"/>
      <c r="H21" s="25"/>
      <c r="I21" s="25"/>
      <c r="J21" s="25"/>
      <c r="K21" s="25"/>
    </row>
    <row r="22" customFormat="false" ht="15.75" hidden="false" customHeight="true" outlineLevel="0" collapsed="false">
      <c r="A22" s="25"/>
      <c r="B22" s="25"/>
      <c r="C22" s="25"/>
      <c r="D22" s="25"/>
      <c r="E22" s="29" t="s">
        <v>71</v>
      </c>
      <c r="F22" s="30" t="n">
        <f aca="false">COUNTIF(CHAMADOS_GOP!$O$2:$O$1000,E22)</f>
        <v>0</v>
      </c>
      <c r="G22" s="25"/>
      <c r="H22" s="25"/>
      <c r="I22" s="25"/>
      <c r="J22" s="25"/>
      <c r="K22" s="25"/>
    </row>
    <row r="23" customFormat="false" ht="15.75" hidden="false" customHeight="true" outlineLevel="0" collapsed="false">
      <c r="A23" s="25"/>
      <c r="B23" s="25"/>
      <c r="C23" s="25"/>
      <c r="D23" s="25"/>
      <c r="E23" s="35" t="s">
        <v>72</v>
      </c>
      <c r="F23" s="36" t="n">
        <f aca="false">COUNTIF(CHAMADOS_GOP!$O$2:$O$1000,E23)</f>
        <v>0</v>
      </c>
      <c r="G23" s="25"/>
      <c r="H23" s="25"/>
      <c r="I23" s="25"/>
      <c r="J23" s="25"/>
      <c r="K23" s="25"/>
    </row>
    <row r="24" customFormat="false" ht="15.75" hidden="false" customHeight="true" outlineLevel="0" collapsed="false">
      <c r="A24" s="25"/>
      <c r="B24" s="25"/>
      <c r="C24" s="25"/>
      <c r="D24" s="25"/>
      <c r="E24" s="29" t="s">
        <v>73</v>
      </c>
      <c r="F24" s="30" t="n">
        <f aca="false">COUNTIF(CHAMADOS_GOP!$O$2:$O$1000,E24)</f>
        <v>0</v>
      </c>
      <c r="G24" s="25"/>
      <c r="H24" s="25"/>
      <c r="I24" s="25"/>
      <c r="J24" s="25"/>
      <c r="K24" s="25"/>
    </row>
    <row r="25" customFormat="false" ht="15.75" hidden="false" customHeight="true" outlineLevel="0" collapsed="false">
      <c r="A25" s="25"/>
      <c r="B25" s="25"/>
      <c r="C25" s="25"/>
      <c r="D25" s="25"/>
      <c r="E25" s="35" t="s">
        <v>74</v>
      </c>
      <c r="F25" s="36" t="n">
        <f aca="false">COUNTIF(CHAMADOS_GOP!$O$2:$O$1000,E25)</f>
        <v>0</v>
      </c>
      <c r="G25" s="25"/>
      <c r="H25" s="25"/>
      <c r="I25" s="25"/>
      <c r="J25" s="25"/>
      <c r="K25" s="25"/>
    </row>
    <row r="26" customFormat="false" ht="15.75" hidden="false" customHeight="true" outlineLevel="0" collapsed="false">
      <c r="A26" s="25"/>
      <c r="B26" s="25"/>
      <c r="C26" s="25"/>
      <c r="D26" s="25"/>
      <c r="E26" s="29" t="s">
        <v>75</v>
      </c>
      <c r="F26" s="30" t="n">
        <f aca="false">COUNTIF(CHAMADOS_GOP!$O$2:$O$1000,E26)</f>
        <v>0</v>
      </c>
      <c r="G26" s="25"/>
      <c r="H26" s="25"/>
      <c r="I26" s="25"/>
      <c r="J26" s="25"/>
      <c r="K26" s="25"/>
    </row>
    <row r="27" customFormat="false" ht="15.75" hidden="false" customHeight="true" outlineLevel="0" collapsed="false">
      <c r="A27" s="25"/>
      <c r="B27" s="25"/>
      <c r="C27" s="25"/>
      <c r="D27" s="25"/>
      <c r="E27" s="35" t="s">
        <v>76</v>
      </c>
      <c r="F27" s="36" t="n">
        <f aca="false">COUNTIF(CHAMADOS_GOP!$O$2:$O$1000,E27)</f>
        <v>0</v>
      </c>
      <c r="G27" s="25"/>
      <c r="H27" s="25"/>
      <c r="I27" s="25"/>
      <c r="J27" s="25"/>
      <c r="K27" s="25"/>
    </row>
    <row r="28" customFormat="false" ht="15.75" hidden="false" customHeight="true" outlineLevel="0" collapsed="false">
      <c r="A28" s="25"/>
      <c r="B28" s="25"/>
      <c r="C28" s="25"/>
      <c r="D28" s="25"/>
      <c r="E28" s="29" t="s">
        <v>77</v>
      </c>
      <c r="F28" s="30" t="n">
        <f aca="false">COUNTIF(CHAMADOS_GOP!$O$2:$O$1000,E28)</f>
        <v>0</v>
      </c>
      <c r="G28" s="25"/>
      <c r="H28" s="25"/>
      <c r="I28" s="25"/>
      <c r="J28" s="25"/>
      <c r="K28" s="25"/>
    </row>
    <row r="29" customFormat="false" ht="15.75" hidden="false" customHeight="true" outlineLevel="0" collapsed="false">
      <c r="A29" s="25"/>
      <c r="B29" s="25"/>
      <c r="C29" s="25"/>
      <c r="D29" s="25"/>
      <c r="E29" s="35" t="s">
        <v>78</v>
      </c>
      <c r="F29" s="36" t="n">
        <f aca="false">COUNTIF(CHAMADOS_GOP!$O$2:$O$1000,E29)</f>
        <v>0</v>
      </c>
      <c r="G29" s="25"/>
      <c r="H29" s="25"/>
      <c r="I29" s="25"/>
      <c r="J29" s="25"/>
      <c r="K29" s="25"/>
    </row>
    <row r="30" customFormat="false" ht="15.75" hidden="false" customHeight="true" outlineLevel="0" collapsed="false">
      <c r="A30" s="25"/>
      <c r="B30" s="25"/>
      <c r="C30" s="25"/>
      <c r="D30" s="25"/>
      <c r="E30" s="42" t="s">
        <v>79</v>
      </c>
      <c r="F30" s="30" t="n">
        <f aca="false">COUNTIF(CHAMADOS_GOP!$O$2:$O$1000,E30)</f>
        <v>11</v>
      </c>
      <c r="G30" s="25"/>
      <c r="H30" s="25"/>
      <c r="I30" s="25"/>
      <c r="J30" s="25"/>
      <c r="K30" s="25"/>
    </row>
    <row r="31" customFormat="false" ht="15.75" hidden="false" customHeight="true" outlineLevel="0" collapsed="false">
      <c r="A31" s="25"/>
      <c r="B31" s="25"/>
      <c r="C31" s="25"/>
      <c r="D31" s="25"/>
      <c r="E31" s="43" t="s">
        <v>80</v>
      </c>
      <c r="F31" s="36" t="n">
        <f aca="false">COUNTIF(CHAMADOS_GOP!$O$2:$O$1000,E31)</f>
        <v>0</v>
      </c>
      <c r="G31" s="25"/>
      <c r="H31" s="25"/>
      <c r="I31" s="25"/>
      <c r="J31" s="25"/>
      <c r="K31" s="25"/>
    </row>
    <row r="32" customFormat="false" ht="15.75" hidden="false" customHeight="true" outlineLevel="0" collapsed="false">
      <c r="A32" s="25"/>
      <c r="B32" s="25"/>
      <c r="C32" s="25"/>
      <c r="D32" s="25"/>
      <c r="E32" s="29" t="s">
        <v>81</v>
      </c>
      <c r="F32" s="30" t="n">
        <f aca="false">COUNTIF(CHAMADOS_GOP!$O$2:$O$1000,E32)</f>
        <v>0</v>
      </c>
      <c r="G32" s="25"/>
      <c r="H32" s="25"/>
      <c r="I32" s="25"/>
      <c r="J32" s="25"/>
      <c r="K32" s="25"/>
    </row>
    <row r="33" customFormat="false" ht="16.5" hidden="false" customHeight="true" outlineLevel="0" collapsed="false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customFormat="false" ht="16.5" hidden="false" customHeight="true" outlineLevel="0" collapsed="false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customFormat="false" ht="19.5" hidden="false" customHeight="true" outlineLevel="0" collapsed="false">
      <c r="A35" s="18" t="s">
        <v>82</v>
      </c>
      <c r="B35" s="18"/>
      <c r="C35" s="18"/>
      <c r="D35" s="18"/>
      <c r="E35" s="18"/>
      <c r="F35" s="18"/>
      <c r="G35" s="18"/>
      <c r="H35" s="18"/>
      <c r="I35" s="18"/>
    </row>
    <row r="36" customFormat="false" ht="24" hidden="false" customHeight="true" outlineLevel="0" collapsed="false">
      <c r="A36" s="44" t="s">
        <v>83</v>
      </c>
      <c r="B36" s="45" t="s">
        <v>60</v>
      </c>
      <c r="C36" s="45"/>
      <c r="D36" s="45" t="s">
        <v>84</v>
      </c>
      <c r="E36" s="45"/>
      <c r="F36" s="45"/>
      <c r="G36" s="45" t="s">
        <v>85</v>
      </c>
      <c r="H36" s="45"/>
      <c r="I36" s="44" t="s">
        <v>86</v>
      </c>
    </row>
    <row r="37" customFormat="false" ht="18" hidden="false" customHeight="true" outlineLevel="0" collapsed="false">
      <c r="A37" s="29" t="str">
        <f aca="false">IFERROR(INDEX(CHAMADOS_GOP!$B$2:$B$500,MATCH(1,CHAMADOS_GOP!$AG$2:$AG$500,0)),"")</f>
        <v>GOP-AR-2026-0002</v>
      </c>
      <c r="B37" s="29" t="str">
        <f aca="false">IFERROR(VLOOKUP(A37,CHAMADOS_GOP!$B$2:$D$1000,3,FALSE()),"")</f>
        <v>Escola Municipal Bento Ribeiro</v>
      </c>
      <c r="C37" s="29"/>
      <c r="D37" s="29" t="str">
        <f aca="false">IFERROR(VLOOKUP(A37,CHAMADOS_GOP!$B$2:$O$1000,14,FALSE()),"")</f>
        <v>09 - Aguardando orçamentos da unidade</v>
      </c>
      <c r="E37" s="29"/>
      <c r="F37" s="29"/>
      <c r="G37" s="29" t="str">
        <f aca="false">IFERROR(VLOOKUP(A37,CHAMADOS_GOP!$B$2:$P$1000,15,FALSE()),"")</f>
        <v>Unidade Escolar / GIN</v>
      </c>
      <c r="H37" s="29"/>
      <c r="I37" s="46" t="n">
        <f aca="false">IFERROR(VLOOKUP(A37,CHAMADOS_GOP!$B$2:$S$1000,18,FALSE()),"")</f>
        <v>7</v>
      </c>
    </row>
    <row r="38" customFormat="false" ht="18" hidden="false" customHeight="true" outlineLevel="0" collapsed="false">
      <c r="A38" s="35" t="str">
        <f aca="false">IFERROR(INDEX(CHAMADOS_GOP!$B$2:$B$500,MATCH(2,CHAMADOS_GOP!$AG$2:$AG$500,0)),"")</f>
        <v>GOP-AR-2026-0006</v>
      </c>
      <c r="B38" s="35" t="str">
        <f aca="false">IFERROR(VLOOKUP(A38,CHAMADOS_GOP!$B$2:$D$1000,3,FALSE()),"")</f>
        <v>Espaço de Desenvolvimento Infantil Padre Nelson Carlos Del Mônaco</v>
      </c>
      <c r="C38" s="35"/>
      <c r="D38" s="35" t="str">
        <f aca="false">IFERROR(VLOOKUP(A38,CHAMADOS_GOP!$B$2:$O$1000,14,FALSE()),"")</f>
        <v>12 - Orçamento aprovado</v>
      </c>
      <c r="E38" s="35"/>
      <c r="F38" s="35"/>
      <c r="G38" s="35" t="str">
        <f aca="false">IFERROR(VLOOKUP(A38,CHAMADOS_GOP!$B$2:$P$1000,15,FALSE()),"")</f>
        <v>GIN / Unidade Escolar</v>
      </c>
      <c r="H38" s="35"/>
      <c r="I38" s="47" t="n">
        <f aca="false">IFERROR(VLOOKUP(A38,CHAMADOS_GOP!$B$2:$S$1000,18,FALSE()),"")</f>
        <v>7</v>
      </c>
    </row>
    <row r="39" customFormat="false" ht="18" hidden="false" customHeight="true" outlineLevel="0" collapsed="false">
      <c r="A39" s="29" t="str">
        <f aca="false">IFERROR(INDEX(CHAMADOS_GOP!$B$2:$B$500,MATCH(3,CHAMADOS_GOP!$AG$2:$AG$500,0)),"")</f>
        <v>GOP-AR-2026-0007</v>
      </c>
      <c r="B39" s="29" t="str">
        <f aca="false">IFERROR(VLOOKUP(A39,CHAMADOS_GOP!$B$2:$D$1000,3,FALSE()),"")</f>
        <v>Espaço de Desenvolvimento Infantil Educandário de Santa Cruz</v>
      </c>
      <c r="C39" s="29"/>
      <c r="D39" s="29" t="str">
        <f aca="false">IFERROR(VLOOKUP(A39,CHAMADOS_GOP!$B$2:$O$1000,14,FALSE()),"")</f>
        <v>17 - Serviço iniciado</v>
      </c>
      <c r="E39" s="29"/>
      <c r="F39" s="29"/>
      <c r="G39" s="29" t="str">
        <f aca="false">IFERROR(VLOOKUP(A39,CHAMADOS_GOP!$B$2:$P$1000,15,FALSE()),"")</f>
        <v>GIN / Unidade Escolar</v>
      </c>
      <c r="H39" s="29"/>
      <c r="I39" s="46" t="n">
        <f aca="false">IFERROR(VLOOKUP(A39,CHAMADOS_GOP!$B$2:$S$1000,18,FALSE()),"")</f>
        <v>7</v>
      </c>
    </row>
    <row r="40" customFormat="false" ht="18" hidden="false" customHeight="true" outlineLevel="0" collapsed="false">
      <c r="A40" s="35" t="str">
        <f aca="false">IFERROR(INDEX(CHAMADOS_GOP!$B$2:$B$500,MATCH(4,CHAMADOS_GOP!$AG$2:$AG$500,0)),"")</f>
        <v>GOP-AR-2026-0009</v>
      </c>
      <c r="B40" s="35" t="str">
        <f aca="false">IFERROR(VLOOKUP(A40,CHAMADOS_GOP!$B$2:$D$1000,3,FALSE()),"")</f>
        <v>Escola Municipal José Veríssimo</v>
      </c>
      <c r="C40" s="35"/>
      <c r="D40" s="35" t="str">
        <f aca="false">IFERROR(VLOOKUP(A40,CHAMADOS_GOP!$B$2:$O$1000,14,FALSE()),"")</f>
        <v>09 - Aguardando orçamentos da unidade</v>
      </c>
      <c r="E40" s="35"/>
      <c r="F40" s="35"/>
      <c r="G40" s="35" t="str">
        <f aca="false">IFERROR(VLOOKUP(A40,CHAMADOS_GOP!$B$2:$P$1000,15,FALSE()),"")</f>
        <v>Unidade Escolar / GIN</v>
      </c>
      <c r="H40" s="35"/>
      <c r="I40" s="47" t="n">
        <f aca="false">IFERROR(VLOOKUP(A40,CHAMADOS_GOP!$B$2:$S$1000,18,FALSE()),"")</f>
        <v>7</v>
      </c>
    </row>
    <row r="41" customFormat="false" ht="18" hidden="false" customHeight="true" outlineLevel="0" collapsed="false">
      <c r="A41" s="29" t="str">
        <f aca="false">IFERROR(INDEX(CHAMADOS_GOP!$B$2:$B$500,MATCH(5,CHAMADOS_GOP!$AG$2:$AG$500,0)),"")</f>
        <v>GOP-AR-2026-0010</v>
      </c>
      <c r="B41" s="29" t="str">
        <f aca="false">IFERROR(VLOOKUP(A41,CHAMADOS_GOP!$B$2:$D$1000,3,FALSE()),"")</f>
        <v>Escola Municipal Professor Augusto Paulino Filho</v>
      </c>
      <c r="C41" s="29"/>
      <c r="D41" s="29" t="str">
        <f aca="false">IFERROR(VLOOKUP(A41,CHAMADOS_GOP!$B$2:$O$1000,14,FALSE()),"")</f>
        <v>12 - Orçamento aprovado</v>
      </c>
      <c r="E41" s="29"/>
      <c r="F41" s="29"/>
      <c r="G41" s="29" t="str">
        <f aca="false">IFERROR(VLOOKUP(A41,CHAMADOS_GOP!$B$2:$P$1000,15,FALSE()),"")</f>
        <v>GIN / Unidade Escolar</v>
      </c>
      <c r="H41" s="29"/>
      <c r="I41" s="46" t="n">
        <f aca="false">IFERROR(VLOOKUP(A41,CHAMADOS_GOP!$B$2:$S$1000,18,FALSE()),"")</f>
        <v>7</v>
      </c>
    </row>
    <row r="42" customFormat="false" ht="18" hidden="false" customHeight="true" outlineLevel="0" collapsed="false">
      <c r="A42" s="35" t="str">
        <f aca="false">IFERROR(INDEX(CHAMADOS_GOP!$B$2:$B$500,MATCH(6,CHAMADOS_GOP!$AG$2:$AG$500,0)),"")</f>
        <v>GOP-AR-2026-0022</v>
      </c>
      <c r="B42" s="35" t="str">
        <f aca="false">IFERROR(VLOOKUP(A42,CHAMADOS_GOP!$B$2:$D$1000,3,FALSE()),"")</f>
        <v>Creche Municipal Tia Andreza</v>
      </c>
      <c r="C42" s="35"/>
      <c r="D42" s="35" t="str">
        <f aca="false">IFERROR(VLOOKUP(A42,CHAMADOS_GOP!$B$2:$O$1000,14,FALSE()),"")</f>
        <v>09 - Aguardando orçamentos da unidade</v>
      </c>
      <c r="E42" s="35"/>
      <c r="F42" s="35"/>
      <c r="G42" s="35" t="str">
        <f aca="false">IFERROR(VLOOKUP(A42,CHAMADOS_GOP!$B$2:$P$1000,15,FALSE()),"")</f>
        <v>Unidade Escolar / GIN</v>
      </c>
      <c r="H42" s="35"/>
      <c r="I42" s="47" t="n">
        <f aca="false">IFERROR(VLOOKUP(A42,CHAMADOS_GOP!$B$2:$S$1000,18,FALSE()),"")</f>
        <v>7</v>
      </c>
    </row>
    <row r="43" customFormat="false" ht="18" hidden="false" customHeight="true" outlineLevel="0" collapsed="false">
      <c r="A43" s="29" t="str">
        <f aca="false">IFERROR(INDEX(CHAMADOS_GOP!$B$2:$B$500,MATCH(7,CHAMADOS_GOP!$AG$2:$AG$500,0)),"")</f>
        <v>GOP-AR-2026-0026</v>
      </c>
      <c r="B43" s="29" t="str">
        <f aca="false">IFERROR(VLOOKUP(A43,CHAMADOS_GOP!$B$2:$D$1000,3,FALSE()),"")</f>
        <v>Creche Municipal José de Vieira da Silva</v>
      </c>
      <c r="C43" s="29"/>
      <c r="D43" s="29" t="str">
        <f aca="false">IFERROR(VLOOKUP(A43,CHAMADOS_GOP!$B$2:$O$1000,14,FALSE()),"")</f>
        <v>09 - Aguardando orçamentos da unidade</v>
      </c>
      <c r="E43" s="29"/>
      <c r="F43" s="29"/>
      <c r="G43" s="29" t="str">
        <f aca="false">IFERROR(VLOOKUP(A43,CHAMADOS_GOP!$B$2:$P$1000,15,FALSE()),"")</f>
        <v>Unidade Escolar / GIN</v>
      </c>
      <c r="H43" s="29"/>
      <c r="I43" s="46" t="n">
        <f aca="false">IFERROR(VLOOKUP(A43,CHAMADOS_GOP!$B$2:$S$1000,18,FALSE()),"")</f>
        <v>7</v>
      </c>
    </row>
    <row r="44" customFormat="false" ht="18" hidden="false" customHeight="true" outlineLevel="0" collapsed="false">
      <c r="A44" s="35" t="str">
        <f aca="false">IFERROR(INDEX(CHAMADOS_GOP!$B$2:$B$500,MATCH(8,CHAMADOS_GOP!$AG$2:$AG$500,0)),"")</f>
        <v>GOP-AR-2026-0004</v>
      </c>
      <c r="B44" s="35" t="str">
        <f aca="false">IFERROR(VLOOKUP(A44,CHAMADOS_GOP!$B$2:$D$1000,3,FALSE()),"")</f>
        <v>CIEP Procópio Ferreira</v>
      </c>
      <c r="C44" s="35"/>
      <c r="D44" s="35" t="str">
        <f aca="false">IFERROR(VLOOKUP(A44,CHAMADOS_GOP!$B$2:$O$1000,14,FALSE()),"")</f>
        <v>17 - Serviço iniciado</v>
      </c>
      <c r="E44" s="35"/>
      <c r="F44" s="35"/>
      <c r="G44" s="35" t="str">
        <f aca="false">IFERROR(VLOOKUP(A44,CHAMADOS_GOP!$B$2:$P$1000,15,FALSE()),"")</f>
        <v>GIN / Unidade Escolar</v>
      </c>
      <c r="H44" s="35"/>
      <c r="I44" s="47" t="n">
        <f aca="false">IFERROR(VLOOKUP(A44,CHAMADOS_GOP!$B$2:$S$1000,18,FALSE()),"")</f>
        <v>4</v>
      </c>
    </row>
    <row r="45" customFormat="false" ht="18" hidden="false" customHeight="true" outlineLevel="0" collapsed="false">
      <c r="A45" s="29" t="str">
        <f aca="false">IFERROR(INDEX(CHAMADOS_GOP!$B$2:$B$500,MATCH(9,CHAMADOS_GOP!$AG$2:$AG$500,0)),"")</f>
        <v>GOP-AR-2026-0008</v>
      </c>
      <c r="B45" s="29" t="str">
        <f aca="false">IFERROR(VLOOKUP(A45,CHAMADOS_GOP!$B$2:$D$1000,3,FALSE()),"")</f>
        <v>Escola Municipal Nereu Sampaio</v>
      </c>
      <c r="C45" s="29"/>
      <c r="D45" s="29" t="str">
        <f aca="false">IFERROR(VLOOKUP(A45,CHAMADOS_GOP!$B$2:$O$1000,14,FALSE()),"")</f>
        <v>17 - Serviço iniciado</v>
      </c>
      <c r="E45" s="29"/>
      <c r="F45" s="29"/>
      <c r="G45" s="29" t="str">
        <f aca="false">IFERROR(VLOOKUP(A45,CHAMADOS_GOP!$B$2:$P$1000,15,FALSE()),"")</f>
        <v>GIN / Unidade Escolar</v>
      </c>
      <c r="H45" s="29"/>
      <c r="I45" s="46" t="n">
        <f aca="false">IFERROR(VLOOKUP(A45,CHAMADOS_GOP!$B$2:$S$1000,18,FALSE()),"")</f>
        <v>3</v>
      </c>
    </row>
    <row r="46" customFormat="false" ht="18" hidden="false" customHeight="true" outlineLevel="0" collapsed="false">
      <c r="A46" s="35" t="str">
        <f aca="false">IFERROR(INDEX(CHAMADOS_GOP!$B$2:$B$500,MATCH(10,CHAMADOS_GOP!$AG$2:$AG$500,0)),"")</f>
        <v>GOP-AR-2026-0012</v>
      </c>
      <c r="B46" s="35" t="str">
        <f aca="false">IFERROR(VLOOKUP(A46,CHAMADOS_GOP!$B$2:$D$1000,3,FALSE()),"")</f>
        <v>Escola Municipal Eurico Vilela</v>
      </c>
      <c r="C46" s="35"/>
      <c r="D46" s="35" t="str">
        <f aca="false">IFERROR(VLOOKUP(A46,CHAMADOS_GOP!$B$2:$O$1000,14,FALSE()),"")</f>
        <v>17 - Serviço iniciado</v>
      </c>
      <c r="E46" s="35"/>
      <c r="F46" s="35"/>
      <c r="G46" s="35" t="str">
        <f aca="false">IFERROR(VLOOKUP(A46,CHAMADOS_GOP!$B$2:$P$1000,15,FALSE()),"")</f>
        <v>GIN / Unidade Escolar</v>
      </c>
      <c r="H46" s="35"/>
      <c r="I46" s="47" t="n">
        <f aca="false">IFERROR(VLOOKUP(A46,CHAMADOS_GOP!$B$2:$S$1000,18,FALSE()),"")</f>
        <v>3</v>
      </c>
    </row>
    <row r="70" customFormat="false" ht="13.5" hidden="false" customHeight="true" outlineLevel="0" collapsed="false">
      <c r="L70" s="1"/>
    </row>
    <row r="71" customFormat="false" ht="13.5" hidden="false" customHeight="true" outlineLevel="0" collapsed="false">
      <c r="L71" s="1"/>
    </row>
    <row r="72" customFormat="false" ht="13.5" hidden="false" customHeight="true" outlineLevel="0" collapsed="false">
      <c r="L72" s="1"/>
    </row>
    <row r="73" customFormat="false" ht="13.5" hidden="false" customHeight="true" outlineLevel="0" collapsed="false">
      <c r="L73" s="1"/>
    </row>
    <row r="74" customFormat="false" ht="13.5" hidden="false" customHeight="true" outlineLevel="0" collapsed="false">
      <c r="L74" s="1"/>
    </row>
  </sheetData>
  <sheetProtection sheet="true" sort="false" autoFilter="false"/>
  <mergeCells count="37">
    <mergeCell ref="A1:I1"/>
    <mergeCell ref="A2:I2"/>
    <mergeCell ref="H14:I17"/>
    <mergeCell ref="A35:I35"/>
    <mergeCell ref="B36:C36"/>
    <mergeCell ref="D36:F36"/>
    <mergeCell ref="G36:H36"/>
    <mergeCell ref="B37:C37"/>
    <mergeCell ref="D37:F37"/>
    <mergeCell ref="G37:H37"/>
    <mergeCell ref="B38:C38"/>
    <mergeCell ref="D38:F38"/>
    <mergeCell ref="G38:H38"/>
    <mergeCell ref="B39:C39"/>
    <mergeCell ref="D39:F39"/>
    <mergeCell ref="G39:H39"/>
    <mergeCell ref="B40:C40"/>
    <mergeCell ref="D40:F40"/>
    <mergeCell ref="G40:H40"/>
    <mergeCell ref="B41:C41"/>
    <mergeCell ref="D41:F41"/>
    <mergeCell ref="G41:H41"/>
    <mergeCell ref="B42:C42"/>
    <mergeCell ref="D42:F42"/>
    <mergeCell ref="G42:H42"/>
    <mergeCell ref="B43:C43"/>
    <mergeCell ref="D43:F43"/>
    <mergeCell ref="G43:H43"/>
    <mergeCell ref="B44:C44"/>
    <mergeCell ref="D44:F44"/>
    <mergeCell ref="G44:H44"/>
    <mergeCell ref="B45:C45"/>
    <mergeCell ref="D45:F45"/>
    <mergeCell ref="G45:H45"/>
    <mergeCell ref="B46:C46"/>
    <mergeCell ref="D46:F46"/>
    <mergeCell ref="G46:H46"/>
  </mergeCells>
  <conditionalFormatting sqref="I37:I46">
    <cfRule type="expression" priority="2" aboveAverage="0" equalAverage="0" bottom="0" percent="0" rank="0" text="" dxfId="0">
      <formula>AND(ISNUMBER($I37),$I37&gt;30)</formula>
    </cfRule>
    <cfRule type="expression" priority="3" aboveAverage="0" equalAverage="0" bottom="0" percent="0" rank="0" text="" dxfId="1">
      <formula>AND(ISNUMBER($I37),$I37&gt;15,$I37&lt;=30)</formula>
    </cfRule>
  </conditionalFormatting>
  <printOptions headings="false" gridLines="false" gridLinesSet="true" horizontalCentered="true" verticalCentered="false"/>
  <pageMargins left="0.4" right="0.4" top="0.6" bottom="0.6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&amp;R&amp;"Calibri,Bold"&amp;K1f3864Controle Vivo de Climatização&amp;"Calibri,Regular"&amp;10 &amp;K595959  ·  GOP / 3ª CRE</oddHeader>
    <oddFooter>&amp;C&amp;9 &amp;K595959Página &amp;P de &amp;N  · 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4" activeCellId="0" sqref="B4"/>
    </sheetView>
  </sheetViews>
  <sheetFormatPr defaultColWidth="8.6796875" defaultRowHeight="13.5" zeroHeight="false" outlineLevelRow="0" outlineLevelCol="0"/>
  <cols>
    <col collapsed="false" customWidth="true" hidden="false" outlineLevel="0" max="1" min="1" style="1" width="20"/>
    <col collapsed="false" customWidth="true" hidden="false" outlineLevel="0" max="4" min="2" style="1" width="25"/>
    <col collapsed="false" customWidth="true" hidden="false" outlineLevel="0" max="5" min="5" style="1" width="16"/>
    <col collapsed="false" customWidth="true" hidden="false" outlineLevel="0" max="6" min="6" style="1" width="25"/>
    <col collapsed="false" customWidth="true" hidden="false" outlineLevel="0" max="7" min="7" style="1" width="40"/>
    <col collapsed="false" customWidth="true" hidden="false" outlineLevel="0" max="9" min="8" style="1" width="18"/>
  </cols>
  <sheetData>
    <row r="1" customFormat="false" ht="24.75" hidden="false" customHeight="true" outlineLevel="0" collapsed="false">
      <c r="A1" s="48" t="s">
        <v>87</v>
      </c>
      <c r="B1" s="48"/>
      <c r="C1" s="48"/>
      <c r="D1" s="48"/>
      <c r="E1" s="48"/>
      <c r="F1" s="48"/>
      <c r="G1" s="48"/>
      <c r="H1" s="48"/>
      <c r="I1" s="48"/>
    </row>
    <row r="2" customFormat="false" ht="18" hidden="false" customHeight="true" outlineLevel="0" collapsed="false">
      <c r="A2" s="49" t="s">
        <v>88</v>
      </c>
      <c r="B2" s="49"/>
      <c r="C2" s="49"/>
      <c r="D2" s="49"/>
      <c r="E2" s="49"/>
      <c r="F2" s="49"/>
      <c r="G2" s="49"/>
      <c r="H2" s="49"/>
      <c r="I2" s="49"/>
    </row>
    <row r="4" customFormat="false" ht="24" hidden="false" customHeight="true" outlineLevel="0" collapsed="false">
      <c r="A4" s="50" t="s">
        <v>89</v>
      </c>
      <c r="B4" s="51" t="s">
        <v>90</v>
      </c>
      <c r="C4" s="51"/>
      <c r="D4" s="51"/>
      <c r="E4" s="52" t="s">
        <v>91</v>
      </c>
      <c r="F4" s="53" t="str">
        <f aca="false">IF(OR($B$4="",$B$4="Selecione a Unidade..."),"",IFERROR(INDEX(CADASTRO_VIVO_3CRE!$B$2:$B$150,MATCH($B$4,CADASTRO_VIVO_3CRE!$E$2:$E$150,0)),"Não localizado"))</f>
        <v/>
      </c>
      <c r="G4" s="53"/>
    </row>
    <row r="5" customFormat="false" ht="21.75" hidden="false" customHeight="true" outlineLevel="0" collapsed="false">
      <c r="A5" s="50" t="s">
        <v>92</v>
      </c>
      <c r="B5" s="54" t="str">
        <f aca="false">IF(OR($B$4="",$B$4="Selecione a Unidade..."),"",IFERROR(INDEX(CADASTRO_VIVO_3CRE!$P$2:$P$150,MATCH($B$4,CADASTRO_VIVO_3CRE!$E$2:$E$150,0)),"Não cadastrado"))</f>
        <v/>
      </c>
      <c r="C5" s="54"/>
      <c r="D5" s="54"/>
      <c r="E5" s="52" t="s">
        <v>93</v>
      </c>
      <c r="F5" s="54" t="str">
        <f aca="false">IF(OR($B$4="",$B$4="Selecione a Unidade..."),"",IFERROR(INDEX(CADASTRO_VIVO_3CRE!$Q$2:$Q$150,MATCH($B$4,CADASTRO_VIVO_3CRE!$E$2:$E$150,0)),"Não cadastrado"))</f>
        <v/>
      </c>
      <c r="G5" s="54"/>
    </row>
    <row r="8" customFormat="false" ht="19.5" hidden="false" customHeight="true" outlineLevel="0" collapsed="false">
      <c r="A8" s="55" t="s">
        <v>94</v>
      </c>
    </row>
    <row r="9" customFormat="false" ht="36" hidden="false" customHeight="true" outlineLevel="0" collapsed="false">
      <c r="A9" s="56" t="s">
        <v>95</v>
      </c>
      <c r="B9" s="57" t="str">
        <f aca="false">IF(OR($B$4="",$B$4="Selecione a Unidade..."),"",COUNTIF(CHAMADOS_GOP!$D$2:$D$1000,$B$4))</f>
        <v/>
      </c>
      <c r="C9" s="56" t="s">
        <v>96</v>
      </c>
      <c r="D9" s="57" t="str">
        <f aca="false">IF(OR($B$4="",$B$4="Selecione a Unidade..."),"",COUNTIFS(CHAMADOS_GOP!$D$2:$D$1000,$B$4,CHAMADOS_GOP!$O$2:$O$1000,"&lt;&gt;28 - Encerrado",CHAMADOS_GOP!$O$2:$O$1000,"&lt;&gt;27 - Instalação concluída"))</f>
        <v/>
      </c>
      <c r="E9" s="56" t="s">
        <v>97</v>
      </c>
      <c r="F9" s="57" t="str">
        <f aca="false">IF(OR($B$4="",$B$4="Selecione a Unidade..."),"",COUNTIFS(CHAMADOS_GOP!$D$2:$D$1000,$B$4,CHAMADOS_GOP!$O$2:$O$1000,"27 - Instalação concluída")+COUNTIFS(CHAMADOS_GOP!$D$2:$D$1000,$B$4,CHAMADOS_GOP!$O$2:$O$1000,"28 - Encerrado"))</f>
        <v/>
      </c>
      <c r="G9" s="56" t="s">
        <v>98</v>
      </c>
      <c r="H9" s="57" t="str">
        <f aca="false">IF(OR($B$4="",$B$4="Selecione a Unidade..."),"",COUNTIFS(CHAMADOS_GOP!$D$2:$D$1000,$B$4,CHAMADOS_GOP!$Y$2:$Y$1000,"*CRÍTICO*")+COUNTIFS(CHAMADOS_GOP!$D$2:$D$1000,$B$4,CHAMADOS_GOP!$Y$2:$Y$1000,"*ATENÇÃO*"))</f>
        <v/>
      </c>
    </row>
    <row r="11" customFormat="false" ht="30" hidden="false" customHeight="true" outlineLevel="0" collapsed="false">
      <c r="A11" s="58" t="s">
        <v>99</v>
      </c>
      <c r="B11" s="59" t="str">
        <f aca="false">IF(OR($B$4="",$B$4="Selecione a Unidade..."),"",IF(COUNTIF(CHAMADOS_GOP!$D$2:$D$500,$B$4)=0,"Sem atualização",SUMPRODUCT(MAX((CHAMADOS_GOP!$D$2:$D$500=$B$4)*(CHAMADOS_GOP!$R$2:$R$500)))))</f>
        <v/>
      </c>
      <c r="C11" s="59"/>
      <c r="E11" s="50" t="s">
        <v>100</v>
      </c>
      <c r="F11" s="53" t="str">
        <f aca="false">IF(OR($B$4="",$B$4="Selecione a Unidade..."),"",IFERROR(INDEX(CHAMADOS_GOP!$P$2:$P$500,MATCH(1,CHAMADOS_GOP!$AE$2:$AE$500,0)),"Sem chamado aberto"))</f>
        <v/>
      </c>
      <c r="G11" s="53"/>
      <c r="H11" s="53"/>
    </row>
    <row r="14" customFormat="false" ht="19.5" hidden="false" customHeight="true" outlineLevel="0" collapsed="false">
      <c r="A14" s="55" t="s">
        <v>101</v>
      </c>
    </row>
    <row r="15" customFormat="false" ht="25.5" hidden="false" customHeight="true" outlineLevel="0" collapsed="false">
      <c r="A15" s="60" t="s">
        <v>83</v>
      </c>
      <c r="B15" s="60" t="s">
        <v>102</v>
      </c>
      <c r="C15" s="60" t="s">
        <v>103</v>
      </c>
      <c r="D15" s="60" t="s">
        <v>104</v>
      </c>
      <c r="E15" s="60" t="s">
        <v>105</v>
      </c>
      <c r="F15" s="60" t="s">
        <v>85</v>
      </c>
      <c r="G15" s="60" t="s">
        <v>106</v>
      </c>
      <c r="H15" s="60" t="s">
        <v>107</v>
      </c>
      <c r="I15" s="60" t="s">
        <v>108</v>
      </c>
    </row>
    <row r="16" customFormat="false" ht="21.75" hidden="false" customHeight="true" outlineLevel="0" collapsed="false">
      <c r="A16" s="61" t="str">
        <f aca="false">IF(OR($B$4="",$B$4="Selecione a Unidade..."),"",IFERROR(INDEX(CHAMADOS_GOP!B$2:B$500,MATCH(1,CHAMADOS_GOP!$AE$2:$AE$500,0)),""))</f>
        <v/>
      </c>
      <c r="B16" s="62" t="str">
        <f aca="false">IF(OR($B$4="",$B$4="Selecione a Unidade..."),"",IFERROR(INDEX(CHAMADOS_GOP!W$2:W$500,MATCH(1,CHAMADOS_GOP!$AE$2:$AE$500,0)),""))</f>
        <v/>
      </c>
      <c r="C16" s="61" t="str">
        <f aca="false">IF(OR($B$4="",$B$4="Selecione a Unidade..."),"",IFERROR(INDEX(CHAMADOS_GOP!F$2:F$500,MATCH(1,CHAMADOS_GOP!$AE$2:$AE$500,0)),""))</f>
        <v/>
      </c>
      <c r="D16" s="61" t="str">
        <f aca="false">IF(OR($B$4="",$B$4="Selecione a Unidade..."),"",IFERROR(INDEX(CHAMADOS_GOP!E$2:E$500,MATCH(1,CHAMADOS_GOP!$AE$2:$AE$500,0)),""))</f>
        <v/>
      </c>
      <c r="E16" s="61" t="str">
        <f aca="false">IF(OR($B$4="",$B$4="Selecione a Unidade..."),"",IFERROR(INDEX(CHAMADOS_GOP!O$2:O$500,MATCH(1,CHAMADOS_GOP!$AE$2:$AE$500,0)),""))</f>
        <v/>
      </c>
      <c r="F16" s="61" t="str">
        <f aca="false">IF(OR($B$4="",$B$4="Selecione a Unidade..."),"",IFERROR(INDEX(CHAMADOS_GOP!P$2:P$500,MATCH(1,CHAMADOS_GOP!$AE$2:$AE$500,0)),""))</f>
        <v/>
      </c>
      <c r="G16" s="61" t="str">
        <f aca="false">IF(OR($B$4="",$B$4="Selecione a Unidade..."),"",IFERROR(INDEX(CHAMADOS_GOP!Q$2:Q$500,MATCH(1,CHAMADOS_GOP!$AE$2:$AE$500,0)),""))</f>
        <v/>
      </c>
      <c r="H16" s="63" t="str">
        <f aca="false">IF(OR($B$4="",$B$4="Selecione a Unidade..."),"",IFERROR(INDEX(CHAMADOS_GOP!S$2:S$500,MATCH(1,CHAMADOS_GOP!$AE$2:$AE$500,0)),""))</f>
        <v/>
      </c>
      <c r="I16" s="64" t="str">
        <f aca="false">IF(OR($B$4="",$B$4="Selecione a Unidade..."),"",IFERROR(INDEX(CHAMADOS_GOP!Y$2:Y$500,MATCH(1,CHAMADOS_GOP!$AE$2:$AE$500,0)),""))</f>
        <v/>
      </c>
    </row>
    <row r="17" customFormat="false" ht="13.5" hidden="false" customHeight="true" outlineLevel="0" collapsed="false">
      <c r="A17" s="61" t="str">
        <f aca="false">IF(OR($B$4="",$B$4="Selecione a Unidade..."),"",IFERROR(INDEX(CHAMADOS_GOP!B$2:B$500,MATCH(2,CHAMADOS_GOP!$AE$2:$AE$500,0)),""))</f>
        <v/>
      </c>
      <c r="B17" s="62" t="str">
        <f aca="false">IF(OR($B$4="",$B$4="Selecione a Unidade..."),"",IFERROR(INDEX(CHAMADOS_GOP!W$2:W$500,MATCH(2,CHAMADOS_GOP!$AE$2:$AE$500,0)),""))</f>
        <v/>
      </c>
      <c r="C17" s="61" t="str">
        <f aca="false">IF(OR($B$4="",$B$4="Selecione a Unidade..."),"",IFERROR(INDEX(CHAMADOS_GOP!F$2:F$500,MATCH(2,CHAMADOS_GOP!$AE$2:$AE$500,0)),""))</f>
        <v/>
      </c>
      <c r="D17" s="61" t="str">
        <f aca="false">IF(OR($B$4="",$B$4="Selecione a Unidade..."),"",IFERROR(INDEX(CHAMADOS_GOP!E$2:E$500,MATCH(2,CHAMADOS_GOP!$AE$2:$AE$500,0)),""))</f>
        <v/>
      </c>
      <c r="E17" s="61" t="str">
        <f aca="false">IF(OR($B$4="",$B$4="Selecione a Unidade..."),"",IFERROR(INDEX(CHAMADOS_GOP!O$2:O$500,MATCH(2,CHAMADOS_GOP!$AE$2:$AE$500,0)),""))</f>
        <v/>
      </c>
      <c r="F17" s="61" t="str">
        <f aca="false">IF(OR($B$4="",$B$4="Selecione a Unidade..."),"",IFERROR(INDEX(CHAMADOS_GOP!P$2:P$500,MATCH(2,CHAMADOS_GOP!$AE$2:$AE$500,0)),""))</f>
        <v/>
      </c>
      <c r="G17" s="61" t="str">
        <f aca="false">IF(OR($B$4="",$B$4="Selecione a Unidade..."),"",IFERROR(INDEX(CHAMADOS_GOP!Q$2:Q$500,MATCH(2,CHAMADOS_GOP!$AE$2:$AE$500,0)),""))</f>
        <v/>
      </c>
      <c r="H17" s="63" t="str">
        <f aca="false">IF(OR($B$4="",$B$4="Selecione a Unidade..."),"",IFERROR(INDEX(CHAMADOS_GOP!S$2:S$500,MATCH(2,CHAMADOS_GOP!$AE$2:$AE$500,0)),""))</f>
        <v/>
      </c>
      <c r="I17" s="64" t="str">
        <f aca="false">IF(OR($B$4="",$B$4="Selecione a Unidade..."),"",IFERROR(INDEX(CHAMADOS_GOP!Y$2:Y$500,MATCH(2,CHAMADOS_GOP!$AE$2:$AE$500,0)),""))</f>
        <v/>
      </c>
    </row>
    <row r="18" customFormat="false" ht="13.5" hidden="false" customHeight="true" outlineLevel="0" collapsed="false">
      <c r="A18" s="61" t="str">
        <f aca="false">IF(OR($B$4="",$B$4="Selecione a Unidade..."),"",IFERROR(INDEX(CHAMADOS_GOP!B$2:B$500,MATCH(3,CHAMADOS_GOP!$AE$2:$AE$500,0)),""))</f>
        <v/>
      </c>
      <c r="B18" s="62" t="str">
        <f aca="false">IF(OR($B$4="",$B$4="Selecione a Unidade..."),"",IFERROR(INDEX(CHAMADOS_GOP!W$2:W$500,MATCH(3,CHAMADOS_GOP!$AE$2:$AE$500,0)),""))</f>
        <v/>
      </c>
      <c r="C18" s="61" t="str">
        <f aca="false">IF(OR($B$4="",$B$4="Selecione a Unidade..."),"",IFERROR(INDEX(CHAMADOS_GOP!F$2:F$500,MATCH(3,CHAMADOS_GOP!$AE$2:$AE$500,0)),""))</f>
        <v/>
      </c>
      <c r="D18" s="61" t="str">
        <f aca="false">IF(OR($B$4="",$B$4="Selecione a Unidade..."),"",IFERROR(INDEX(CHAMADOS_GOP!E$2:E$500,MATCH(3,CHAMADOS_GOP!$AE$2:$AE$500,0)),""))</f>
        <v/>
      </c>
      <c r="E18" s="61" t="str">
        <f aca="false">IF(OR($B$4="",$B$4="Selecione a Unidade..."),"",IFERROR(INDEX(CHAMADOS_GOP!O$2:O$500,MATCH(3,CHAMADOS_GOP!$AE$2:$AE$500,0)),""))</f>
        <v/>
      </c>
      <c r="F18" s="61" t="str">
        <f aca="false">IF(OR($B$4="",$B$4="Selecione a Unidade..."),"",IFERROR(INDEX(CHAMADOS_GOP!P$2:P$500,MATCH(3,CHAMADOS_GOP!$AE$2:$AE$500,0)),""))</f>
        <v/>
      </c>
      <c r="G18" s="61" t="str">
        <f aca="false">IF(OR($B$4="",$B$4="Selecione a Unidade..."),"",IFERROR(INDEX(CHAMADOS_GOP!Q$2:Q$500,MATCH(3,CHAMADOS_GOP!$AE$2:$AE$500,0)),""))</f>
        <v/>
      </c>
      <c r="H18" s="63" t="str">
        <f aca="false">IF(OR($B$4="",$B$4="Selecione a Unidade..."),"",IFERROR(INDEX(CHAMADOS_GOP!S$2:S$500,MATCH(3,CHAMADOS_GOP!$AE$2:$AE$500,0)),""))</f>
        <v/>
      </c>
      <c r="I18" s="64" t="str">
        <f aca="false">IF(OR($B$4="",$B$4="Selecione a Unidade..."),"",IFERROR(INDEX(CHAMADOS_GOP!Y$2:Y$500,MATCH(3,CHAMADOS_GOP!$AE$2:$AE$500,0)),""))</f>
        <v/>
      </c>
    </row>
    <row r="19" customFormat="false" ht="13.5" hidden="false" customHeight="true" outlineLevel="0" collapsed="false">
      <c r="A19" s="61" t="str">
        <f aca="false">IF(OR($B$4="",$B$4="Selecione a Unidade..."),"",IFERROR(INDEX(CHAMADOS_GOP!B$2:B$500,MATCH(4,CHAMADOS_GOP!$AE$2:$AE$500,0)),""))</f>
        <v/>
      </c>
      <c r="B19" s="62" t="str">
        <f aca="false">IF(OR($B$4="",$B$4="Selecione a Unidade..."),"",IFERROR(INDEX(CHAMADOS_GOP!W$2:W$500,MATCH(4,CHAMADOS_GOP!$AE$2:$AE$500,0)),""))</f>
        <v/>
      </c>
      <c r="C19" s="61" t="str">
        <f aca="false">IF(OR($B$4="",$B$4="Selecione a Unidade..."),"",IFERROR(INDEX(CHAMADOS_GOP!F$2:F$500,MATCH(4,CHAMADOS_GOP!$AE$2:$AE$500,0)),""))</f>
        <v/>
      </c>
      <c r="D19" s="61" t="str">
        <f aca="false">IF(OR($B$4="",$B$4="Selecione a Unidade..."),"",IFERROR(INDEX(CHAMADOS_GOP!E$2:E$500,MATCH(4,CHAMADOS_GOP!$AE$2:$AE$500,0)),""))</f>
        <v/>
      </c>
      <c r="E19" s="61" t="str">
        <f aca="false">IF(OR($B$4="",$B$4="Selecione a Unidade..."),"",IFERROR(INDEX(CHAMADOS_GOP!O$2:O$500,MATCH(4,CHAMADOS_GOP!$AE$2:$AE$500,0)),""))</f>
        <v/>
      </c>
      <c r="F19" s="61" t="str">
        <f aca="false">IF(OR($B$4="",$B$4="Selecione a Unidade..."),"",IFERROR(INDEX(CHAMADOS_GOP!P$2:P$500,MATCH(4,CHAMADOS_GOP!$AE$2:$AE$500,0)),""))</f>
        <v/>
      </c>
      <c r="G19" s="61" t="str">
        <f aca="false">IF(OR($B$4="",$B$4="Selecione a Unidade..."),"",IFERROR(INDEX(CHAMADOS_GOP!Q$2:Q$500,MATCH(4,CHAMADOS_GOP!$AE$2:$AE$500,0)),""))</f>
        <v/>
      </c>
      <c r="H19" s="63" t="str">
        <f aca="false">IF(OR($B$4="",$B$4="Selecione a Unidade..."),"",IFERROR(INDEX(CHAMADOS_GOP!S$2:S$500,MATCH(4,CHAMADOS_GOP!$AE$2:$AE$500,0)),""))</f>
        <v/>
      </c>
      <c r="I19" s="64" t="str">
        <f aca="false">IF(OR($B$4="",$B$4="Selecione a Unidade..."),"",IFERROR(INDEX(CHAMADOS_GOP!Y$2:Y$500,MATCH(4,CHAMADOS_GOP!$AE$2:$AE$500,0)),""))</f>
        <v/>
      </c>
    </row>
    <row r="20" customFormat="false" ht="13.5" hidden="false" customHeight="true" outlineLevel="0" collapsed="false">
      <c r="A20" s="61" t="str">
        <f aca="false">IF(OR($B$4="",$B$4="Selecione a Unidade..."),"",IFERROR(INDEX(CHAMADOS_GOP!B$2:B$500,MATCH(5,CHAMADOS_GOP!$AE$2:$AE$500,0)),""))</f>
        <v/>
      </c>
      <c r="B20" s="62" t="str">
        <f aca="false">IF(OR($B$4="",$B$4="Selecione a Unidade..."),"",IFERROR(INDEX(CHAMADOS_GOP!W$2:W$500,MATCH(5,CHAMADOS_GOP!$AE$2:$AE$500,0)),""))</f>
        <v/>
      </c>
      <c r="C20" s="61" t="str">
        <f aca="false">IF(OR($B$4="",$B$4="Selecione a Unidade..."),"",IFERROR(INDEX(CHAMADOS_GOP!F$2:F$500,MATCH(5,CHAMADOS_GOP!$AE$2:$AE$500,0)),""))</f>
        <v/>
      </c>
      <c r="D20" s="61" t="str">
        <f aca="false">IF(OR($B$4="",$B$4="Selecione a Unidade..."),"",IFERROR(INDEX(CHAMADOS_GOP!E$2:E$500,MATCH(5,CHAMADOS_GOP!$AE$2:$AE$500,0)),""))</f>
        <v/>
      </c>
      <c r="E20" s="61" t="str">
        <f aca="false">IF(OR($B$4="",$B$4="Selecione a Unidade..."),"",IFERROR(INDEX(CHAMADOS_GOP!O$2:O$500,MATCH(5,CHAMADOS_GOP!$AE$2:$AE$500,0)),""))</f>
        <v/>
      </c>
      <c r="F20" s="61" t="str">
        <f aca="false">IF(OR($B$4="",$B$4="Selecione a Unidade..."),"",IFERROR(INDEX(CHAMADOS_GOP!P$2:P$500,MATCH(5,CHAMADOS_GOP!$AE$2:$AE$500,0)),""))</f>
        <v/>
      </c>
      <c r="G20" s="61" t="str">
        <f aca="false">IF(OR($B$4="",$B$4="Selecione a Unidade..."),"",IFERROR(INDEX(CHAMADOS_GOP!Q$2:Q$500,MATCH(5,CHAMADOS_GOP!$AE$2:$AE$500,0)),""))</f>
        <v/>
      </c>
      <c r="H20" s="63" t="str">
        <f aca="false">IF(OR($B$4="",$B$4="Selecione a Unidade..."),"",IFERROR(INDEX(CHAMADOS_GOP!S$2:S$500,MATCH(5,CHAMADOS_GOP!$AE$2:$AE$500,0)),""))</f>
        <v/>
      </c>
      <c r="I20" s="64" t="str">
        <f aca="false">IF(OR($B$4="",$B$4="Selecione a Unidade..."),"",IFERROR(INDEX(CHAMADOS_GOP!Y$2:Y$500,MATCH(5,CHAMADOS_GOP!$AE$2:$AE$500,0)),""))</f>
        <v/>
      </c>
    </row>
    <row r="21" customFormat="false" ht="13.5" hidden="false" customHeight="true" outlineLevel="0" collapsed="false">
      <c r="A21" s="61" t="str">
        <f aca="false">IF(OR($B$4="",$B$4="Selecione a Unidade..."),"",IFERROR(INDEX(CHAMADOS_GOP!B$2:B$500,MATCH(6,CHAMADOS_GOP!$AE$2:$AE$500,0)),""))</f>
        <v/>
      </c>
      <c r="B21" s="62" t="str">
        <f aca="false">IF(OR($B$4="",$B$4="Selecione a Unidade..."),"",IFERROR(INDEX(CHAMADOS_GOP!W$2:W$500,MATCH(6,CHAMADOS_GOP!$AE$2:$AE$500,0)),""))</f>
        <v/>
      </c>
      <c r="C21" s="61" t="str">
        <f aca="false">IF(OR($B$4="",$B$4="Selecione a Unidade..."),"",IFERROR(INDEX(CHAMADOS_GOP!F$2:F$500,MATCH(6,CHAMADOS_GOP!$AE$2:$AE$500,0)),""))</f>
        <v/>
      </c>
      <c r="D21" s="61" t="str">
        <f aca="false">IF(OR($B$4="",$B$4="Selecione a Unidade..."),"",IFERROR(INDEX(CHAMADOS_GOP!E$2:E$500,MATCH(6,CHAMADOS_GOP!$AE$2:$AE$500,0)),""))</f>
        <v/>
      </c>
      <c r="E21" s="61" t="str">
        <f aca="false">IF(OR($B$4="",$B$4="Selecione a Unidade..."),"",IFERROR(INDEX(CHAMADOS_GOP!O$2:O$500,MATCH(6,CHAMADOS_GOP!$AE$2:$AE$500,0)),""))</f>
        <v/>
      </c>
      <c r="F21" s="61" t="str">
        <f aca="false">IF(OR($B$4="",$B$4="Selecione a Unidade..."),"",IFERROR(INDEX(CHAMADOS_GOP!P$2:P$500,MATCH(6,CHAMADOS_GOP!$AE$2:$AE$500,0)),""))</f>
        <v/>
      </c>
      <c r="G21" s="61" t="str">
        <f aca="false">IF(OR($B$4="",$B$4="Selecione a Unidade..."),"",IFERROR(INDEX(CHAMADOS_GOP!Q$2:Q$500,MATCH(6,CHAMADOS_GOP!$AE$2:$AE$500,0)),""))</f>
        <v/>
      </c>
      <c r="H21" s="63" t="str">
        <f aca="false">IF(OR($B$4="",$B$4="Selecione a Unidade..."),"",IFERROR(INDEX(CHAMADOS_GOP!S$2:S$500,MATCH(6,CHAMADOS_GOP!$AE$2:$AE$500,0)),""))</f>
        <v/>
      </c>
      <c r="I21" s="64" t="str">
        <f aca="false">IF(OR($B$4="",$B$4="Selecione a Unidade..."),"",IFERROR(INDEX(CHAMADOS_GOP!Y$2:Y$500,MATCH(6,CHAMADOS_GOP!$AE$2:$AE$500,0)),""))</f>
        <v/>
      </c>
    </row>
    <row r="22" customFormat="false" ht="13.5" hidden="false" customHeight="true" outlineLevel="0" collapsed="false">
      <c r="A22" s="61" t="str">
        <f aca="false">IF(OR($B$4="",$B$4="Selecione a Unidade..."),"",IFERROR(INDEX(CHAMADOS_GOP!B$2:B$500,MATCH(7,CHAMADOS_GOP!$AE$2:$AE$500,0)),""))</f>
        <v/>
      </c>
      <c r="B22" s="62" t="str">
        <f aca="false">IF(OR($B$4="",$B$4="Selecione a Unidade..."),"",IFERROR(INDEX(CHAMADOS_GOP!W$2:W$500,MATCH(7,CHAMADOS_GOP!$AE$2:$AE$500,0)),""))</f>
        <v/>
      </c>
      <c r="C22" s="61" t="str">
        <f aca="false">IF(OR($B$4="",$B$4="Selecione a Unidade..."),"",IFERROR(INDEX(CHAMADOS_GOP!F$2:F$500,MATCH(7,CHAMADOS_GOP!$AE$2:$AE$500,0)),""))</f>
        <v/>
      </c>
      <c r="D22" s="61" t="str">
        <f aca="false">IF(OR($B$4="",$B$4="Selecione a Unidade..."),"",IFERROR(INDEX(CHAMADOS_GOP!E$2:E$500,MATCH(7,CHAMADOS_GOP!$AE$2:$AE$500,0)),""))</f>
        <v/>
      </c>
      <c r="E22" s="61" t="str">
        <f aca="false">IF(OR($B$4="",$B$4="Selecione a Unidade..."),"",IFERROR(INDEX(CHAMADOS_GOP!O$2:O$500,MATCH(7,CHAMADOS_GOP!$AE$2:$AE$500,0)),""))</f>
        <v/>
      </c>
      <c r="F22" s="61" t="str">
        <f aca="false">IF(OR($B$4="",$B$4="Selecione a Unidade..."),"",IFERROR(INDEX(CHAMADOS_GOP!P$2:P$500,MATCH(7,CHAMADOS_GOP!$AE$2:$AE$500,0)),""))</f>
        <v/>
      </c>
      <c r="G22" s="61" t="str">
        <f aca="false">IF(OR($B$4="",$B$4="Selecione a Unidade..."),"",IFERROR(INDEX(CHAMADOS_GOP!Q$2:Q$500,MATCH(7,CHAMADOS_GOP!$AE$2:$AE$500,0)),""))</f>
        <v/>
      </c>
      <c r="H22" s="63" t="str">
        <f aca="false">IF(OR($B$4="",$B$4="Selecione a Unidade..."),"",IFERROR(INDEX(CHAMADOS_GOP!S$2:S$500,MATCH(7,CHAMADOS_GOP!$AE$2:$AE$500,0)),""))</f>
        <v/>
      </c>
      <c r="I22" s="64" t="str">
        <f aca="false">IF(OR($B$4="",$B$4="Selecione a Unidade..."),"",IFERROR(INDEX(CHAMADOS_GOP!Y$2:Y$500,MATCH(7,CHAMADOS_GOP!$AE$2:$AE$500,0)),""))</f>
        <v/>
      </c>
    </row>
    <row r="23" customFormat="false" ht="13.5" hidden="false" customHeight="true" outlineLevel="0" collapsed="false">
      <c r="A23" s="61" t="str">
        <f aca="false">IF(OR($B$4="",$B$4="Selecione a Unidade..."),"",IFERROR(INDEX(CHAMADOS_GOP!B$2:B$500,MATCH(8,CHAMADOS_GOP!$AE$2:$AE$500,0)),""))</f>
        <v/>
      </c>
      <c r="B23" s="62" t="str">
        <f aca="false">IF(OR($B$4="",$B$4="Selecione a Unidade..."),"",IFERROR(INDEX(CHAMADOS_GOP!W$2:W$500,MATCH(8,CHAMADOS_GOP!$AE$2:$AE$500,0)),""))</f>
        <v/>
      </c>
      <c r="C23" s="61" t="str">
        <f aca="false">IF(OR($B$4="",$B$4="Selecione a Unidade..."),"",IFERROR(INDEX(CHAMADOS_GOP!F$2:F$500,MATCH(8,CHAMADOS_GOP!$AE$2:$AE$500,0)),""))</f>
        <v/>
      </c>
      <c r="D23" s="61" t="str">
        <f aca="false">IF(OR($B$4="",$B$4="Selecione a Unidade..."),"",IFERROR(INDEX(CHAMADOS_GOP!E$2:E$500,MATCH(8,CHAMADOS_GOP!$AE$2:$AE$500,0)),""))</f>
        <v/>
      </c>
      <c r="E23" s="61" t="str">
        <f aca="false">IF(OR($B$4="",$B$4="Selecione a Unidade..."),"",IFERROR(INDEX(CHAMADOS_GOP!O$2:O$500,MATCH(8,CHAMADOS_GOP!$AE$2:$AE$500,0)),""))</f>
        <v/>
      </c>
      <c r="F23" s="61" t="str">
        <f aca="false">IF(OR($B$4="",$B$4="Selecione a Unidade..."),"",IFERROR(INDEX(CHAMADOS_GOP!P$2:P$500,MATCH(8,CHAMADOS_GOP!$AE$2:$AE$500,0)),""))</f>
        <v/>
      </c>
      <c r="G23" s="61" t="str">
        <f aca="false">IF(OR($B$4="",$B$4="Selecione a Unidade..."),"",IFERROR(INDEX(CHAMADOS_GOP!Q$2:Q$500,MATCH(8,CHAMADOS_GOP!$AE$2:$AE$500,0)),""))</f>
        <v/>
      </c>
      <c r="H23" s="63" t="str">
        <f aca="false">IF(OR($B$4="",$B$4="Selecione a Unidade..."),"",IFERROR(INDEX(CHAMADOS_GOP!S$2:S$500,MATCH(8,CHAMADOS_GOP!$AE$2:$AE$500,0)),""))</f>
        <v/>
      </c>
      <c r="I23" s="64" t="str">
        <f aca="false">IF(OR($B$4="",$B$4="Selecione a Unidade..."),"",IFERROR(INDEX(CHAMADOS_GOP!Y$2:Y$500,MATCH(8,CHAMADOS_GOP!$AE$2:$AE$500,0)),""))</f>
        <v/>
      </c>
    </row>
    <row r="24" customFormat="false" ht="13.5" hidden="false" customHeight="true" outlineLevel="0" collapsed="false">
      <c r="A24" s="61" t="str">
        <f aca="false">IF(OR($B$4="",$B$4="Selecione a Unidade..."),"",IFERROR(INDEX(CHAMADOS_GOP!B$2:B$500,MATCH(9,CHAMADOS_GOP!$AE$2:$AE$500,0)),""))</f>
        <v/>
      </c>
      <c r="B24" s="62" t="str">
        <f aca="false">IF(OR($B$4="",$B$4="Selecione a Unidade..."),"",IFERROR(INDEX(CHAMADOS_GOP!W$2:W$500,MATCH(9,CHAMADOS_GOP!$AE$2:$AE$500,0)),""))</f>
        <v/>
      </c>
      <c r="C24" s="61" t="str">
        <f aca="false">IF(OR($B$4="",$B$4="Selecione a Unidade..."),"",IFERROR(INDEX(CHAMADOS_GOP!F$2:F$500,MATCH(9,CHAMADOS_GOP!$AE$2:$AE$500,0)),""))</f>
        <v/>
      </c>
      <c r="D24" s="61" t="str">
        <f aca="false">IF(OR($B$4="",$B$4="Selecione a Unidade..."),"",IFERROR(INDEX(CHAMADOS_GOP!E$2:E$500,MATCH(9,CHAMADOS_GOP!$AE$2:$AE$500,0)),""))</f>
        <v/>
      </c>
      <c r="E24" s="61" t="str">
        <f aca="false">IF(OR($B$4="",$B$4="Selecione a Unidade..."),"",IFERROR(INDEX(CHAMADOS_GOP!O$2:O$500,MATCH(9,CHAMADOS_GOP!$AE$2:$AE$500,0)),""))</f>
        <v/>
      </c>
      <c r="F24" s="61" t="str">
        <f aca="false">IF(OR($B$4="",$B$4="Selecione a Unidade..."),"",IFERROR(INDEX(CHAMADOS_GOP!P$2:P$500,MATCH(9,CHAMADOS_GOP!$AE$2:$AE$500,0)),""))</f>
        <v/>
      </c>
      <c r="G24" s="61" t="str">
        <f aca="false">IF(OR($B$4="",$B$4="Selecione a Unidade..."),"",IFERROR(INDEX(CHAMADOS_GOP!Q$2:Q$500,MATCH(9,CHAMADOS_GOP!$AE$2:$AE$500,0)),""))</f>
        <v/>
      </c>
      <c r="H24" s="63" t="str">
        <f aca="false">IF(OR($B$4="",$B$4="Selecione a Unidade..."),"",IFERROR(INDEX(CHAMADOS_GOP!S$2:S$500,MATCH(9,CHAMADOS_GOP!$AE$2:$AE$500,0)),""))</f>
        <v/>
      </c>
      <c r="I24" s="64" t="str">
        <f aca="false">IF(OR($B$4="",$B$4="Selecione a Unidade..."),"",IFERROR(INDEX(CHAMADOS_GOP!Y$2:Y$500,MATCH(9,CHAMADOS_GOP!$AE$2:$AE$500,0)),""))</f>
        <v/>
      </c>
    </row>
    <row r="25" customFormat="false" ht="13.5" hidden="false" customHeight="true" outlineLevel="0" collapsed="false">
      <c r="A25" s="61" t="str">
        <f aca="false">IF(OR($B$4="",$B$4="Selecione a Unidade..."),"",IFERROR(INDEX(CHAMADOS_GOP!B$2:B$500,MATCH(10,CHAMADOS_GOP!$AE$2:$AE$500,0)),""))</f>
        <v/>
      </c>
      <c r="B25" s="62" t="str">
        <f aca="false">IF(OR($B$4="",$B$4="Selecione a Unidade..."),"",IFERROR(INDEX(CHAMADOS_GOP!W$2:W$500,MATCH(10,CHAMADOS_GOP!$AE$2:$AE$500,0)),""))</f>
        <v/>
      </c>
      <c r="C25" s="61" t="str">
        <f aca="false">IF(OR($B$4="",$B$4="Selecione a Unidade..."),"",IFERROR(INDEX(CHAMADOS_GOP!F$2:F$500,MATCH(10,CHAMADOS_GOP!$AE$2:$AE$500,0)),""))</f>
        <v/>
      </c>
      <c r="D25" s="61" t="str">
        <f aca="false">IF(OR($B$4="",$B$4="Selecione a Unidade..."),"",IFERROR(INDEX(CHAMADOS_GOP!E$2:E$500,MATCH(10,CHAMADOS_GOP!$AE$2:$AE$500,0)),""))</f>
        <v/>
      </c>
      <c r="E25" s="61" t="str">
        <f aca="false">IF(OR($B$4="",$B$4="Selecione a Unidade..."),"",IFERROR(INDEX(CHAMADOS_GOP!O$2:O$500,MATCH(10,CHAMADOS_GOP!$AE$2:$AE$500,0)),""))</f>
        <v/>
      </c>
      <c r="F25" s="61" t="str">
        <f aca="false">IF(OR($B$4="",$B$4="Selecione a Unidade..."),"",IFERROR(INDEX(CHAMADOS_GOP!P$2:P$500,MATCH(10,CHAMADOS_GOP!$AE$2:$AE$500,0)),""))</f>
        <v/>
      </c>
      <c r="G25" s="61" t="str">
        <f aca="false">IF(OR($B$4="",$B$4="Selecione a Unidade..."),"",IFERROR(INDEX(CHAMADOS_GOP!Q$2:Q$500,MATCH(10,CHAMADOS_GOP!$AE$2:$AE$500,0)),""))</f>
        <v/>
      </c>
      <c r="H25" s="63" t="str">
        <f aca="false">IF(OR($B$4="",$B$4="Selecione a Unidade..."),"",IFERROR(INDEX(CHAMADOS_GOP!S$2:S$500,MATCH(10,CHAMADOS_GOP!$AE$2:$AE$500,0)),""))</f>
        <v/>
      </c>
      <c r="I25" s="64" t="str">
        <f aca="false">IF(OR($B$4="",$B$4="Selecione a Unidade..."),"",IFERROR(INDEX(CHAMADOS_GOP!Y$2:Y$500,MATCH(10,CHAMADOS_GOP!$AE$2:$AE$500,0)),""))</f>
        <v/>
      </c>
    </row>
    <row r="26" customFormat="false" ht="13.5" hidden="false" customHeight="true" outlineLevel="0" collapsed="false">
      <c r="A26" s="61" t="str">
        <f aca="false">IF(OR($B$4="",$B$4="Selecione a Unidade..."),"",IFERROR(INDEX(CHAMADOS_GOP!B$2:B$500,MATCH(11,CHAMADOS_GOP!$AE$2:$AE$500,0)),""))</f>
        <v/>
      </c>
      <c r="B26" s="62" t="str">
        <f aca="false">IF(OR($B$4="",$B$4="Selecione a Unidade..."),"",IFERROR(INDEX(CHAMADOS_GOP!W$2:W$500,MATCH(11,CHAMADOS_GOP!$AE$2:$AE$500,0)),""))</f>
        <v/>
      </c>
      <c r="C26" s="61" t="str">
        <f aca="false">IF(OR($B$4="",$B$4="Selecione a Unidade..."),"",IFERROR(INDEX(CHAMADOS_GOP!F$2:F$500,MATCH(11,CHAMADOS_GOP!$AE$2:$AE$500,0)),""))</f>
        <v/>
      </c>
      <c r="D26" s="61" t="str">
        <f aca="false">IF(OR($B$4="",$B$4="Selecione a Unidade..."),"",IFERROR(INDEX(CHAMADOS_GOP!E$2:E$500,MATCH(11,CHAMADOS_GOP!$AE$2:$AE$500,0)),""))</f>
        <v/>
      </c>
      <c r="E26" s="61" t="str">
        <f aca="false">IF(OR($B$4="",$B$4="Selecione a Unidade..."),"",IFERROR(INDEX(CHAMADOS_GOP!O$2:O$500,MATCH(11,CHAMADOS_GOP!$AE$2:$AE$500,0)),""))</f>
        <v/>
      </c>
      <c r="F26" s="61" t="str">
        <f aca="false">IF(OR($B$4="",$B$4="Selecione a Unidade..."),"",IFERROR(INDEX(CHAMADOS_GOP!P$2:P$500,MATCH(11,CHAMADOS_GOP!$AE$2:$AE$500,0)),""))</f>
        <v/>
      </c>
      <c r="G26" s="61" t="str">
        <f aca="false">IF(OR($B$4="",$B$4="Selecione a Unidade..."),"",IFERROR(INDEX(CHAMADOS_GOP!Q$2:Q$500,MATCH(11,CHAMADOS_GOP!$AE$2:$AE$500,0)),""))</f>
        <v/>
      </c>
      <c r="H26" s="63" t="str">
        <f aca="false">IF(OR($B$4="",$B$4="Selecione a Unidade..."),"",IFERROR(INDEX(CHAMADOS_GOP!S$2:S$500,MATCH(11,CHAMADOS_GOP!$AE$2:$AE$500,0)),""))</f>
        <v/>
      </c>
      <c r="I26" s="64" t="str">
        <f aca="false">IF(OR($B$4="",$B$4="Selecione a Unidade..."),"",IFERROR(INDEX(CHAMADOS_GOP!Y$2:Y$500,MATCH(11,CHAMADOS_GOP!$AE$2:$AE$500,0)),""))</f>
        <v/>
      </c>
    </row>
    <row r="27" customFormat="false" ht="13.5" hidden="false" customHeight="true" outlineLevel="0" collapsed="false">
      <c r="A27" s="61" t="str">
        <f aca="false">IF(OR($B$4="",$B$4="Selecione a Unidade..."),"",IFERROR(INDEX(CHAMADOS_GOP!B$2:B$500,MATCH(12,CHAMADOS_GOP!$AE$2:$AE$500,0)),""))</f>
        <v/>
      </c>
      <c r="B27" s="62" t="str">
        <f aca="false">IF(OR($B$4="",$B$4="Selecione a Unidade..."),"",IFERROR(INDEX(CHAMADOS_GOP!W$2:W$500,MATCH(12,CHAMADOS_GOP!$AE$2:$AE$500,0)),""))</f>
        <v/>
      </c>
      <c r="C27" s="61" t="str">
        <f aca="false">IF(OR($B$4="",$B$4="Selecione a Unidade..."),"",IFERROR(INDEX(CHAMADOS_GOP!F$2:F$500,MATCH(12,CHAMADOS_GOP!$AE$2:$AE$500,0)),""))</f>
        <v/>
      </c>
      <c r="D27" s="61" t="str">
        <f aca="false">IF(OR($B$4="",$B$4="Selecione a Unidade..."),"",IFERROR(INDEX(CHAMADOS_GOP!E$2:E$500,MATCH(12,CHAMADOS_GOP!$AE$2:$AE$500,0)),""))</f>
        <v/>
      </c>
      <c r="E27" s="61" t="str">
        <f aca="false">IF(OR($B$4="",$B$4="Selecione a Unidade..."),"",IFERROR(INDEX(CHAMADOS_GOP!O$2:O$500,MATCH(12,CHAMADOS_GOP!$AE$2:$AE$500,0)),""))</f>
        <v/>
      </c>
      <c r="F27" s="61" t="str">
        <f aca="false">IF(OR($B$4="",$B$4="Selecione a Unidade..."),"",IFERROR(INDEX(CHAMADOS_GOP!P$2:P$500,MATCH(12,CHAMADOS_GOP!$AE$2:$AE$500,0)),""))</f>
        <v/>
      </c>
      <c r="G27" s="61" t="str">
        <f aca="false">IF(OR($B$4="",$B$4="Selecione a Unidade..."),"",IFERROR(INDEX(CHAMADOS_GOP!Q$2:Q$500,MATCH(12,CHAMADOS_GOP!$AE$2:$AE$500,0)),""))</f>
        <v/>
      </c>
      <c r="H27" s="63" t="str">
        <f aca="false">IF(OR($B$4="",$B$4="Selecione a Unidade..."),"",IFERROR(INDEX(CHAMADOS_GOP!S$2:S$500,MATCH(12,CHAMADOS_GOP!$AE$2:$AE$500,0)),""))</f>
        <v/>
      </c>
      <c r="I27" s="64" t="str">
        <f aca="false">IF(OR($B$4="",$B$4="Selecione a Unidade..."),"",IFERROR(INDEX(CHAMADOS_GOP!Y$2:Y$500,MATCH(12,CHAMADOS_GOP!$AE$2:$AE$500,0)),""))</f>
        <v/>
      </c>
    </row>
    <row r="28" customFormat="false" ht="13.5" hidden="false" customHeight="true" outlineLevel="0" collapsed="false">
      <c r="A28" s="61" t="str">
        <f aca="false">IF(OR($B$4="",$B$4="Selecione a Unidade..."),"",IFERROR(INDEX(CHAMADOS_GOP!B$2:B$500,MATCH(13,CHAMADOS_GOP!$AE$2:$AE$500,0)),""))</f>
        <v/>
      </c>
      <c r="B28" s="62" t="str">
        <f aca="false">IF(OR($B$4="",$B$4="Selecione a Unidade..."),"",IFERROR(INDEX(CHAMADOS_GOP!W$2:W$500,MATCH(13,CHAMADOS_GOP!$AE$2:$AE$500,0)),""))</f>
        <v/>
      </c>
      <c r="C28" s="61" t="str">
        <f aca="false">IF(OR($B$4="",$B$4="Selecione a Unidade..."),"",IFERROR(INDEX(CHAMADOS_GOP!F$2:F$500,MATCH(13,CHAMADOS_GOP!$AE$2:$AE$500,0)),""))</f>
        <v/>
      </c>
      <c r="D28" s="61" t="str">
        <f aca="false">IF(OR($B$4="",$B$4="Selecione a Unidade..."),"",IFERROR(INDEX(CHAMADOS_GOP!E$2:E$500,MATCH(13,CHAMADOS_GOP!$AE$2:$AE$500,0)),""))</f>
        <v/>
      </c>
      <c r="E28" s="61" t="str">
        <f aca="false">IF(OR($B$4="",$B$4="Selecione a Unidade..."),"",IFERROR(INDEX(CHAMADOS_GOP!O$2:O$500,MATCH(13,CHAMADOS_GOP!$AE$2:$AE$500,0)),""))</f>
        <v/>
      </c>
      <c r="F28" s="61" t="str">
        <f aca="false">IF(OR($B$4="",$B$4="Selecione a Unidade..."),"",IFERROR(INDEX(CHAMADOS_GOP!P$2:P$500,MATCH(13,CHAMADOS_GOP!$AE$2:$AE$500,0)),""))</f>
        <v/>
      </c>
      <c r="G28" s="61" t="str">
        <f aca="false">IF(OR($B$4="",$B$4="Selecione a Unidade..."),"",IFERROR(INDEX(CHAMADOS_GOP!Q$2:Q$500,MATCH(13,CHAMADOS_GOP!$AE$2:$AE$500,0)),""))</f>
        <v/>
      </c>
      <c r="H28" s="63" t="str">
        <f aca="false">IF(OR($B$4="",$B$4="Selecione a Unidade..."),"",IFERROR(INDEX(CHAMADOS_GOP!S$2:S$500,MATCH(13,CHAMADOS_GOP!$AE$2:$AE$500,0)),""))</f>
        <v/>
      </c>
      <c r="I28" s="64" t="str">
        <f aca="false">IF(OR($B$4="",$B$4="Selecione a Unidade..."),"",IFERROR(INDEX(CHAMADOS_GOP!Y$2:Y$500,MATCH(13,CHAMADOS_GOP!$AE$2:$AE$500,0)),""))</f>
        <v/>
      </c>
    </row>
    <row r="29" customFormat="false" ht="13.5" hidden="false" customHeight="true" outlineLevel="0" collapsed="false">
      <c r="A29" s="61" t="str">
        <f aca="false">IF(OR($B$4="",$B$4="Selecione a Unidade..."),"",IFERROR(INDEX(CHAMADOS_GOP!B$2:B$500,MATCH(14,CHAMADOS_GOP!$AE$2:$AE$500,0)),""))</f>
        <v/>
      </c>
      <c r="B29" s="62" t="str">
        <f aca="false">IF(OR($B$4="",$B$4="Selecione a Unidade..."),"",IFERROR(INDEX(CHAMADOS_GOP!W$2:W$500,MATCH(14,CHAMADOS_GOP!$AE$2:$AE$500,0)),""))</f>
        <v/>
      </c>
      <c r="C29" s="61" t="str">
        <f aca="false">IF(OR($B$4="",$B$4="Selecione a Unidade..."),"",IFERROR(INDEX(CHAMADOS_GOP!F$2:F$500,MATCH(14,CHAMADOS_GOP!$AE$2:$AE$500,0)),""))</f>
        <v/>
      </c>
      <c r="D29" s="61" t="str">
        <f aca="false">IF(OR($B$4="",$B$4="Selecione a Unidade..."),"",IFERROR(INDEX(CHAMADOS_GOP!E$2:E$500,MATCH(14,CHAMADOS_GOP!$AE$2:$AE$500,0)),""))</f>
        <v/>
      </c>
      <c r="E29" s="61" t="str">
        <f aca="false">IF(OR($B$4="",$B$4="Selecione a Unidade..."),"",IFERROR(INDEX(CHAMADOS_GOP!O$2:O$500,MATCH(14,CHAMADOS_GOP!$AE$2:$AE$500,0)),""))</f>
        <v/>
      </c>
      <c r="F29" s="61" t="str">
        <f aca="false">IF(OR($B$4="",$B$4="Selecione a Unidade..."),"",IFERROR(INDEX(CHAMADOS_GOP!P$2:P$500,MATCH(14,CHAMADOS_GOP!$AE$2:$AE$500,0)),""))</f>
        <v/>
      </c>
      <c r="G29" s="61" t="str">
        <f aca="false">IF(OR($B$4="",$B$4="Selecione a Unidade..."),"",IFERROR(INDEX(CHAMADOS_GOP!Q$2:Q$500,MATCH(14,CHAMADOS_GOP!$AE$2:$AE$500,0)),""))</f>
        <v/>
      </c>
      <c r="H29" s="63" t="str">
        <f aca="false">IF(OR($B$4="",$B$4="Selecione a Unidade..."),"",IFERROR(INDEX(CHAMADOS_GOP!S$2:S$500,MATCH(14,CHAMADOS_GOP!$AE$2:$AE$500,0)),""))</f>
        <v/>
      </c>
      <c r="I29" s="64" t="str">
        <f aca="false">IF(OR($B$4="",$B$4="Selecione a Unidade..."),"",IFERROR(INDEX(CHAMADOS_GOP!Y$2:Y$500,MATCH(14,CHAMADOS_GOP!$AE$2:$AE$500,0)),""))</f>
        <v/>
      </c>
    </row>
    <row r="30" customFormat="false" ht="13.5" hidden="false" customHeight="true" outlineLevel="0" collapsed="false">
      <c r="A30" s="61" t="str">
        <f aca="false">IF(OR($B$4="",$B$4="Selecione a Unidade..."),"",IFERROR(INDEX(CHAMADOS_GOP!B$2:B$500,MATCH(15,CHAMADOS_GOP!$AE$2:$AE$500,0)),""))</f>
        <v/>
      </c>
      <c r="B30" s="62" t="str">
        <f aca="false">IF(OR($B$4="",$B$4="Selecione a Unidade..."),"",IFERROR(INDEX(CHAMADOS_GOP!W$2:W$500,MATCH(15,CHAMADOS_GOP!$AE$2:$AE$500,0)),""))</f>
        <v/>
      </c>
      <c r="C30" s="61" t="str">
        <f aca="false">IF(OR($B$4="",$B$4="Selecione a Unidade..."),"",IFERROR(INDEX(CHAMADOS_GOP!F$2:F$500,MATCH(15,CHAMADOS_GOP!$AE$2:$AE$500,0)),""))</f>
        <v/>
      </c>
      <c r="D30" s="61" t="str">
        <f aca="false">IF(OR($B$4="",$B$4="Selecione a Unidade..."),"",IFERROR(INDEX(CHAMADOS_GOP!E$2:E$500,MATCH(15,CHAMADOS_GOP!$AE$2:$AE$500,0)),""))</f>
        <v/>
      </c>
      <c r="E30" s="61" t="str">
        <f aca="false">IF(OR($B$4="",$B$4="Selecione a Unidade..."),"",IFERROR(INDEX(CHAMADOS_GOP!O$2:O$500,MATCH(15,CHAMADOS_GOP!$AE$2:$AE$500,0)),""))</f>
        <v/>
      </c>
      <c r="F30" s="61" t="str">
        <f aca="false">IF(OR($B$4="",$B$4="Selecione a Unidade..."),"",IFERROR(INDEX(CHAMADOS_GOP!P$2:P$500,MATCH(15,CHAMADOS_GOP!$AE$2:$AE$500,0)),""))</f>
        <v/>
      </c>
      <c r="G30" s="61" t="str">
        <f aca="false">IF(OR($B$4="",$B$4="Selecione a Unidade..."),"",IFERROR(INDEX(CHAMADOS_GOP!Q$2:Q$500,MATCH(15,CHAMADOS_GOP!$AE$2:$AE$500,0)),""))</f>
        <v/>
      </c>
      <c r="H30" s="63" t="str">
        <f aca="false">IF(OR($B$4="",$B$4="Selecione a Unidade..."),"",IFERROR(INDEX(CHAMADOS_GOP!S$2:S$500,MATCH(15,CHAMADOS_GOP!$AE$2:$AE$500,0)),""))</f>
        <v/>
      </c>
      <c r="I30" s="64" t="str">
        <f aca="false">IF(OR($B$4="",$B$4="Selecione a Unidade..."),"",IFERROR(INDEX(CHAMADOS_GOP!Y$2:Y$500,MATCH(15,CHAMADOS_GOP!$AE$2:$AE$500,0)),""))</f>
        <v/>
      </c>
    </row>
    <row r="31" customFormat="false" ht="13.5" hidden="false" customHeight="true" outlineLevel="0" collapsed="false">
      <c r="A31" s="61" t="str">
        <f aca="false">IF(OR($B$4="",$B$4="Selecione a Unidade..."),"",IFERROR(INDEX(CHAMADOS_GOP!B$2:B$500,MATCH(16,CHAMADOS_GOP!$AE$2:$AE$500,0)),""))</f>
        <v/>
      </c>
      <c r="B31" s="62" t="str">
        <f aca="false">IF(OR($B$4="",$B$4="Selecione a Unidade..."),"",IFERROR(INDEX(CHAMADOS_GOP!W$2:W$500,MATCH(16,CHAMADOS_GOP!$AE$2:$AE$500,0)),""))</f>
        <v/>
      </c>
      <c r="C31" s="61" t="str">
        <f aca="false">IF(OR($B$4="",$B$4="Selecione a Unidade..."),"",IFERROR(INDEX(CHAMADOS_GOP!F$2:F$500,MATCH(16,CHAMADOS_GOP!$AE$2:$AE$500,0)),""))</f>
        <v/>
      </c>
      <c r="D31" s="61" t="str">
        <f aca="false">IF(OR($B$4="",$B$4="Selecione a Unidade..."),"",IFERROR(INDEX(CHAMADOS_GOP!E$2:E$500,MATCH(16,CHAMADOS_GOP!$AE$2:$AE$500,0)),""))</f>
        <v/>
      </c>
      <c r="E31" s="61" t="str">
        <f aca="false">IF(OR($B$4="",$B$4="Selecione a Unidade..."),"",IFERROR(INDEX(CHAMADOS_GOP!O$2:O$500,MATCH(16,CHAMADOS_GOP!$AE$2:$AE$500,0)),""))</f>
        <v/>
      </c>
      <c r="F31" s="61" t="str">
        <f aca="false">IF(OR($B$4="",$B$4="Selecione a Unidade..."),"",IFERROR(INDEX(CHAMADOS_GOP!P$2:P$500,MATCH(16,CHAMADOS_GOP!$AE$2:$AE$500,0)),""))</f>
        <v/>
      </c>
      <c r="G31" s="61" t="str">
        <f aca="false">IF(OR($B$4="",$B$4="Selecione a Unidade..."),"",IFERROR(INDEX(CHAMADOS_GOP!Q$2:Q$500,MATCH(16,CHAMADOS_GOP!$AE$2:$AE$500,0)),""))</f>
        <v/>
      </c>
      <c r="H31" s="63" t="str">
        <f aca="false">IF(OR($B$4="",$B$4="Selecione a Unidade..."),"",IFERROR(INDEX(CHAMADOS_GOP!S$2:S$500,MATCH(16,CHAMADOS_GOP!$AE$2:$AE$500,0)),""))</f>
        <v/>
      </c>
      <c r="I31" s="64" t="str">
        <f aca="false">IF(OR($B$4="",$B$4="Selecione a Unidade..."),"",IFERROR(INDEX(CHAMADOS_GOP!Y$2:Y$500,MATCH(16,CHAMADOS_GOP!$AE$2:$AE$500,0)),""))</f>
        <v/>
      </c>
    </row>
    <row r="32" customFormat="false" ht="13.5" hidden="false" customHeight="true" outlineLevel="0" collapsed="false">
      <c r="A32" s="61" t="str">
        <f aca="false">IF(OR($B$4="",$B$4="Selecione a Unidade..."),"",IFERROR(INDEX(CHAMADOS_GOP!B$2:B$500,MATCH(17,CHAMADOS_GOP!$AE$2:$AE$500,0)),""))</f>
        <v/>
      </c>
      <c r="B32" s="62" t="str">
        <f aca="false">IF(OR($B$4="",$B$4="Selecione a Unidade..."),"",IFERROR(INDEX(CHAMADOS_GOP!W$2:W$500,MATCH(17,CHAMADOS_GOP!$AE$2:$AE$500,0)),""))</f>
        <v/>
      </c>
      <c r="C32" s="61" t="str">
        <f aca="false">IF(OR($B$4="",$B$4="Selecione a Unidade..."),"",IFERROR(INDEX(CHAMADOS_GOP!F$2:F$500,MATCH(17,CHAMADOS_GOP!$AE$2:$AE$500,0)),""))</f>
        <v/>
      </c>
      <c r="D32" s="61" t="str">
        <f aca="false">IF(OR($B$4="",$B$4="Selecione a Unidade..."),"",IFERROR(INDEX(CHAMADOS_GOP!E$2:E$500,MATCH(17,CHAMADOS_GOP!$AE$2:$AE$500,0)),""))</f>
        <v/>
      </c>
      <c r="E32" s="61" t="str">
        <f aca="false">IF(OR($B$4="",$B$4="Selecione a Unidade..."),"",IFERROR(INDEX(CHAMADOS_GOP!O$2:O$500,MATCH(17,CHAMADOS_GOP!$AE$2:$AE$500,0)),""))</f>
        <v/>
      </c>
      <c r="F32" s="61" t="str">
        <f aca="false">IF(OR($B$4="",$B$4="Selecione a Unidade..."),"",IFERROR(INDEX(CHAMADOS_GOP!P$2:P$500,MATCH(17,CHAMADOS_GOP!$AE$2:$AE$500,0)),""))</f>
        <v/>
      </c>
      <c r="G32" s="61" t="str">
        <f aca="false">IF(OR($B$4="",$B$4="Selecione a Unidade..."),"",IFERROR(INDEX(CHAMADOS_GOP!Q$2:Q$500,MATCH(17,CHAMADOS_GOP!$AE$2:$AE$500,0)),""))</f>
        <v/>
      </c>
      <c r="H32" s="63" t="str">
        <f aca="false">IF(OR($B$4="",$B$4="Selecione a Unidade..."),"",IFERROR(INDEX(CHAMADOS_GOP!S$2:S$500,MATCH(17,CHAMADOS_GOP!$AE$2:$AE$500,0)),""))</f>
        <v/>
      </c>
      <c r="I32" s="64" t="str">
        <f aca="false">IF(OR($B$4="",$B$4="Selecione a Unidade..."),"",IFERROR(INDEX(CHAMADOS_GOP!Y$2:Y$500,MATCH(17,CHAMADOS_GOP!$AE$2:$AE$500,0)),""))</f>
        <v/>
      </c>
    </row>
    <row r="33" customFormat="false" ht="13.5" hidden="false" customHeight="true" outlineLevel="0" collapsed="false">
      <c r="A33" s="61" t="str">
        <f aca="false">IF(OR($B$4="",$B$4="Selecione a Unidade..."),"",IFERROR(INDEX(CHAMADOS_GOP!B$2:B$500,MATCH(18,CHAMADOS_GOP!$AE$2:$AE$500,0)),""))</f>
        <v/>
      </c>
      <c r="B33" s="62" t="str">
        <f aca="false">IF(OR($B$4="",$B$4="Selecione a Unidade..."),"",IFERROR(INDEX(CHAMADOS_GOP!W$2:W$500,MATCH(18,CHAMADOS_GOP!$AE$2:$AE$500,0)),""))</f>
        <v/>
      </c>
      <c r="C33" s="61" t="str">
        <f aca="false">IF(OR($B$4="",$B$4="Selecione a Unidade..."),"",IFERROR(INDEX(CHAMADOS_GOP!F$2:F$500,MATCH(18,CHAMADOS_GOP!$AE$2:$AE$500,0)),""))</f>
        <v/>
      </c>
      <c r="D33" s="61" t="str">
        <f aca="false">IF(OR($B$4="",$B$4="Selecione a Unidade..."),"",IFERROR(INDEX(CHAMADOS_GOP!E$2:E$500,MATCH(18,CHAMADOS_GOP!$AE$2:$AE$500,0)),""))</f>
        <v/>
      </c>
      <c r="E33" s="61" t="str">
        <f aca="false">IF(OR($B$4="",$B$4="Selecione a Unidade..."),"",IFERROR(INDEX(CHAMADOS_GOP!O$2:O$500,MATCH(18,CHAMADOS_GOP!$AE$2:$AE$500,0)),""))</f>
        <v/>
      </c>
      <c r="F33" s="61" t="str">
        <f aca="false">IF(OR($B$4="",$B$4="Selecione a Unidade..."),"",IFERROR(INDEX(CHAMADOS_GOP!P$2:P$500,MATCH(18,CHAMADOS_GOP!$AE$2:$AE$500,0)),""))</f>
        <v/>
      </c>
      <c r="G33" s="61" t="str">
        <f aca="false">IF(OR($B$4="",$B$4="Selecione a Unidade..."),"",IFERROR(INDEX(CHAMADOS_GOP!Q$2:Q$500,MATCH(18,CHAMADOS_GOP!$AE$2:$AE$500,0)),""))</f>
        <v/>
      </c>
      <c r="H33" s="63" t="str">
        <f aca="false">IF(OR($B$4="",$B$4="Selecione a Unidade..."),"",IFERROR(INDEX(CHAMADOS_GOP!S$2:S$500,MATCH(18,CHAMADOS_GOP!$AE$2:$AE$500,0)),""))</f>
        <v/>
      </c>
      <c r="I33" s="64" t="str">
        <f aca="false">IF(OR($B$4="",$B$4="Selecione a Unidade..."),"",IFERROR(INDEX(CHAMADOS_GOP!Y$2:Y$500,MATCH(18,CHAMADOS_GOP!$AE$2:$AE$500,0)),""))</f>
        <v/>
      </c>
    </row>
    <row r="34" customFormat="false" ht="19.5" hidden="false" customHeight="true" outlineLevel="0" collapsed="false">
      <c r="A34" s="55" t="s">
        <v>109</v>
      </c>
    </row>
    <row r="35" customFormat="false" ht="25.5" hidden="false" customHeight="true" outlineLevel="0" collapsed="false">
      <c r="A35" s="60" t="s">
        <v>110</v>
      </c>
      <c r="B35" s="60" t="s">
        <v>111</v>
      </c>
      <c r="C35" s="60" t="s">
        <v>83</v>
      </c>
      <c r="D35" s="60" t="s">
        <v>91</v>
      </c>
      <c r="E35" s="60" t="s">
        <v>60</v>
      </c>
      <c r="F35" s="60" t="s">
        <v>112</v>
      </c>
      <c r="G35" s="60" t="s">
        <v>113</v>
      </c>
      <c r="H35" s="60" t="s">
        <v>114</v>
      </c>
      <c r="I35" s="60" t="s">
        <v>115</v>
      </c>
    </row>
    <row r="36" customFormat="false" ht="21.75" hidden="false" customHeight="true" outlineLevel="0" collapsed="false">
      <c r="A36" s="61" t="str">
        <f aca="false">IF(OR($B$4="",$B$4="Selecione a Unidade..."),"",IFERROR(INDEX(HISTORICO_RELEVANTE!A$2:A$500,MATCH(1,HISTORICO_RELEVANTE!$K$2:$K$500,0)),""))</f>
        <v/>
      </c>
      <c r="B36" s="65" t="str">
        <f aca="false">IF(OR($B$4="",$B$4="Selecione a Unidade..."),"",IFERROR(INDEX(HISTORICO_RELEVANTE!B$2:B$500,MATCH(1,HISTORICO_RELEVANTE!$K$2:$K$500,0)),""))</f>
        <v/>
      </c>
      <c r="C36" s="61" t="str">
        <f aca="false">IF(OR($B$4="",$B$4="Selecione a Unidade..."),"",IFERROR(INDEX(HISTORICO_RELEVANTE!C$2:C$500,MATCH(1,HISTORICO_RELEVANTE!$K$2:$K$500,0)),""))</f>
        <v/>
      </c>
      <c r="D36" s="61" t="str">
        <f aca="false">IF(OR($B$4="",$B$4="Selecione a Unidade..."),"",IFERROR(INDEX(HISTORICO_RELEVANTE!D$2:D$500,MATCH(1,HISTORICO_RELEVANTE!$K$2:$K$500,0)),""))</f>
        <v/>
      </c>
      <c r="E36" s="61" t="str">
        <f aca="false">IF(OR($B$4="",$B$4="Selecione a Unidade..."),"",IFERROR(INDEX(HISTORICO_RELEVANTE!E$2:E$500,MATCH(1,HISTORICO_RELEVANTE!$K$2:$K$500,0)),""))</f>
        <v/>
      </c>
      <c r="F36" s="61" t="str">
        <f aca="false">IF(OR($B$4="",$B$4="Selecione a Unidade..."),"",IFERROR(INDEX(HISTORICO_RELEVANTE!F$2:F$500,MATCH(1,HISTORICO_RELEVANTE!$K$2:$K$500,0)),""))</f>
        <v/>
      </c>
      <c r="G36" s="61" t="str">
        <f aca="false">IF(OR($B$4="",$B$4="Selecione a Unidade..."),"",IFERROR(INDEX(HISTORICO_RELEVANTE!G$2:G$500,MATCH(1,HISTORICO_RELEVANTE!$K$2:$K$500,0)),""))</f>
        <v/>
      </c>
      <c r="H36" s="61" t="str">
        <f aca="false">IF(OR($B$4="",$B$4="Selecione a Unidade..."),"",IFERROR(INDEX(HISTORICO_RELEVANTE!H$2:H$500,MATCH(1,HISTORICO_RELEVANTE!$K$2:$K$500,0)),""))</f>
        <v/>
      </c>
      <c r="I36" s="61" t="str">
        <f aca="false">IF(OR($B$4="",$B$4="Selecione a Unidade..."),"",IFERROR(INDEX(HISTORICO_RELEVANTE!I$2:I$500,MATCH(1,HISTORICO_RELEVANTE!$K$2:$K$500,0)),""))</f>
        <v/>
      </c>
    </row>
    <row r="37" customFormat="false" ht="13.5" hidden="false" customHeight="true" outlineLevel="0" collapsed="false">
      <c r="A37" s="61" t="str">
        <f aca="false">IF(OR($B$4="",$B$4="Selecione a Unidade..."),"",IFERROR(INDEX(HISTORICO_RELEVANTE!A$2:A$500,MATCH(2,HISTORICO_RELEVANTE!$K$2:$K$500,0)),""))</f>
        <v/>
      </c>
      <c r="B37" s="65" t="str">
        <f aca="false">IF(OR($B$4="",$B$4="Selecione a Unidade..."),"",IFERROR(INDEX(HISTORICO_RELEVANTE!B$2:B$500,MATCH(2,HISTORICO_RELEVANTE!$K$2:$K$500,0)),""))</f>
        <v/>
      </c>
      <c r="C37" s="61" t="str">
        <f aca="false">IF(OR($B$4="",$B$4="Selecione a Unidade..."),"",IFERROR(INDEX(HISTORICO_RELEVANTE!C$2:C$500,MATCH(2,HISTORICO_RELEVANTE!$K$2:$K$500,0)),""))</f>
        <v/>
      </c>
      <c r="D37" s="61" t="str">
        <f aca="false">IF(OR($B$4="",$B$4="Selecione a Unidade..."),"",IFERROR(INDEX(HISTORICO_RELEVANTE!D$2:D$500,MATCH(2,HISTORICO_RELEVANTE!$K$2:$K$500,0)),""))</f>
        <v/>
      </c>
      <c r="E37" s="61" t="str">
        <f aca="false">IF(OR($B$4="",$B$4="Selecione a Unidade..."),"",IFERROR(INDEX(HISTORICO_RELEVANTE!E$2:E$500,MATCH(2,HISTORICO_RELEVANTE!$K$2:$K$500,0)),""))</f>
        <v/>
      </c>
      <c r="F37" s="61" t="str">
        <f aca="false">IF(OR($B$4="",$B$4="Selecione a Unidade..."),"",IFERROR(INDEX(HISTORICO_RELEVANTE!F$2:F$500,MATCH(2,HISTORICO_RELEVANTE!$K$2:$K$500,0)),""))</f>
        <v/>
      </c>
      <c r="G37" s="61" t="str">
        <f aca="false">IF(OR($B$4="",$B$4="Selecione a Unidade..."),"",IFERROR(INDEX(HISTORICO_RELEVANTE!G$2:G$500,MATCH(2,HISTORICO_RELEVANTE!$K$2:$K$500,0)),""))</f>
        <v/>
      </c>
      <c r="H37" s="61" t="str">
        <f aca="false">IF(OR($B$4="",$B$4="Selecione a Unidade..."),"",IFERROR(INDEX(HISTORICO_RELEVANTE!H$2:H$500,MATCH(2,HISTORICO_RELEVANTE!$K$2:$K$500,0)),""))</f>
        <v/>
      </c>
      <c r="I37" s="61" t="str">
        <f aca="false">IF(OR($B$4="",$B$4="Selecione a Unidade..."),"",IFERROR(INDEX(HISTORICO_RELEVANTE!I$2:I$500,MATCH(2,HISTORICO_RELEVANTE!$K$2:$K$500,0)),""))</f>
        <v/>
      </c>
    </row>
    <row r="38" customFormat="false" ht="13.5" hidden="false" customHeight="true" outlineLevel="0" collapsed="false">
      <c r="A38" s="61" t="str">
        <f aca="false">IF(OR($B$4="",$B$4="Selecione a Unidade..."),"",IFERROR(INDEX(HISTORICO_RELEVANTE!A$2:A$500,MATCH(3,HISTORICO_RELEVANTE!$K$2:$K$500,0)),""))</f>
        <v/>
      </c>
      <c r="B38" s="65" t="str">
        <f aca="false">IF(OR($B$4="",$B$4="Selecione a Unidade..."),"",IFERROR(INDEX(HISTORICO_RELEVANTE!B$2:B$500,MATCH(3,HISTORICO_RELEVANTE!$K$2:$K$500,0)),""))</f>
        <v/>
      </c>
      <c r="C38" s="61" t="str">
        <f aca="false">IF(OR($B$4="",$B$4="Selecione a Unidade..."),"",IFERROR(INDEX(HISTORICO_RELEVANTE!C$2:C$500,MATCH(3,HISTORICO_RELEVANTE!$K$2:$K$500,0)),""))</f>
        <v/>
      </c>
      <c r="D38" s="61" t="str">
        <f aca="false">IF(OR($B$4="",$B$4="Selecione a Unidade..."),"",IFERROR(INDEX(HISTORICO_RELEVANTE!D$2:D$500,MATCH(3,HISTORICO_RELEVANTE!$K$2:$K$500,0)),""))</f>
        <v/>
      </c>
      <c r="E38" s="61" t="str">
        <f aca="false">IF(OR($B$4="",$B$4="Selecione a Unidade..."),"",IFERROR(INDEX(HISTORICO_RELEVANTE!E$2:E$500,MATCH(3,HISTORICO_RELEVANTE!$K$2:$K$500,0)),""))</f>
        <v/>
      </c>
      <c r="F38" s="61" t="str">
        <f aca="false">IF(OR($B$4="",$B$4="Selecione a Unidade..."),"",IFERROR(INDEX(HISTORICO_RELEVANTE!F$2:F$500,MATCH(3,HISTORICO_RELEVANTE!$K$2:$K$500,0)),""))</f>
        <v/>
      </c>
      <c r="G38" s="61" t="str">
        <f aca="false">IF(OR($B$4="",$B$4="Selecione a Unidade..."),"",IFERROR(INDEX(HISTORICO_RELEVANTE!G$2:G$500,MATCH(3,HISTORICO_RELEVANTE!$K$2:$K$500,0)),""))</f>
        <v/>
      </c>
      <c r="H38" s="61" t="str">
        <f aca="false">IF(OR($B$4="",$B$4="Selecione a Unidade..."),"",IFERROR(INDEX(HISTORICO_RELEVANTE!H$2:H$500,MATCH(3,HISTORICO_RELEVANTE!$K$2:$K$500,0)),""))</f>
        <v/>
      </c>
      <c r="I38" s="61" t="str">
        <f aca="false">IF(OR($B$4="",$B$4="Selecione a Unidade..."),"",IFERROR(INDEX(HISTORICO_RELEVANTE!I$2:I$500,MATCH(3,HISTORICO_RELEVANTE!$K$2:$K$500,0)),""))</f>
        <v/>
      </c>
    </row>
    <row r="39" customFormat="false" ht="13.5" hidden="false" customHeight="true" outlineLevel="0" collapsed="false">
      <c r="A39" s="61" t="str">
        <f aca="false">IF(OR($B$4="",$B$4="Selecione a Unidade..."),"",IFERROR(INDEX(HISTORICO_RELEVANTE!A$2:A$500,MATCH(4,HISTORICO_RELEVANTE!$K$2:$K$500,0)),""))</f>
        <v/>
      </c>
      <c r="B39" s="65" t="str">
        <f aca="false">IF(OR($B$4="",$B$4="Selecione a Unidade..."),"",IFERROR(INDEX(HISTORICO_RELEVANTE!B$2:B$500,MATCH(4,HISTORICO_RELEVANTE!$K$2:$K$500,0)),""))</f>
        <v/>
      </c>
      <c r="C39" s="61" t="str">
        <f aca="false">IF(OR($B$4="",$B$4="Selecione a Unidade..."),"",IFERROR(INDEX(HISTORICO_RELEVANTE!C$2:C$500,MATCH(4,HISTORICO_RELEVANTE!$K$2:$K$500,0)),""))</f>
        <v/>
      </c>
      <c r="D39" s="61" t="str">
        <f aca="false">IF(OR($B$4="",$B$4="Selecione a Unidade..."),"",IFERROR(INDEX(HISTORICO_RELEVANTE!D$2:D$500,MATCH(4,HISTORICO_RELEVANTE!$K$2:$K$500,0)),""))</f>
        <v/>
      </c>
      <c r="E39" s="61" t="str">
        <f aca="false">IF(OR($B$4="",$B$4="Selecione a Unidade..."),"",IFERROR(INDEX(HISTORICO_RELEVANTE!E$2:E$500,MATCH(4,HISTORICO_RELEVANTE!$K$2:$K$500,0)),""))</f>
        <v/>
      </c>
      <c r="F39" s="61" t="str">
        <f aca="false">IF(OR($B$4="",$B$4="Selecione a Unidade..."),"",IFERROR(INDEX(HISTORICO_RELEVANTE!F$2:F$500,MATCH(4,HISTORICO_RELEVANTE!$K$2:$K$500,0)),""))</f>
        <v/>
      </c>
      <c r="G39" s="61" t="str">
        <f aca="false">IF(OR($B$4="",$B$4="Selecione a Unidade..."),"",IFERROR(INDEX(HISTORICO_RELEVANTE!G$2:G$500,MATCH(4,HISTORICO_RELEVANTE!$K$2:$K$500,0)),""))</f>
        <v/>
      </c>
      <c r="H39" s="61" t="str">
        <f aca="false">IF(OR($B$4="",$B$4="Selecione a Unidade..."),"",IFERROR(INDEX(HISTORICO_RELEVANTE!H$2:H$500,MATCH(4,HISTORICO_RELEVANTE!$K$2:$K$500,0)),""))</f>
        <v/>
      </c>
      <c r="I39" s="61" t="str">
        <f aca="false">IF(OR($B$4="",$B$4="Selecione a Unidade..."),"",IFERROR(INDEX(HISTORICO_RELEVANTE!I$2:I$500,MATCH(4,HISTORICO_RELEVANTE!$K$2:$K$500,0)),""))</f>
        <v/>
      </c>
    </row>
    <row r="40" customFormat="false" ht="13.5" hidden="false" customHeight="true" outlineLevel="0" collapsed="false">
      <c r="A40" s="61" t="str">
        <f aca="false">IF(OR($B$4="",$B$4="Selecione a Unidade..."),"",IFERROR(INDEX(HISTORICO_RELEVANTE!A$2:A$500,MATCH(5,HISTORICO_RELEVANTE!$K$2:$K$500,0)),""))</f>
        <v/>
      </c>
      <c r="B40" s="65" t="str">
        <f aca="false">IF(OR($B$4="",$B$4="Selecione a Unidade..."),"",IFERROR(INDEX(HISTORICO_RELEVANTE!B$2:B$500,MATCH(5,HISTORICO_RELEVANTE!$K$2:$K$500,0)),""))</f>
        <v/>
      </c>
      <c r="C40" s="61" t="str">
        <f aca="false">IF(OR($B$4="",$B$4="Selecione a Unidade..."),"",IFERROR(INDEX(HISTORICO_RELEVANTE!C$2:C$500,MATCH(5,HISTORICO_RELEVANTE!$K$2:$K$500,0)),""))</f>
        <v/>
      </c>
      <c r="D40" s="61" t="str">
        <f aca="false">IF(OR($B$4="",$B$4="Selecione a Unidade..."),"",IFERROR(INDEX(HISTORICO_RELEVANTE!D$2:D$500,MATCH(5,HISTORICO_RELEVANTE!$K$2:$K$500,0)),""))</f>
        <v/>
      </c>
      <c r="E40" s="61" t="str">
        <f aca="false">IF(OR($B$4="",$B$4="Selecione a Unidade..."),"",IFERROR(INDEX(HISTORICO_RELEVANTE!E$2:E$500,MATCH(5,HISTORICO_RELEVANTE!$K$2:$K$500,0)),""))</f>
        <v/>
      </c>
      <c r="F40" s="61" t="str">
        <f aca="false">IF(OR($B$4="",$B$4="Selecione a Unidade..."),"",IFERROR(INDEX(HISTORICO_RELEVANTE!F$2:F$500,MATCH(5,HISTORICO_RELEVANTE!$K$2:$K$500,0)),""))</f>
        <v/>
      </c>
      <c r="G40" s="61" t="str">
        <f aca="false">IF(OR($B$4="",$B$4="Selecione a Unidade..."),"",IFERROR(INDEX(HISTORICO_RELEVANTE!G$2:G$500,MATCH(5,HISTORICO_RELEVANTE!$K$2:$K$500,0)),""))</f>
        <v/>
      </c>
      <c r="H40" s="61" t="str">
        <f aca="false">IF(OR($B$4="",$B$4="Selecione a Unidade..."),"",IFERROR(INDEX(HISTORICO_RELEVANTE!H$2:H$500,MATCH(5,HISTORICO_RELEVANTE!$K$2:$K$500,0)),""))</f>
        <v/>
      </c>
      <c r="I40" s="61" t="str">
        <f aca="false">IF(OR($B$4="",$B$4="Selecione a Unidade..."),"",IFERROR(INDEX(HISTORICO_RELEVANTE!I$2:I$500,MATCH(5,HISTORICO_RELEVANTE!$K$2:$K$500,0)),""))</f>
        <v/>
      </c>
    </row>
    <row r="41" customFormat="false" ht="13.5" hidden="false" customHeight="true" outlineLevel="0" collapsed="false">
      <c r="A41" s="61" t="str">
        <f aca="false">IF(OR($B$4="",$B$4="Selecione a Unidade..."),"",IFERROR(INDEX(HISTORICO_RELEVANTE!A$2:A$500,MATCH(6,HISTORICO_RELEVANTE!$K$2:$K$500,0)),""))</f>
        <v/>
      </c>
      <c r="B41" s="65" t="str">
        <f aca="false">IF(OR($B$4="",$B$4="Selecione a Unidade..."),"",IFERROR(INDEX(HISTORICO_RELEVANTE!B$2:B$500,MATCH(6,HISTORICO_RELEVANTE!$K$2:$K$500,0)),""))</f>
        <v/>
      </c>
      <c r="C41" s="61" t="str">
        <f aca="false">IF(OR($B$4="",$B$4="Selecione a Unidade..."),"",IFERROR(INDEX(HISTORICO_RELEVANTE!C$2:C$500,MATCH(6,HISTORICO_RELEVANTE!$K$2:$K$500,0)),""))</f>
        <v/>
      </c>
      <c r="D41" s="61" t="str">
        <f aca="false">IF(OR($B$4="",$B$4="Selecione a Unidade..."),"",IFERROR(INDEX(HISTORICO_RELEVANTE!D$2:D$500,MATCH(6,HISTORICO_RELEVANTE!$K$2:$K$500,0)),""))</f>
        <v/>
      </c>
      <c r="E41" s="61" t="str">
        <f aca="false">IF(OR($B$4="",$B$4="Selecione a Unidade..."),"",IFERROR(INDEX(HISTORICO_RELEVANTE!E$2:E$500,MATCH(6,HISTORICO_RELEVANTE!$K$2:$K$500,0)),""))</f>
        <v/>
      </c>
      <c r="F41" s="61" t="str">
        <f aca="false">IF(OR($B$4="",$B$4="Selecione a Unidade..."),"",IFERROR(INDEX(HISTORICO_RELEVANTE!F$2:F$500,MATCH(6,HISTORICO_RELEVANTE!$K$2:$K$500,0)),""))</f>
        <v/>
      </c>
      <c r="G41" s="61" t="str">
        <f aca="false">IF(OR($B$4="",$B$4="Selecione a Unidade..."),"",IFERROR(INDEX(HISTORICO_RELEVANTE!G$2:G$500,MATCH(6,HISTORICO_RELEVANTE!$K$2:$K$500,0)),""))</f>
        <v/>
      </c>
      <c r="H41" s="61" t="str">
        <f aca="false">IF(OR($B$4="",$B$4="Selecione a Unidade..."),"",IFERROR(INDEX(HISTORICO_RELEVANTE!H$2:H$500,MATCH(6,HISTORICO_RELEVANTE!$K$2:$K$500,0)),""))</f>
        <v/>
      </c>
      <c r="I41" s="61" t="str">
        <f aca="false">IF(OR($B$4="",$B$4="Selecione a Unidade..."),"",IFERROR(INDEX(HISTORICO_RELEVANTE!I$2:I$500,MATCH(6,HISTORICO_RELEVANTE!$K$2:$K$500,0)),""))</f>
        <v/>
      </c>
    </row>
    <row r="42" customFormat="false" ht="13.5" hidden="false" customHeight="true" outlineLevel="0" collapsed="false">
      <c r="A42" s="61" t="str">
        <f aca="false">IF(OR($B$4="",$B$4="Selecione a Unidade..."),"",IFERROR(INDEX(HISTORICO_RELEVANTE!A$2:A$500,MATCH(7,HISTORICO_RELEVANTE!$K$2:$K$500,0)),""))</f>
        <v/>
      </c>
      <c r="B42" s="65" t="str">
        <f aca="false">IF(OR($B$4="",$B$4="Selecione a Unidade..."),"",IFERROR(INDEX(HISTORICO_RELEVANTE!B$2:B$500,MATCH(7,HISTORICO_RELEVANTE!$K$2:$K$500,0)),""))</f>
        <v/>
      </c>
      <c r="C42" s="61" t="str">
        <f aca="false">IF(OR($B$4="",$B$4="Selecione a Unidade..."),"",IFERROR(INDEX(HISTORICO_RELEVANTE!C$2:C$500,MATCH(7,HISTORICO_RELEVANTE!$K$2:$K$500,0)),""))</f>
        <v/>
      </c>
      <c r="D42" s="61" t="str">
        <f aca="false">IF(OR($B$4="",$B$4="Selecione a Unidade..."),"",IFERROR(INDEX(HISTORICO_RELEVANTE!D$2:D$500,MATCH(7,HISTORICO_RELEVANTE!$K$2:$K$500,0)),""))</f>
        <v/>
      </c>
      <c r="E42" s="61" t="str">
        <f aca="false">IF(OR($B$4="",$B$4="Selecione a Unidade..."),"",IFERROR(INDEX(HISTORICO_RELEVANTE!E$2:E$500,MATCH(7,HISTORICO_RELEVANTE!$K$2:$K$500,0)),""))</f>
        <v/>
      </c>
      <c r="F42" s="61" t="str">
        <f aca="false">IF(OR($B$4="",$B$4="Selecione a Unidade..."),"",IFERROR(INDEX(HISTORICO_RELEVANTE!F$2:F$500,MATCH(7,HISTORICO_RELEVANTE!$K$2:$K$500,0)),""))</f>
        <v/>
      </c>
      <c r="G42" s="61" t="str">
        <f aca="false">IF(OR($B$4="",$B$4="Selecione a Unidade..."),"",IFERROR(INDEX(HISTORICO_RELEVANTE!G$2:G$500,MATCH(7,HISTORICO_RELEVANTE!$K$2:$K$500,0)),""))</f>
        <v/>
      </c>
      <c r="H42" s="61" t="str">
        <f aca="false">IF(OR($B$4="",$B$4="Selecione a Unidade..."),"",IFERROR(INDEX(HISTORICO_RELEVANTE!H$2:H$500,MATCH(7,HISTORICO_RELEVANTE!$K$2:$K$500,0)),""))</f>
        <v/>
      </c>
      <c r="I42" s="61" t="str">
        <f aca="false">IF(OR($B$4="",$B$4="Selecione a Unidade..."),"",IFERROR(INDEX(HISTORICO_RELEVANTE!I$2:I$500,MATCH(7,HISTORICO_RELEVANTE!$K$2:$K$500,0)),""))</f>
        <v/>
      </c>
    </row>
    <row r="43" customFormat="false" ht="13.5" hidden="false" customHeight="true" outlineLevel="0" collapsed="false">
      <c r="A43" s="61" t="str">
        <f aca="false">IF(OR($B$4="",$B$4="Selecione a Unidade..."),"",IFERROR(INDEX(HISTORICO_RELEVANTE!A$2:A$500,MATCH(8,HISTORICO_RELEVANTE!$K$2:$K$500,0)),""))</f>
        <v/>
      </c>
      <c r="B43" s="65" t="str">
        <f aca="false">IF(OR($B$4="",$B$4="Selecione a Unidade..."),"",IFERROR(INDEX(HISTORICO_RELEVANTE!B$2:B$500,MATCH(8,HISTORICO_RELEVANTE!$K$2:$K$500,0)),""))</f>
        <v/>
      </c>
      <c r="C43" s="61" t="str">
        <f aca="false">IF(OR($B$4="",$B$4="Selecione a Unidade..."),"",IFERROR(INDEX(HISTORICO_RELEVANTE!C$2:C$500,MATCH(8,HISTORICO_RELEVANTE!$K$2:$K$500,0)),""))</f>
        <v/>
      </c>
      <c r="D43" s="61" t="str">
        <f aca="false">IF(OR($B$4="",$B$4="Selecione a Unidade..."),"",IFERROR(INDEX(HISTORICO_RELEVANTE!D$2:D$500,MATCH(8,HISTORICO_RELEVANTE!$K$2:$K$500,0)),""))</f>
        <v/>
      </c>
      <c r="E43" s="61" t="str">
        <f aca="false">IF(OR($B$4="",$B$4="Selecione a Unidade..."),"",IFERROR(INDEX(HISTORICO_RELEVANTE!E$2:E$500,MATCH(8,HISTORICO_RELEVANTE!$K$2:$K$500,0)),""))</f>
        <v/>
      </c>
      <c r="F43" s="61" t="str">
        <f aca="false">IF(OR($B$4="",$B$4="Selecione a Unidade..."),"",IFERROR(INDEX(HISTORICO_RELEVANTE!F$2:F$500,MATCH(8,HISTORICO_RELEVANTE!$K$2:$K$500,0)),""))</f>
        <v/>
      </c>
      <c r="G43" s="61" t="str">
        <f aca="false">IF(OR($B$4="",$B$4="Selecione a Unidade..."),"",IFERROR(INDEX(HISTORICO_RELEVANTE!G$2:G$500,MATCH(8,HISTORICO_RELEVANTE!$K$2:$K$500,0)),""))</f>
        <v/>
      </c>
      <c r="H43" s="61" t="str">
        <f aca="false">IF(OR($B$4="",$B$4="Selecione a Unidade..."),"",IFERROR(INDEX(HISTORICO_RELEVANTE!H$2:H$500,MATCH(8,HISTORICO_RELEVANTE!$K$2:$K$500,0)),""))</f>
        <v/>
      </c>
      <c r="I43" s="61" t="str">
        <f aca="false">IF(OR($B$4="",$B$4="Selecione a Unidade..."),"",IFERROR(INDEX(HISTORICO_RELEVANTE!I$2:I$500,MATCH(8,HISTORICO_RELEVANTE!$K$2:$K$500,0)),""))</f>
        <v/>
      </c>
    </row>
    <row r="44" customFormat="false" ht="13.5" hidden="false" customHeight="true" outlineLevel="0" collapsed="false">
      <c r="A44" s="61" t="str">
        <f aca="false">IF(OR($B$4="",$B$4="Selecione a Unidade..."),"",IFERROR(INDEX(HISTORICO_RELEVANTE!A$2:A$500,MATCH(9,HISTORICO_RELEVANTE!$K$2:$K$500,0)),""))</f>
        <v/>
      </c>
      <c r="B44" s="65" t="str">
        <f aca="false">IF(OR($B$4="",$B$4="Selecione a Unidade..."),"",IFERROR(INDEX(HISTORICO_RELEVANTE!B$2:B$500,MATCH(9,HISTORICO_RELEVANTE!$K$2:$K$500,0)),""))</f>
        <v/>
      </c>
      <c r="C44" s="61" t="str">
        <f aca="false">IF(OR($B$4="",$B$4="Selecione a Unidade..."),"",IFERROR(INDEX(HISTORICO_RELEVANTE!C$2:C$500,MATCH(9,HISTORICO_RELEVANTE!$K$2:$K$500,0)),""))</f>
        <v/>
      </c>
      <c r="D44" s="61" t="str">
        <f aca="false">IF(OR($B$4="",$B$4="Selecione a Unidade..."),"",IFERROR(INDEX(HISTORICO_RELEVANTE!D$2:D$500,MATCH(9,HISTORICO_RELEVANTE!$K$2:$K$500,0)),""))</f>
        <v/>
      </c>
      <c r="E44" s="61" t="str">
        <f aca="false">IF(OR($B$4="",$B$4="Selecione a Unidade..."),"",IFERROR(INDEX(HISTORICO_RELEVANTE!E$2:E$500,MATCH(9,HISTORICO_RELEVANTE!$K$2:$K$500,0)),""))</f>
        <v/>
      </c>
      <c r="F44" s="61" t="str">
        <f aca="false">IF(OR($B$4="",$B$4="Selecione a Unidade..."),"",IFERROR(INDEX(HISTORICO_RELEVANTE!F$2:F$500,MATCH(9,HISTORICO_RELEVANTE!$K$2:$K$500,0)),""))</f>
        <v/>
      </c>
      <c r="G44" s="61" t="str">
        <f aca="false">IF(OR($B$4="",$B$4="Selecione a Unidade..."),"",IFERROR(INDEX(HISTORICO_RELEVANTE!G$2:G$500,MATCH(9,HISTORICO_RELEVANTE!$K$2:$K$500,0)),""))</f>
        <v/>
      </c>
      <c r="H44" s="61" t="str">
        <f aca="false">IF(OR($B$4="",$B$4="Selecione a Unidade..."),"",IFERROR(INDEX(HISTORICO_RELEVANTE!H$2:H$500,MATCH(9,HISTORICO_RELEVANTE!$K$2:$K$500,0)),""))</f>
        <v/>
      </c>
      <c r="I44" s="61" t="str">
        <f aca="false">IF(OR($B$4="",$B$4="Selecione a Unidade..."),"",IFERROR(INDEX(HISTORICO_RELEVANTE!I$2:I$500,MATCH(9,HISTORICO_RELEVANTE!$K$2:$K$500,0)),""))</f>
        <v/>
      </c>
    </row>
    <row r="45" customFormat="false" ht="13.5" hidden="false" customHeight="true" outlineLevel="0" collapsed="false">
      <c r="A45" s="61" t="str">
        <f aca="false">IF(OR($B$4="",$B$4="Selecione a Unidade..."),"",IFERROR(INDEX(HISTORICO_RELEVANTE!A$2:A$500,MATCH(10,HISTORICO_RELEVANTE!$K$2:$K$500,0)),""))</f>
        <v/>
      </c>
      <c r="B45" s="65" t="str">
        <f aca="false">IF(OR($B$4="",$B$4="Selecione a Unidade..."),"",IFERROR(INDEX(HISTORICO_RELEVANTE!B$2:B$500,MATCH(10,HISTORICO_RELEVANTE!$K$2:$K$500,0)),""))</f>
        <v/>
      </c>
      <c r="C45" s="61" t="str">
        <f aca="false">IF(OR($B$4="",$B$4="Selecione a Unidade..."),"",IFERROR(INDEX(HISTORICO_RELEVANTE!C$2:C$500,MATCH(10,HISTORICO_RELEVANTE!$K$2:$K$500,0)),""))</f>
        <v/>
      </c>
      <c r="D45" s="61" t="str">
        <f aca="false">IF(OR($B$4="",$B$4="Selecione a Unidade..."),"",IFERROR(INDEX(HISTORICO_RELEVANTE!D$2:D$500,MATCH(10,HISTORICO_RELEVANTE!$K$2:$K$500,0)),""))</f>
        <v/>
      </c>
      <c r="E45" s="61" t="str">
        <f aca="false">IF(OR($B$4="",$B$4="Selecione a Unidade..."),"",IFERROR(INDEX(HISTORICO_RELEVANTE!E$2:E$500,MATCH(10,HISTORICO_RELEVANTE!$K$2:$K$500,0)),""))</f>
        <v/>
      </c>
      <c r="F45" s="61" t="str">
        <f aca="false">IF(OR($B$4="",$B$4="Selecione a Unidade..."),"",IFERROR(INDEX(HISTORICO_RELEVANTE!F$2:F$500,MATCH(10,HISTORICO_RELEVANTE!$K$2:$K$500,0)),""))</f>
        <v/>
      </c>
      <c r="G45" s="61" t="str">
        <f aca="false">IF(OR($B$4="",$B$4="Selecione a Unidade..."),"",IFERROR(INDEX(HISTORICO_RELEVANTE!G$2:G$500,MATCH(10,HISTORICO_RELEVANTE!$K$2:$K$500,0)),""))</f>
        <v/>
      </c>
      <c r="H45" s="61" t="str">
        <f aca="false">IF(OR($B$4="",$B$4="Selecione a Unidade..."),"",IFERROR(INDEX(HISTORICO_RELEVANTE!H$2:H$500,MATCH(10,HISTORICO_RELEVANTE!$K$2:$K$500,0)),""))</f>
        <v/>
      </c>
      <c r="I45" s="61" t="str">
        <f aca="false">IF(OR($B$4="",$B$4="Selecione a Unidade..."),"",IFERROR(INDEX(HISTORICO_RELEVANTE!I$2:I$500,MATCH(10,HISTORICO_RELEVANTE!$K$2:$K$500,0)),""))</f>
        <v/>
      </c>
    </row>
    <row r="46" customFormat="false" ht="13.5" hidden="false" customHeight="true" outlineLevel="0" collapsed="false">
      <c r="A46" s="61" t="str">
        <f aca="false">IF(OR($B$4="",$B$4="Selecione a Unidade..."),"",IFERROR(INDEX(HISTORICO_RELEVANTE!A$2:A$500,MATCH(11,HISTORICO_RELEVANTE!$K$2:$K$500,0)),""))</f>
        <v/>
      </c>
      <c r="B46" s="65" t="str">
        <f aca="false">IF(OR($B$4="",$B$4="Selecione a Unidade..."),"",IFERROR(INDEX(HISTORICO_RELEVANTE!B$2:B$500,MATCH(11,HISTORICO_RELEVANTE!$K$2:$K$500,0)),""))</f>
        <v/>
      </c>
      <c r="C46" s="61" t="str">
        <f aca="false">IF(OR($B$4="",$B$4="Selecione a Unidade..."),"",IFERROR(INDEX(HISTORICO_RELEVANTE!C$2:C$500,MATCH(11,HISTORICO_RELEVANTE!$K$2:$K$500,0)),""))</f>
        <v/>
      </c>
      <c r="D46" s="61" t="str">
        <f aca="false">IF(OR($B$4="",$B$4="Selecione a Unidade..."),"",IFERROR(INDEX(HISTORICO_RELEVANTE!D$2:D$500,MATCH(11,HISTORICO_RELEVANTE!$K$2:$K$500,0)),""))</f>
        <v/>
      </c>
      <c r="E46" s="61" t="str">
        <f aca="false">IF(OR($B$4="",$B$4="Selecione a Unidade..."),"",IFERROR(INDEX(HISTORICO_RELEVANTE!E$2:E$500,MATCH(11,HISTORICO_RELEVANTE!$K$2:$K$500,0)),""))</f>
        <v/>
      </c>
      <c r="F46" s="61" t="str">
        <f aca="false">IF(OR($B$4="",$B$4="Selecione a Unidade..."),"",IFERROR(INDEX(HISTORICO_RELEVANTE!F$2:F$500,MATCH(11,HISTORICO_RELEVANTE!$K$2:$K$500,0)),""))</f>
        <v/>
      </c>
      <c r="G46" s="61" t="str">
        <f aca="false">IF(OR($B$4="",$B$4="Selecione a Unidade..."),"",IFERROR(INDEX(HISTORICO_RELEVANTE!G$2:G$500,MATCH(11,HISTORICO_RELEVANTE!$K$2:$K$500,0)),""))</f>
        <v/>
      </c>
      <c r="H46" s="61" t="str">
        <f aca="false">IF(OR($B$4="",$B$4="Selecione a Unidade..."),"",IFERROR(INDEX(HISTORICO_RELEVANTE!H$2:H$500,MATCH(11,HISTORICO_RELEVANTE!$K$2:$K$500,0)),""))</f>
        <v/>
      </c>
      <c r="I46" s="61" t="str">
        <f aca="false">IF(OR($B$4="",$B$4="Selecione a Unidade..."),"",IFERROR(INDEX(HISTORICO_RELEVANTE!I$2:I$500,MATCH(11,HISTORICO_RELEVANTE!$K$2:$K$500,0)),""))</f>
        <v/>
      </c>
    </row>
    <row r="47" customFormat="false" ht="13.5" hidden="false" customHeight="true" outlineLevel="0" collapsed="false">
      <c r="A47" s="61" t="str">
        <f aca="false">IF(OR($B$4="",$B$4="Selecione a Unidade..."),"",IFERROR(INDEX(HISTORICO_RELEVANTE!A$2:A$500,MATCH(12,HISTORICO_RELEVANTE!$K$2:$K$500,0)),""))</f>
        <v/>
      </c>
      <c r="B47" s="65" t="str">
        <f aca="false">IF(OR($B$4="",$B$4="Selecione a Unidade..."),"",IFERROR(INDEX(HISTORICO_RELEVANTE!B$2:B$500,MATCH(12,HISTORICO_RELEVANTE!$K$2:$K$500,0)),""))</f>
        <v/>
      </c>
      <c r="C47" s="61" t="str">
        <f aca="false">IF(OR($B$4="",$B$4="Selecione a Unidade..."),"",IFERROR(INDEX(HISTORICO_RELEVANTE!C$2:C$500,MATCH(12,HISTORICO_RELEVANTE!$K$2:$K$500,0)),""))</f>
        <v/>
      </c>
      <c r="D47" s="61" t="str">
        <f aca="false">IF(OR($B$4="",$B$4="Selecione a Unidade..."),"",IFERROR(INDEX(HISTORICO_RELEVANTE!D$2:D$500,MATCH(12,HISTORICO_RELEVANTE!$K$2:$K$500,0)),""))</f>
        <v/>
      </c>
      <c r="E47" s="61" t="str">
        <f aca="false">IF(OR($B$4="",$B$4="Selecione a Unidade..."),"",IFERROR(INDEX(HISTORICO_RELEVANTE!E$2:E$500,MATCH(12,HISTORICO_RELEVANTE!$K$2:$K$500,0)),""))</f>
        <v/>
      </c>
      <c r="F47" s="61" t="str">
        <f aca="false">IF(OR($B$4="",$B$4="Selecione a Unidade..."),"",IFERROR(INDEX(HISTORICO_RELEVANTE!F$2:F$500,MATCH(12,HISTORICO_RELEVANTE!$K$2:$K$500,0)),""))</f>
        <v/>
      </c>
      <c r="G47" s="61" t="str">
        <f aca="false">IF(OR($B$4="",$B$4="Selecione a Unidade..."),"",IFERROR(INDEX(HISTORICO_RELEVANTE!G$2:G$500,MATCH(12,HISTORICO_RELEVANTE!$K$2:$K$500,0)),""))</f>
        <v/>
      </c>
      <c r="H47" s="61" t="str">
        <f aca="false">IF(OR($B$4="",$B$4="Selecione a Unidade..."),"",IFERROR(INDEX(HISTORICO_RELEVANTE!H$2:H$500,MATCH(12,HISTORICO_RELEVANTE!$K$2:$K$500,0)),""))</f>
        <v/>
      </c>
      <c r="I47" s="61" t="str">
        <f aca="false">IF(OR($B$4="",$B$4="Selecione a Unidade..."),"",IFERROR(INDEX(HISTORICO_RELEVANTE!I$2:I$500,MATCH(12,HISTORICO_RELEVANTE!$K$2:$K$500,0)),""))</f>
        <v/>
      </c>
    </row>
    <row r="48" customFormat="false" ht="13.5" hidden="false" customHeight="true" outlineLevel="0" collapsed="false">
      <c r="A48" s="61" t="str">
        <f aca="false">IF(OR($B$4="",$B$4="Selecione a Unidade..."),"",IFERROR(INDEX(HISTORICO_RELEVANTE!A$2:A$500,MATCH(13,HISTORICO_RELEVANTE!$K$2:$K$500,0)),""))</f>
        <v/>
      </c>
      <c r="B48" s="65" t="str">
        <f aca="false">IF(OR($B$4="",$B$4="Selecione a Unidade..."),"",IFERROR(INDEX(HISTORICO_RELEVANTE!B$2:B$500,MATCH(13,HISTORICO_RELEVANTE!$K$2:$K$500,0)),""))</f>
        <v/>
      </c>
      <c r="C48" s="61" t="str">
        <f aca="false">IF(OR($B$4="",$B$4="Selecione a Unidade..."),"",IFERROR(INDEX(HISTORICO_RELEVANTE!C$2:C$500,MATCH(13,HISTORICO_RELEVANTE!$K$2:$K$500,0)),""))</f>
        <v/>
      </c>
      <c r="D48" s="61" t="str">
        <f aca="false">IF(OR($B$4="",$B$4="Selecione a Unidade..."),"",IFERROR(INDEX(HISTORICO_RELEVANTE!D$2:D$500,MATCH(13,HISTORICO_RELEVANTE!$K$2:$K$500,0)),""))</f>
        <v/>
      </c>
      <c r="E48" s="61" t="str">
        <f aca="false">IF(OR($B$4="",$B$4="Selecione a Unidade..."),"",IFERROR(INDEX(HISTORICO_RELEVANTE!E$2:E$500,MATCH(13,HISTORICO_RELEVANTE!$K$2:$K$500,0)),""))</f>
        <v/>
      </c>
      <c r="F48" s="61" t="str">
        <f aca="false">IF(OR($B$4="",$B$4="Selecione a Unidade..."),"",IFERROR(INDEX(HISTORICO_RELEVANTE!F$2:F$500,MATCH(13,HISTORICO_RELEVANTE!$K$2:$K$500,0)),""))</f>
        <v/>
      </c>
      <c r="G48" s="61" t="str">
        <f aca="false">IF(OR($B$4="",$B$4="Selecione a Unidade..."),"",IFERROR(INDEX(HISTORICO_RELEVANTE!G$2:G$500,MATCH(13,HISTORICO_RELEVANTE!$K$2:$K$500,0)),""))</f>
        <v/>
      </c>
      <c r="H48" s="61" t="str">
        <f aca="false">IF(OR($B$4="",$B$4="Selecione a Unidade..."),"",IFERROR(INDEX(HISTORICO_RELEVANTE!H$2:H$500,MATCH(13,HISTORICO_RELEVANTE!$K$2:$K$500,0)),""))</f>
        <v/>
      </c>
      <c r="I48" s="61" t="str">
        <f aca="false">IF(OR($B$4="",$B$4="Selecione a Unidade..."),"",IFERROR(INDEX(HISTORICO_RELEVANTE!I$2:I$500,MATCH(13,HISTORICO_RELEVANTE!$K$2:$K$500,0)),""))</f>
        <v/>
      </c>
    </row>
    <row r="49" customFormat="false" ht="13.5" hidden="false" customHeight="true" outlineLevel="0" collapsed="false">
      <c r="A49" s="61" t="str">
        <f aca="false">IF(OR($B$4="",$B$4="Selecione a Unidade..."),"",IFERROR(INDEX(HISTORICO_RELEVANTE!A$2:A$500,MATCH(14,HISTORICO_RELEVANTE!$K$2:$K$500,0)),""))</f>
        <v/>
      </c>
      <c r="B49" s="65" t="str">
        <f aca="false">IF(OR($B$4="",$B$4="Selecione a Unidade..."),"",IFERROR(INDEX(HISTORICO_RELEVANTE!B$2:B$500,MATCH(14,HISTORICO_RELEVANTE!$K$2:$K$500,0)),""))</f>
        <v/>
      </c>
      <c r="C49" s="61" t="str">
        <f aca="false">IF(OR($B$4="",$B$4="Selecione a Unidade..."),"",IFERROR(INDEX(HISTORICO_RELEVANTE!C$2:C$500,MATCH(14,HISTORICO_RELEVANTE!$K$2:$K$500,0)),""))</f>
        <v/>
      </c>
      <c r="D49" s="61" t="str">
        <f aca="false">IF(OR($B$4="",$B$4="Selecione a Unidade..."),"",IFERROR(INDEX(HISTORICO_RELEVANTE!D$2:D$500,MATCH(14,HISTORICO_RELEVANTE!$K$2:$K$500,0)),""))</f>
        <v/>
      </c>
      <c r="E49" s="61" t="str">
        <f aca="false">IF(OR($B$4="",$B$4="Selecione a Unidade..."),"",IFERROR(INDEX(HISTORICO_RELEVANTE!E$2:E$500,MATCH(14,HISTORICO_RELEVANTE!$K$2:$K$500,0)),""))</f>
        <v/>
      </c>
      <c r="F49" s="61" t="str">
        <f aca="false">IF(OR($B$4="",$B$4="Selecione a Unidade..."),"",IFERROR(INDEX(HISTORICO_RELEVANTE!F$2:F$500,MATCH(14,HISTORICO_RELEVANTE!$K$2:$K$500,0)),""))</f>
        <v/>
      </c>
      <c r="G49" s="61" t="str">
        <f aca="false">IF(OR($B$4="",$B$4="Selecione a Unidade..."),"",IFERROR(INDEX(HISTORICO_RELEVANTE!G$2:G$500,MATCH(14,HISTORICO_RELEVANTE!$K$2:$K$500,0)),""))</f>
        <v/>
      </c>
      <c r="H49" s="61" t="str">
        <f aca="false">IF(OR($B$4="",$B$4="Selecione a Unidade..."),"",IFERROR(INDEX(HISTORICO_RELEVANTE!H$2:H$500,MATCH(14,HISTORICO_RELEVANTE!$K$2:$K$500,0)),""))</f>
        <v/>
      </c>
      <c r="I49" s="61" t="str">
        <f aca="false">IF(OR($B$4="",$B$4="Selecione a Unidade..."),"",IFERROR(INDEX(HISTORICO_RELEVANTE!I$2:I$500,MATCH(14,HISTORICO_RELEVANTE!$K$2:$K$500,0)),""))</f>
        <v/>
      </c>
    </row>
    <row r="50" customFormat="false" ht="13.5" hidden="false" customHeight="true" outlineLevel="0" collapsed="false">
      <c r="A50" s="61" t="str">
        <f aca="false">IF(OR($B$4="",$B$4="Selecione a Unidade..."),"",IFERROR(INDEX(HISTORICO_RELEVANTE!A$2:A$500,MATCH(15,HISTORICO_RELEVANTE!$K$2:$K$500,0)),""))</f>
        <v/>
      </c>
      <c r="B50" s="65" t="str">
        <f aca="false">IF(OR($B$4="",$B$4="Selecione a Unidade..."),"",IFERROR(INDEX(HISTORICO_RELEVANTE!B$2:B$500,MATCH(15,HISTORICO_RELEVANTE!$K$2:$K$500,0)),""))</f>
        <v/>
      </c>
      <c r="C50" s="61" t="str">
        <f aca="false">IF(OR($B$4="",$B$4="Selecione a Unidade..."),"",IFERROR(INDEX(HISTORICO_RELEVANTE!C$2:C$500,MATCH(15,HISTORICO_RELEVANTE!$K$2:$K$500,0)),""))</f>
        <v/>
      </c>
      <c r="D50" s="61" t="str">
        <f aca="false">IF(OR($B$4="",$B$4="Selecione a Unidade..."),"",IFERROR(INDEX(HISTORICO_RELEVANTE!D$2:D$500,MATCH(15,HISTORICO_RELEVANTE!$K$2:$K$500,0)),""))</f>
        <v/>
      </c>
      <c r="E50" s="61" t="str">
        <f aca="false">IF(OR($B$4="",$B$4="Selecione a Unidade..."),"",IFERROR(INDEX(HISTORICO_RELEVANTE!E$2:E$500,MATCH(15,HISTORICO_RELEVANTE!$K$2:$K$500,0)),""))</f>
        <v/>
      </c>
      <c r="F50" s="61" t="str">
        <f aca="false">IF(OR($B$4="",$B$4="Selecione a Unidade..."),"",IFERROR(INDEX(HISTORICO_RELEVANTE!F$2:F$500,MATCH(15,HISTORICO_RELEVANTE!$K$2:$K$500,0)),""))</f>
        <v/>
      </c>
      <c r="G50" s="61" t="str">
        <f aca="false">IF(OR($B$4="",$B$4="Selecione a Unidade..."),"",IFERROR(INDEX(HISTORICO_RELEVANTE!G$2:G$500,MATCH(15,HISTORICO_RELEVANTE!$K$2:$K$500,0)),""))</f>
        <v/>
      </c>
      <c r="H50" s="61" t="str">
        <f aca="false">IF(OR($B$4="",$B$4="Selecione a Unidade..."),"",IFERROR(INDEX(HISTORICO_RELEVANTE!H$2:H$500,MATCH(15,HISTORICO_RELEVANTE!$K$2:$K$500,0)),""))</f>
        <v/>
      </c>
      <c r="I50" s="61" t="str">
        <f aca="false">IF(OR($B$4="",$B$4="Selecione a Unidade..."),"",IFERROR(INDEX(HISTORICO_RELEVANTE!I$2:I$500,MATCH(15,HISTORICO_RELEVANTE!$K$2:$K$500,0)),""))</f>
        <v/>
      </c>
    </row>
  </sheetData>
  <sheetProtection sheet="true" sort="false" autoFilter="false"/>
  <mergeCells count="8">
    <mergeCell ref="A1:I1"/>
    <mergeCell ref="A2:I2"/>
    <mergeCell ref="B4:D4"/>
    <mergeCell ref="F4:G4"/>
    <mergeCell ref="B5:D5"/>
    <mergeCell ref="F5:G5"/>
    <mergeCell ref="B11:C11"/>
    <mergeCell ref="F11:H11"/>
  </mergeCells>
  <conditionalFormatting sqref="I16:I33">
    <cfRule type="expression" priority="2" aboveAverage="0" equalAverage="0" bottom="0" percent="0" rank="0" text="" dxfId="2">
      <formula>ISNUMBER(SEARCH("CRÍTICO",I16))</formula>
    </cfRule>
    <cfRule type="expression" priority="3" aboveAverage="0" equalAverage="0" bottom="0" percent="0" rank="0" text="" dxfId="3">
      <formula>ISNUMBER(SEARCH("ATENÇÃO",I16))</formula>
    </cfRule>
    <cfRule type="expression" priority="4" aboveAverage="0" equalAverage="0" bottom="0" percent="0" rank="0" text="" dxfId="4">
      <formula>EXACT(I16,"OK")</formula>
    </cfRule>
  </conditionalFormatting>
  <dataValidations count="1">
    <dataValidation allowBlank="true" error="Escolha uma escola válida da lista" errorStyle="stop" errorTitle="Escola Inválida" operator="between" prompt="Selecione a Unidade Escolar para carregar a ficha técnica e os chamados" promptTitle="Selecionar Escola" showDropDown="false" showErrorMessage="false" showInputMessage="false" sqref="B4" type="list">
      <formula1>nomes_escolas</formula1>
      <formula2>0</formula2>
    </dataValidation>
  </dataValidations>
  <printOptions headings="false" gridLines="false" gridLinesSet="true" horizontalCentered="true" verticalCentered="false"/>
  <pageMargins left="0.4" right="0.4" top="0.6" bottom="0.6" header="0.3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&amp;R&amp;"Calibri,Bold"&amp;K1f3864Controle Vivo de Climatização&amp;"Calibri,Regular"&amp;10 &amp;K595959  ·  GOP / 3ª CRE</oddHeader>
    <oddFooter>&amp;C&amp;9 &amp;K595959Página &amp;P de &amp;N  · 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3.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38"/>
    <col collapsed="false" customWidth="true" hidden="false" outlineLevel="0" max="5" min="5" style="1" width="84"/>
    <col collapsed="false" customWidth="true" hidden="false" outlineLevel="0" max="6" min="6" style="1" width="39"/>
    <col collapsed="false" customWidth="true" hidden="false" outlineLevel="0" max="7" min="7" style="1" width="20"/>
    <col collapsed="false" customWidth="true" hidden="false" outlineLevel="0" max="8" min="8" style="1" width="17"/>
    <col collapsed="false" customWidth="true" hidden="false" outlineLevel="0" max="9" min="9" style="1" width="18"/>
    <col collapsed="false" customWidth="true" hidden="false" outlineLevel="0" max="10" min="10" style="1" width="30"/>
    <col collapsed="false" customWidth="true" hidden="false" outlineLevel="0" max="11" min="11" style="1" width="24"/>
    <col collapsed="false" customWidth="true" hidden="false" outlineLevel="0" max="12" min="12" style="1" width="25"/>
    <col collapsed="false" customWidth="true" hidden="false" outlineLevel="0" max="13" min="13" style="1" width="37"/>
    <col collapsed="false" customWidth="true" hidden="false" outlineLevel="0" max="14" min="14" style="1" width="21"/>
    <col collapsed="false" customWidth="true" hidden="false" outlineLevel="0" max="15" min="15" style="1" width="28"/>
    <col collapsed="false" customWidth="true" hidden="false" outlineLevel="0" max="16" min="16" style="1" width="27"/>
    <col collapsed="false" customWidth="true" hidden="false" outlineLevel="0" max="17" min="17" style="1" width="55"/>
    <col collapsed="false" customWidth="true" hidden="false" outlineLevel="0" max="18" min="18" style="1" width="27"/>
    <col collapsed="false" customWidth="true" hidden="false" outlineLevel="0" max="20" min="19" style="1" width="24"/>
    <col collapsed="false" customWidth="true" hidden="false" outlineLevel="0" max="21" min="21" style="1" width="14"/>
    <col collapsed="false" customWidth="true" hidden="false" outlineLevel="0" max="22" min="22" style="1" width="271"/>
    <col collapsed="false" customWidth="true" hidden="false" outlineLevel="0" max="23" min="23" style="1" width="23"/>
    <col collapsed="false" customWidth="true" hidden="false" outlineLevel="0" max="24" min="24" style="1" width="18"/>
    <col collapsed="false" customWidth="true" hidden="false" outlineLevel="0" max="25" min="25" style="1" width="14"/>
    <col collapsed="false" customWidth="true" hidden="false" outlineLevel="0" max="27" min="26" style="1" width="22"/>
    <col collapsed="false" customWidth="true" hidden="true" outlineLevel="0" max="33" min="28" style="1" width="13"/>
  </cols>
  <sheetData>
    <row r="1" customFormat="false" ht="30" hidden="false" customHeight="true" outlineLevel="0" collapsed="false">
      <c r="A1" s="60" t="s">
        <v>116</v>
      </c>
      <c r="B1" s="60" t="s">
        <v>117</v>
      </c>
      <c r="C1" s="60" t="s">
        <v>118</v>
      </c>
      <c r="D1" s="60" t="s">
        <v>119</v>
      </c>
      <c r="E1" s="60" t="s">
        <v>120</v>
      </c>
      <c r="F1" s="60" t="s">
        <v>121</v>
      </c>
      <c r="G1" s="60" t="s">
        <v>122</v>
      </c>
      <c r="H1" s="60" t="s">
        <v>123</v>
      </c>
      <c r="I1" s="60" t="s">
        <v>124</v>
      </c>
      <c r="J1" s="60" t="s">
        <v>125</v>
      </c>
      <c r="K1" s="60" t="s">
        <v>126</v>
      </c>
      <c r="L1" s="60" t="s">
        <v>127</v>
      </c>
      <c r="M1" s="60" t="s">
        <v>128</v>
      </c>
      <c r="N1" s="60" t="s">
        <v>129</v>
      </c>
      <c r="O1" s="60" t="s">
        <v>130</v>
      </c>
      <c r="P1" s="60" t="s">
        <v>131</v>
      </c>
      <c r="Q1" s="60" t="s">
        <v>132</v>
      </c>
      <c r="R1" s="66" t="s">
        <v>133</v>
      </c>
      <c r="S1" s="67" t="s">
        <v>134</v>
      </c>
      <c r="T1" s="60" t="s">
        <v>135</v>
      </c>
      <c r="U1" s="60" t="s">
        <v>136</v>
      </c>
      <c r="V1" s="60" t="s">
        <v>137</v>
      </c>
      <c r="W1" s="60" t="s">
        <v>138</v>
      </c>
      <c r="X1" s="60" t="s">
        <v>139</v>
      </c>
      <c r="Y1" s="60" t="s">
        <v>140</v>
      </c>
      <c r="Z1" s="68" t="s">
        <v>141</v>
      </c>
      <c r="AB1" s="69" t="s">
        <v>142</v>
      </c>
      <c r="AC1" s="69" t="s">
        <v>143</v>
      </c>
      <c r="AD1" s="69" t="s">
        <v>144</v>
      </c>
      <c r="AE1" s="69" t="s">
        <v>145</v>
      </c>
      <c r="AF1" s="69" t="s">
        <v>146</v>
      </c>
      <c r="AG1" s="69" t="s">
        <v>147</v>
      </c>
    </row>
    <row r="2" customFormat="false" ht="21.75" hidden="false" customHeight="true" outlineLevel="0" collapsed="false">
      <c r="A2" s="70"/>
      <c r="B2" s="70" t="s">
        <v>148</v>
      </c>
      <c r="C2" s="71" t="n">
        <f aca="false">IF(D2="","",IFERROR(INDEX(CADASTRO_VIVO_3CRE!$B$2:$B$150,MATCH(D2,CADASTRO_VIVO_3CRE!$E$2:$E$150,0)),""))</f>
        <v>313025</v>
      </c>
      <c r="D2" s="72" t="s">
        <v>149</v>
      </c>
      <c r="E2" s="72" t="s">
        <v>150</v>
      </c>
      <c r="F2" s="72" t="s">
        <v>151</v>
      </c>
      <c r="G2" s="72" t="s">
        <v>152</v>
      </c>
      <c r="H2" s="72"/>
      <c r="I2" s="72"/>
      <c r="J2" s="72"/>
      <c r="K2" s="73" t="n">
        <v>3</v>
      </c>
      <c r="L2" s="73" t="n">
        <v>1</v>
      </c>
      <c r="M2" s="73" t="n">
        <v>0</v>
      </c>
      <c r="N2" s="70" t="s">
        <v>153</v>
      </c>
      <c r="O2" s="72" t="s">
        <v>64</v>
      </c>
      <c r="P2" s="72" t="s">
        <v>154</v>
      </c>
      <c r="Q2" s="72" t="s">
        <v>155</v>
      </c>
      <c r="R2" s="74" t="n">
        <v>46169</v>
      </c>
      <c r="S2" s="75" t="n">
        <f aca="true">IF(R2="","",TODAY()-INT(R2))</f>
        <v>2</v>
      </c>
      <c r="T2" s="70" t="s">
        <v>156</v>
      </c>
      <c r="U2" s="70" t="s">
        <v>157</v>
      </c>
      <c r="V2" s="72" t="s">
        <v>158</v>
      </c>
      <c r="W2" s="74" t="n">
        <v>46105</v>
      </c>
      <c r="X2" s="75" t="n">
        <f aca="true">IF(W2="","",IF(OR(O2="28 - Encerrado",O2="27 - Instalação concluída"),"Concluído",TODAY()-INT(W2)))</f>
        <v>66</v>
      </c>
      <c r="Y2" s="76" t="str">
        <f aca="false">IF(OR(O2="28 - Encerrado",O2="27 - Instalação concluída"),"OK",IF(AND(B2&lt;&gt;"",S2=""),"ATENÇÃO (Sem data de atualização)",IF(S2="","",IF(S2&gt;30,"CRÍTICO (Sem Atualização &gt;30 dias)",IF(S2&gt;15,"ATENÇÃO (Sem Atualização &gt;15 dias)",IF(X2&gt;90,"CRÍTICO (Aberto &gt;90 dias)","OK"))))))</f>
        <v>OK</v>
      </c>
      <c r="Z2" s="77" t="str">
        <f aca="false">IF(B2="","",IF(OR(O2="27 - Instalação concluída",O2="28 - Encerrado"),"OK",IF(NOT(ISNUMBER(X2)),"",IF(X2&gt;365,"MUITO ANTIGO (&gt;1 ano)",IF(X2&gt;180,"ANTIGO (&gt;6 meses)",IF(X2&gt;90,"ATENÇÃO ANTIG. (&gt;3 meses)","OK"))))))</f>
        <v>OK</v>
      </c>
      <c r="AA2" s="78"/>
      <c r="AB2" s="69" t="n">
        <f aca="false">IF(AND(B2&lt;&gt;"",OR(T2="Pendente de Vistoria",T2="Não validada")),MAX($AB$1:$AB$1)+1,"")</f>
        <v>1</v>
      </c>
      <c r="AC2" s="69" t="str">
        <f aca="false">IF(AND(B2&lt;&gt;"",OR(ISNUMBER(SEARCH("CTIN",P2)),U2="Alta",O2="07 - Relatório recebido — unidade apta",O2="11 - Orçamentos em análise técnica",O2="22 - Instalação/substituição autorizada")),MAX($AC$1:$AC$1)+1,"")</f>
        <v/>
      </c>
      <c r="AD2" s="69" t="str">
        <f aca="false">IF(AND(B2&lt;&gt;"",OR(ISNUMBER(SEARCH("CTO",P2)),LEFT(O2,2)="22",LEFT(O2,2)="23",LEFT(O2,2)="24",LEFT(O2,2)="25",LEFT(O2,2)="26",LEFT(O2,2)="27")),MAX($AD$1:$AD$1)+1,"")</f>
        <v/>
      </c>
      <c r="AE2" s="69" t="str">
        <f aca="false">IF(AND(B2&lt;&gt;"",D2=CONSULTA_UNIDADE!$B$4),MAX($AE$1:$AE$1)+1,"")</f>
        <v/>
      </c>
      <c r="AF2" s="69" t="n">
        <f aca="false">IF(AND(B2&lt;&gt;"",O2&lt;&gt;"27 - Instalação concluída",O2&lt;&gt;"28 - Encerrado",ISNUMBER(S2)),S2*1000+(1000-ROW()),"")</f>
        <v>2998</v>
      </c>
      <c r="AG2" s="69" t="n">
        <f aca="false">IF(AF2="","",RANK(AF2,$AF$2:$AF$500))</f>
        <v>14</v>
      </c>
    </row>
    <row r="3" customFormat="false" ht="21.75" hidden="false" customHeight="true" outlineLevel="0" collapsed="false">
      <c r="A3" s="79"/>
      <c r="B3" s="79" t="s">
        <v>159</v>
      </c>
      <c r="C3" s="80" t="n">
        <f aca="false">IF(D3="","",IFERROR(INDEX(CADASTRO_VIVO_3CRE!$B$2:$B$150,MATCH(D3,CADASTRO_VIVO_3CRE!$E$2:$E$150,0)),""))</f>
        <v>313020</v>
      </c>
      <c r="D3" s="81" t="s">
        <v>160</v>
      </c>
      <c r="E3" s="81" t="s">
        <v>161</v>
      </c>
      <c r="F3" s="81" t="s">
        <v>151</v>
      </c>
      <c r="G3" s="81"/>
      <c r="H3" s="81"/>
      <c r="I3" s="81"/>
      <c r="J3" s="81"/>
      <c r="K3" s="82"/>
      <c r="L3" s="82"/>
      <c r="M3" s="82" t="n">
        <v>0</v>
      </c>
      <c r="N3" s="79" t="s">
        <v>153</v>
      </c>
      <c r="O3" s="81" t="s">
        <v>59</v>
      </c>
      <c r="P3" s="81" t="s">
        <v>162</v>
      </c>
      <c r="Q3" s="81" t="s">
        <v>163</v>
      </c>
      <c r="R3" s="83" t="n">
        <v>46164</v>
      </c>
      <c r="S3" s="84" t="n">
        <f aca="true">IF(R3="","",TODAY()-INT(R3))</f>
        <v>7</v>
      </c>
      <c r="T3" s="79" t="s">
        <v>156</v>
      </c>
      <c r="U3" s="79" t="s">
        <v>157</v>
      </c>
      <c r="V3" s="81" t="s">
        <v>164</v>
      </c>
      <c r="W3" s="83" t="n">
        <v>46000</v>
      </c>
      <c r="X3" s="84" t="n">
        <f aca="true">IF(W3="","",IF(OR(O3="28 - Encerrado",O3="27 - Instalação concluída"),"Concluído",TODAY()-INT(W3)))</f>
        <v>171</v>
      </c>
      <c r="Y3" s="85" t="str">
        <f aca="false">IF(OR(O3="28 - Encerrado",O3="27 - Instalação concluída"),"OK",IF(AND(B3&lt;&gt;"",S3=""),"ATENÇÃO (Sem data de atualização)",IF(S3="","",IF(S3&gt;30,"CRÍTICO (Sem Atualização &gt;30 dias)",IF(S3&gt;15,"ATENÇÃO (Sem Atualização &gt;15 dias)",IF(X3&gt;90,"CRÍTICO (Aberto &gt;90 dias)","OK"))))))</f>
        <v>CRÍTICO (Aberto &gt;90 dias)</v>
      </c>
      <c r="Z3" s="77" t="str">
        <f aca="false">IF(B3="","",IF(OR(O3="27 - Instalação concluída",O3="28 - Encerrado"),"OK",IF(NOT(ISNUMBER(X3)),"",IF(X3&gt;365,"MUITO ANTIGO (&gt;1 ano)",IF(X3&gt;180,"ANTIGO (&gt;6 meses)",IF(X3&gt;90,"ATENÇÃO ANTIG. (&gt;3 meses)","OK"))))))</f>
        <v>ATENÇÃO ANTIG. (&gt;3 meses)</v>
      </c>
      <c r="AA3" s="78"/>
      <c r="AB3" s="69" t="n">
        <f aca="false">IF(AND(B3&lt;&gt;"",OR(T3="Pendente de Vistoria",T3="Não validada")),MAX($AB$1:$AB$2)+1,"")</f>
        <v>2</v>
      </c>
      <c r="AC3" s="69" t="str">
        <f aca="false">IF(AND(B3&lt;&gt;"",OR(ISNUMBER(SEARCH("CTIN",P3)),U3="Alta",O3="07 - Relatório recebido — unidade apta",O3="11 - Orçamentos em análise técnica",O3="22 - Instalação/substituição autorizada")),MAX($AC$1:$AC$2)+1,"")</f>
        <v/>
      </c>
      <c r="AD3" s="69" t="str">
        <f aca="false">IF(AND(B3&lt;&gt;"",OR(ISNUMBER(SEARCH("CTO",P3)),LEFT(O3,2)="22",LEFT(O3,2)="23",LEFT(O3,2)="24",LEFT(O3,2)="25",LEFT(O3,2)="26",LEFT(O3,2)="27")),MAX($AD$1:$AD$2)+1,"")</f>
        <v/>
      </c>
      <c r="AE3" s="69" t="str">
        <f aca="false">IF(AND(B3&lt;&gt;"",D3=CONSULTA_UNIDADE!$B$4),MAX($AE$1:$AE$2)+1,"")</f>
        <v/>
      </c>
      <c r="AF3" s="69" t="n">
        <f aca="false">IF(AND(B3&lt;&gt;"",O3&lt;&gt;"27 - Instalação concluída",O3&lt;&gt;"28 - Encerrado",ISNUMBER(S3)),S3*1000+(1000-ROW()),"")</f>
        <v>7997</v>
      </c>
      <c r="AG3" s="69" t="n">
        <f aca="false">IF(AF3="","",RANK(AF3,$AF$2:$AF$500))</f>
        <v>1</v>
      </c>
    </row>
    <row r="4" customFormat="false" ht="21.75" hidden="false" customHeight="true" outlineLevel="0" collapsed="false">
      <c r="A4" s="70"/>
      <c r="B4" s="70" t="s">
        <v>165</v>
      </c>
      <c r="C4" s="71" t="n">
        <f aca="false">IF(D4="","",IFERROR(INDEX(CADASTRO_VIVO_3CRE!$B$2:$B$150,MATCH(D4,CADASTRO_VIVO_3CRE!$E$2:$E$150,0)),""))</f>
        <v>312805</v>
      </c>
      <c r="D4" s="72" t="s">
        <v>166</v>
      </c>
      <c r="E4" s="72" t="s">
        <v>167</v>
      </c>
      <c r="F4" s="72" t="s">
        <v>151</v>
      </c>
      <c r="G4" s="72" t="s">
        <v>168</v>
      </c>
      <c r="H4" s="72"/>
      <c r="I4" s="72"/>
      <c r="J4" s="72"/>
      <c r="K4" s="73"/>
      <c r="L4" s="73" t="n">
        <v>8</v>
      </c>
      <c r="M4" s="73"/>
      <c r="N4" s="70" t="s">
        <v>169</v>
      </c>
      <c r="O4" s="72" t="s">
        <v>79</v>
      </c>
      <c r="P4" s="72" t="s">
        <v>34</v>
      </c>
      <c r="Q4" s="72" t="s">
        <v>170</v>
      </c>
      <c r="R4" s="74" t="n">
        <v>46169</v>
      </c>
      <c r="S4" s="75" t="n">
        <f aca="true">IF(R4="","",TODAY()-INT(R4))</f>
        <v>2</v>
      </c>
      <c r="T4" s="70" t="s">
        <v>171</v>
      </c>
      <c r="U4" s="70" t="s">
        <v>157</v>
      </c>
      <c r="V4" s="72" t="s">
        <v>172</v>
      </c>
      <c r="W4" s="74" t="n">
        <v>45887</v>
      </c>
      <c r="X4" s="75" t="str">
        <f aca="true">IF(W4="","",IF(OR(O4="28 - Encerrado",O4="27 - Instalação concluída"),"Concluído",TODAY()-INT(W4)))</f>
        <v>Concluído</v>
      </c>
      <c r="Y4" s="76" t="str">
        <f aca="false">IF(OR(O4="28 - Encerrado",O4="27 - Instalação concluída"),"OK",IF(AND(B4&lt;&gt;"",S4=""),"ATENÇÃO (Sem data de atualização)",IF(S4="","",IF(S4&gt;30,"CRÍTICO (Sem Atualização &gt;30 dias)",IF(S4&gt;15,"ATENÇÃO (Sem Atualização &gt;15 dias)",IF(X4&gt;90,"CRÍTICO (Aberto &gt;90 dias)","OK"))))))</f>
        <v>OK</v>
      </c>
      <c r="Z4" s="77" t="str">
        <f aca="false">IF(B4="","",IF(OR(O4="27 - Instalação concluída",O4="28 - Encerrado"),"OK",IF(NOT(ISNUMBER(X4)),"",IF(X4&gt;365,"MUITO ANTIGO (&gt;1 ano)",IF(X4&gt;180,"ANTIGO (&gt;6 meses)",IF(X4&gt;90,"ATENÇÃO ANTIG. (&gt;3 meses)","OK"))))))</f>
        <v>OK</v>
      </c>
      <c r="AA4" s="78"/>
      <c r="AB4" s="69" t="str">
        <f aca="false">IF(AND(B4&lt;&gt;"",OR(T4="Pendente de Vistoria",T4="Não validada")),MAX($AB$1:$AB$3)+1,"")</f>
        <v/>
      </c>
      <c r="AC4" s="69" t="str">
        <f aca="false">IF(AND(B4&lt;&gt;"",OR(ISNUMBER(SEARCH("CTIN",P4)),U4="Alta",O4="07 - Relatório recebido — unidade apta",O4="11 - Orçamentos em análise técnica",O4="22 - Instalação/substituição autorizada")),MAX($AC$1:$AC$3)+1,"")</f>
        <v/>
      </c>
      <c r="AD4" s="69" t="n">
        <f aca="false">IF(AND(B4&lt;&gt;"",OR(ISNUMBER(SEARCH("CTO",P4)),LEFT(O4,2)="22",LEFT(O4,2)="23",LEFT(O4,2)="24",LEFT(O4,2)="25",LEFT(O4,2)="26",LEFT(O4,2)="27")),MAX($AD$1:$AD$3)+1,"")</f>
        <v>1</v>
      </c>
      <c r="AE4" s="69" t="str">
        <f aca="false">IF(AND(B4&lt;&gt;"",D4=CONSULTA_UNIDADE!$B$4),MAX($AE$1:$AE$3)+1,"")</f>
        <v/>
      </c>
      <c r="AF4" s="69" t="str">
        <f aca="false">IF(AND(B4&lt;&gt;"",O4&lt;&gt;"27 - Instalação concluída",O4&lt;&gt;"28 - Encerrado",ISNUMBER(S4)),S4*1000+(1000-ROW()),"")</f>
        <v/>
      </c>
      <c r="AG4" s="69" t="str">
        <f aca="false">IF(AF4="","",RANK(AF4,$AF$2:$AF$500))</f>
        <v/>
      </c>
    </row>
    <row r="5" customFormat="false" ht="21.75" hidden="false" customHeight="true" outlineLevel="0" collapsed="false">
      <c r="A5" s="79"/>
      <c r="B5" s="79" t="s">
        <v>173</v>
      </c>
      <c r="C5" s="80" t="n">
        <f aca="false">IF(D5="","",IFERROR(INDEX(CADASTRO_VIVO_3CRE!$B$2:$B$150,MATCH(D5,CADASTRO_VIVO_3CRE!$E$2:$E$150,0)),""))</f>
        <v>312502</v>
      </c>
      <c r="D5" s="81" t="s">
        <v>174</v>
      </c>
      <c r="E5" s="81" t="s">
        <v>175</v>
      </c>
      <c r="F5" s="81" t="s">
        <v>151</v>
      </c>
      <c r="G5" s="81"/>
      <c r="H5" s="81"/>
      <c r="I5" s="81"/>
      <c r="J5" s="81"/>
      <c r="K5" s="82"/>
      <c r="L5" s="82"/>
      <c r="M5" s="82" t="n">
        <v>4</v>
      </c>
      <c r="N5" s="79" t="s">
        <v>153</v>
      </c>
      <c r="O5" s="81" t="s">
        <v>69</v>
      </c>
      <c r="P5" s="81" t="s">
        <v>154</v>
      </c>
      <c r="Q5" s="81" t="s">
        <v>176</v>
      </c>
      <c r="R5" s="83" t="n">
        <v>46167</v>
      </c>
      <c r="S5" s="84" t="n">
        <f aca="true">IF(R5="","",TODAY()-INT(R5))</f>
        <v>4</v>
      </c>
      <c r="T5" s="79" t="s">
        <v>156</v>
      </c>
      <c r="U5" s="79" t="s">
        <v>157</v>
      </c>
      <c r="V5" s="81" t="s">
        <v>177</v>
      </c>
      <c r="W5" s="83" t="n">
        <v>46105</v>
      </c>
      <c r="X5" s="84" t="n">
        <f aca="true">IF(W5="","",IF(OR(O5="28 - Encerrado",O5="27 - Instalação concluída"),"Concluído",TODAY()-INT(W5)))</f>
        <v>66</v>
      </c>
      <c r="Y5" s="85" t="str">
        <f aca="false">IF(OR(O5="28 - Encerrado",O5="27 - Instalação concluída"),"OK",IF(AND(B5&lt;&gt;"",S5=""),"ATENÇÃO (Sem data de atualização)",IF(S5="","",IF(S5&gt;30,"CRÍTICO (Sem Atualização &gt;30 dias)",IF(S5&gt;15,"ATENÇÃO (Sem Atualização &gt;15 dias)",IF(X5&gt;90,"CRÍTICO (Aberto &gt;90 dias)","OK"))))))</f>
        <v>OK</v>
      </c>
      <c r="Z5" s="77" t="str">
        <f aca="false">IF(B5="","",IF(OR(O5="27 - Instalação concluída",O5="28 - Encerrado"),"OK",IF(NOT(ISNUMBER(X5)),"",IF(X5&gt;365,"MUITO ANTIGO (&gt;1 ano)",IF(X5&gt;180,"ANTIGO (&gt;6 meses)",IF(X5&gt;90,"ATENÇÃO ANTIG. (&gt;3 meses)","OK"))))))</f>
        <v>OK</v>
      </c>
      <c r="AA5" s="78"/>
      <c r="AB5" s="69" t="n">
        <f aca="false">IF(AND(B5&lt;&gt;"",OR(T5="Pendente de Vistoria",T5="Não validada")),MAX($AB$1:$AB$4)+1,"")</f>
        <v>3</v>
      </c>
      <c r="AC5" s="69" t="str">
        <f aca="false">IF(AND(B5&lt;&gt;"",OR(ISNUMBER(SEARCH("CTIN",P5)),U5="Alta",O5="07 - Relatório recebido — unidade apta",O5="11 - Orçamentos em análise técnica",O5="22 - Instalação/substituição autorizada")),MAX($AC$1:$AC$4)+1,"")</f>
        <v/>
      </c>
      <c r="AD5" s="69" t="str">
        <f aca="false">IF(AND(B5&lt;&gt;"",OR(ISNUMBER(SEARCH("CTO",P5)),LEFT(O5,2)="22",LEFT(O5,2)="23",LEFT(O5,2)="24",LEFT(O5,2)="25",LEFT(O5,2)="26",LEFT(O5,2)="27")),MAX($AD$1:$AD$4)+1,"")</f>
        <v/>
      </c>
      <c r="AE5" s="69" t="str">
        <f aca="false">IF(AND(B5&lt;&gt;"",D5=CONSULTA_UNIDADE!$B$4),MAX($AE$1:$AE$4)+1,"")</f>
        <v/>
      </c>
      <c r="AF5" s="69" t="n">
        <f aca="false">IF(AND(B5&lt;&gt;"",O5&lt;&gt;"27 - Instalação concluída",O5&lt;&gt;"28 - Encerrado",ISNUMBER(S5)),S5*1000+(1000-ROW()),"")</f>
        <v>4995</v>
      </c>
      <c r="AG5" s="69" t="n">
        <f aca="false">IF(AF5="","",RANK(AF5,$AF$2:$AF$500))</f>
        <v>8</v>
      </c>
    </row>
    <row r="6" customFormat="false" ht="21.75" hidden="false" customHeight="true" outlineLevel="0" collapsed="false">
      <c r="A6" s="70"/>
      <c r="B6" s="70" t="s">
        <v>178</v>
      </c>
      <c r="C6" s="71" t="n">
        <f aca="false">IF(D6="","",IFERROR(INDEX(CADASTRO_VIVO_3CRE!$B$2:$B$150,MATCH(D6,CADASTRO_VIVO_3CRE!$E$2:$E$150,0)),""))</f>
        <v>328601</v>
      </c>
      <c r="D6" s="72" t="s">
        <v>179</v>
      </c>
      <c r="E6" s="72" t="s">
        <v>180</v>
      </c>
      <c r="F6" s="72" t="s">
        <v>151</v>
      </c>
      <c r="G6" s="72" t="s">
        <v>181</v>
      </c>
      <c r="H6" s="72"/>
      <c r="I6" s="72"/>
      <c r="J6" s="72"/>
      <c r="K6" s="73" t="n">
        <v>1</v>
      </c>
      <c r="L6" s="73"/>
      <c r="M6" s="73" t="n">
        <v>0</v>
      </c>
      <c r="N6" s="70" t="s">
        <v>182</v>
      </c>
      <c r="O6" s="72" t="s">
        <v>79</v>
      </c>
      <c r="P6" s="72" t="s">
        <v>34</v>
      </c>
      <c r="Q6" s="72" t="s">
        <v>170</v>
      </c>
      <c r="R6" s="74" t="n">
        <v>46164</v>
      </c>
      <c r="S6" s="75" t="n">
        <f aca="true">IF(R6="","",TODAY()-INT(R6))</f>
        <v>7</v>
      </c>
      <c r="T6" s="70" t="s">
        <v>156</v>
      </c>
      <c r="U6" s="70" t="s">
        <v>157</v>
      </c>
      <c r="V6" s="72" t="s">
        <v>183</v>
      </c>
      <c r="W6" s="74" t="n">
        <v>46105</v>
      </c>
      <c r="X6" s="75" t="str">
        <f aca="true">IF(W6="","",IF(OR(O6="28 - Encerrado",O6="27 - Instalação concluída"),"Concluído",TODAY()-INT(W6)))</f>
        <v>Concluído</v>
      </c>
      <c r="Y6" s="76" t="str">
        <f aca="false">IF(OR(O6="28 - Encerrado",O6="27 - Instalação concluída"),"OK",IF(AND(B6&lt;&gt;"",S6=""),"ATENÇÃO (Sem data de atualização)",IF(S6="","",IF(S6&gt;30,"CRÍTICO (Sem Atualização &gt;30 dias)",IF(S6&gt;15,"ATENÇÃO (Sem Atualização &gt;15 dias)",IF(X6&gt;90,"CRÍTICO (Aberto &gt;90 dias)","OK"))))))</f>
        <v>OK</v>
      </c>
      <c r="Z6" s="77" t="str">
        <f aca="false">IF(B6="","",IF(OR(O6="27 - Instalação concluída",O6="28 - Encerrado"),"OK",IF(NOT(ISNUMBER(X6)),"",IF(X6&gt;365,"MUITO ANTIGO (&gt;1 ano)",IF(X6&gt;180,"ANTIGO (&gt;6 meses)",IF(X6&gt;90,"ATENÇÃO ANTIG. (&gt;3 meses)","OK"))))))</f>
        <v>OK</v>
      </c>
      <c r="AA6" s="78"/>
      <c r="AB6" s="69" t="n">
        <f aca="false">IF(AND(B6&lt;&gt;"",OR(T6="Pendente de Vistoria",T6="Não validada")),MAX($AB$1:$AB$5)+1,"")</f>
        <v>4</v>
      </c>
      <c r="AC6" s="69" t="str">
        <f aca="false">IF(AND(B6&lt;&gt;"",OR(ISNUMBER(SEARCH("CTIN",P6)),U6="Alta",O6="07 - Relatório recebido — unidade apta",O6="11 - Orçamentos em análise técnica",O6="22 - Instalação/substituição autorizada")),MAX($AC$1:$AC$5)+1,"")</f>
        <v/>
      </c>
      <c r="AD6" s="69" t="n">
        <f aca="false">IF(AND(B6&lt;&gt;"",OR(ISNUMBER(SEARCH("CTO",P6)),LEFT(O6,2)="22",LEFT(O6,2)="23",LEFT(O6,2)="24",LEFT(O6,2)="25",LEFT(O6,2)="26",LEFT(O6,2)="27")),MAX($AD$1:$AD$5)+1,"")</f>
        <v>2</v>
      </c>
      <c r="AE6" s="69" t="str">
        <f aca="false">IF(AND(B6&lt;&gt;"",D6=CONSULTA_UNIDADE!$B$4),MAX($AE$1:$AE$5)+1,"")</f>
        <v/>
      </c>
      <c r="AF6" s="69" t="str">
        <f aca="false">IF(AND(B6&lt;&gt;"",O6&lt;&gt;"27 - Instalação concluída",O6&lt;&gt;"28 - Encerrado",ISNUMBER(S6)),S6*1000+(1000-ROW()),"")</f>
        <v/>
      </c>
      <c r="AG6" s="69" t="str">
        <f aca="false">IF(AF6="","",RANK(AF6,$AF$2:$AF$500))</f>
        <v/>
      </c>
    </row>
    <row r="7" customFormat="false" ht="21.75" hidden="false" customHeight="true" outlineLevel="0" collapsed="false">
      <c r="A7" s="79"/>
      <c r="B7" s="79" t="s">
        <v>184</v>
      </c>
      <c r="C7" s="80" t="n">
        <f aca="false">IF(D7="","",IFERROR(INDEX(CADASTRO_VIVO_3CRE!$B$2:$B$150,MATCH(D7,CADASTRO_VIVO_3CRE!$E$2:$E$150,0)),""))</f>
        <v>328801</v>
      </c>
      <c r="D7" s="81" t="s">
        <v>185</v>
      </c>
      <c r="E7" s="81" t="s">
        <v>186</v>
      </c>
      <c r="F7" s="81" t="s">
        <v>151</v>
      </c>
      <c r="G7" s="81"/>
      <c r="H7" s="81"/>
      <c r="I7" s="81"/>
      <c r="J7" s="81"/>
      <c r="K7" s="82"/>
      <c r="L7" s="82"/>
      <c r="M7" s="82" t="n">
        <v>0</v>
      </c>
      <c r="N7" s="79" t="s">
        <v>153</v>
      </c>
      <c r="O7" s="81" t="s">
        <v>64</v>
      </c>
      <c r="P7" s="81" t="s">
        <v>154</v>
      </c>
      <c r="Q7" s="81" t="s">
        <v>155</v>
      </c>
      <c r="R7" s="83" t="n">
        <v>46164</v>
      </c>
      <c r="S7" s="84" t="n">
        <f aca="true">IF(R7="","",TODAY()-INT(R7))</f>
        <v>7</v>
      </c>
      <c r="T7" s="79" t="s">
        <v>156</v>
      </c>
      <c r="U7" s="79" t="s">
        <v>157</v>
      </c>
      <c r="V7" s="81" t="s">
        <v>187</v>
      </c>
      <c r="W7" s="83" t="n">
        <v>46105</v>
      </c>
      <c r="X7" s="84" t="n">
        <f aca="true">IF(W7="","",IF(OR(O7="28 - Encerrado",O7="27 - Instalação concluída"),"Concluído",TODAY()-INT(W7)))</f>
        <v>66</v>
      </c>
      <c r="Y7" s="85" t="str">
        <f aca="false">IF(OR(O7="28 - Encerrado",O7="27 - Instalação concluída"),"OK",IF(AND(B7&lt;&gt;"",S7=""),"ATENÇÃO (Sem data de atualização)",IF(S7="","",IF(S7&gt;30,"CRÍTICO (Sem Atualização &gt;30 dias)",IF(S7&gt;15,"ATENÇÃO (Sem Atualização &gt;15 dias)",IF(X7&gt;90,"CRÍTICO (Aberto &gt;90 dias)","OK"))))))</f>
        <v>OK</v>
      </c>
      <c r="Z7" s="77" t="str">
        <f aca="false">IF(B7="","",IF(OR(O7="27 - Instalação concluída",O7="28 - Encerrado"),"OK",IF(NOT(ISNUMBER(X7)),"",IF(X7&gt;365,"MUITO ANTIGO (&gt;1 ano)",IF(X7&gt;180,"ANTIGO (&gt;6 meses)",IF(X7&gt;90,"ATENÇÃO ANTIG. (&gt;3 meses)","OK"))))))</f>
        <v>OK</v>
      </c>
      <c r="AA7" s="78"/>
      <c r="AB7" s="69" t="n">
        <f aca="false">IF(AND(B7&lt;&gt;"",OR(T7="Pendente de Vistoria",T7="Não validada")),MAX($AB$1:$AB$6)+1,"")</f>
        <v>5</v>
      </c>
      <c r="AC7" s="69" t="str">
        <f aca="false">IF(AND(B7&lt;&gt;"",OR(ISNUMBER(SEARCH("CTIN",P7)),U7="Alta",O7="07 - Relatório recebido — unidade apta",O7="11 - Orçamentos em análise técnica",O7="22 - Instalação/substituição autorizada")),MAX($AC$1:$AC$6)+1,"")</f>
        <v/>
      </c>
      <c r="AD7" s="69" t="str">
        <f aca="false">IF(AND(B7&lt;&gt;"",OR(ISNUMBER(SEARCH("CTO",P7)),LEFT(O7,2)="22",LEFT(O7,2)="23",LEFT(O7,2)="24",LEFT(O7,2)="25",LEFT(O7,2)="26",LEFT(O7,2)="27")),MAX($AD$1:$AD$6)+1,"")</f>
        <v/>
      </c>
      <c r="AE7" s="69" t="str">
        <f aca="false">IF(AND(B7&lt;&gt;"",D7=CONSULTA_UNIDADE!$B$4),MAX($AE$1:$AE$6)+1,"")</f>
        <v/>
      </c>
      <c r="AF7" s="69" t="n">
        <f aca="false">IF(AND(B7&lt;&gt;"",O7&lt;&gt;"27 - Instalação concluída",O7&lt;&gt;"28 - Encerrado",ISNUMBER(S7)),S7*1000+(1000-ROW()),"")</f>
        <v>7993</v>
      </c>
      <c r="AG7" s="69" t="n">
        <f aca="false">IF(AF7="","",RANK(AF7,$AF$2:$AF$500))</f>
        <v>2</v>
      </c>
    </row>
    <row r="8" customFormat="false" ht="21.75" hidden="false" customHeight="true" outlineLevel="0" collapsed="false">
      <c r="A8" s="70"/>
      <c r="B8" s="70" t="s">
        <v>188</v>
      </c>
      <c r="C8" s="71" t="n">
        <f aca="false">IF(D8="","",IFERROR(INDEX(CADASTRO_VIVO_3CRE!$B$2:$B$150,MATCH(D8,CADASTRO_VIVO_3CRE!$E$2:$E$150,0)),""))</f>
        <v>313806</v>
      </c>
      <c r="D8" s="72" t="s">
        <v>189</v>
      </c>
      <c r="E8" s="72" t="s">
        <v>161</v>
      </c>
      <c r="F8" s="72" t="s">
        <v>151</v>
      </c>
      <c r="G8" s="72"/>
      <c r="H8" s="72"/>
      <c r="I8" s="72"/>
      <c r="J8" s="72"/>
      <c r="K8" s="73"/>
      <c r="L8" s="73"/>
      <c r="M8" s="73" t="s">
        <v>190</v>
      </c>
      <c r="N8" s="70" t="s">
        <v>153</v>
      </c>
      <c r="O8" s="72" t="s">
        <v>69</v>
      </c>
      <c r="P8" s="72" t="s">
        <v>154</v>
      </c>
      <c r="Q8" s="72" t="s">
        <v>176</v>
      </c>
      <c r="R8" s="74" t="n">
        <v>46164</v>
      </c>
      <c r="S8" s="75" t="n">
        <f aca="true">IF(R8="","",TODAY()-INT(R8))</f>
        <v>7</v>
      </c>
      <c r="T8" s="70" t="s">
        <v>156</v>
      </c>
      <c r="U8" s="70" t="s">
        <v>157</v>
      </c>
      <c r="V8" s="72" t="s">
        <v>191</v>
      </c>
      <c r="W8" s="74" t="n">
        <v>46080</v>
      </c>
      <c r="X8" s="75" t="n">
        <f aca="true">IF(W8="","",IF(OR(O8="28 - Encerrado",O8="27 - Instalação concluída"),"Concluído",TODAY()-INT(W8)))</f>
        <v>91</v>
      </c>
      <c r="Y8" s="76" t="str">
        <f aca="false">IF(OR(O8="28 - Encerrado",O8="27 - Instalação concluída"),"OK",IF(AND(B8&lt;&gt;"",S8=""),"ATENÇÃO (Sem data de atualização)",IF(S8="","",IF(S8&gt;30,"CRÍTICO (Sem Atualização &gt;30 dias)",IF(S8&gt;15,"ATENÇÃO (Sem Atualização &gt;15 dias)",IF(X8&gt;90,"CRÍTICO (Aberto &gt;90 dias)","OK"))))))</f>
        <v>CRÍTICO (Aberto &gt;90 dias)</v>
      </c>
      <c r="Z8" s="77" t="str">
        <f aca="false">IF(B8="","",IF(OR(O8="27 - Instalação concluída",O8="28 - Encerrado"),"OK",IF(NOT(ISNUMBER(X8)),"",IF(X8&gt;365,"MUITO ANTIGO (&gt;1 ano)",IF(X8&gt;180,"ANTIGO (&gt;6 meses)",IF(X8&gt;90,"ATENÇÃO ANTIG. (&gt;3 meses)","OK"))))))</f>
        <v>ATENÇÃO ANTIG. (&gt;3 meses)</v>
      </c>
      <c r="AA8" s="78"/>
      <c r="AB8" s="69" t="n">
        <f aca="false">IF(AND(B8&lt;&gt;"",OR(T8="Pendente de Vistoria",T8="Não validada")),MAX($AB$1:$AB$7)+1,"")</f>
        <v>6</v>
      </c>
      <c r="AC8" s="69" t="str">
        <f aca="false">IF(AND(B8&lt;&gt;"",OR(ISNUMBER(SEARCH("CTIN",P8)),U8="Alta",O8="07 - Relatório recebido — unidade apta",O8="11 - Orçamentos em análise técnica",O8="22 - Instalação/substituição autorizada")),MAX($AC$1:$AC$7)+1,"")</f>
        <v/>
      </c>
      <c r="AD8" s="69" t="str">
        <f aca="false">IF(AND(B8&lt;&gt;"",OR(ISNUMBER(SEARCH("CTO",P8)),LEFT(O8,2)="22",LEFT(O8,2)="23",LEFT(O8,2)="24",LEFT(O8,2)="25",LEFT(O8,2)="26",LEFT(O8,2)="27")),MAX($AD$1:$AD$7)+1,"")</f>
        <v/>
      </c>
      <c r="AE8" s="69" t="str">
        <f aca="false">IF(AND(B8&lt;&gt;"",D8=CONSULTA_UNIDADE!$B$4),MAX($AE$1:$AE$7)+1,"")</f>
        <v/>
      </c>
      <c r="AF8" s="69" t="n">
        <f aca="false">IF(AND(B8&lt;&gt;"",O8&lt;&gt;"27 - Instalação concluída",O8&lt;&gt;"28 - Encerrado",ISNUMBER(S8)),S8*1000+(1000-ROW()),"")</f>
        <v>7992</v>
      </c>
      <c r="AG8" s="69" t="n">
        <f aca="false">IF(AF8="","",RANK(AF8,$AF$2:$AF$500))</f>
        <v>3</v>
      </c>
    </row>
    <row r="9" customFormat="false" ht="21.75" hidden="false" customHeight="true" outlineLevel="0" collapsed="false">
      <c r="A9" s="79"/>
      <c r="B9" s="79" t="s">
        <v>192</v>
      </c>
      <c r="C9" s="80" t="n">
        <f aca="false">IF(D9="","",IFERROR(INDEX(CADASTRO_VIVO_3CRE!$B$2:$B$150,MATCH(D9,CADASTRO_VIVO_3CRE!$E$2:$E$150,0)),""))</f>
        <v>312014</v>
      </c>
      <c r="D9" s="81" t="s">
        <v>193</v>
      </c>
      <c r="E9" s="81" t="s">
        <v>161</v>
      </c>
      <c r="F9" s="81" t="s">
        <v>151</v>
      </c>
      <c r="G9" s="81" t="s">
        <v>181</v>
      </c>
      <c r="H9" s="81"/>
      <c r="I9" s="81"/>
      <c r="J9" s="81"/>
      <c r="K9" s="82" t="n">
        <v>12</v>
      </c>
      <c r="L9" s="82"/>
      <c r="M9" s="82" t="n">
        <v>3</v>
      </c>
      <c r="N9" s="79" t="s">
        <v>182</v>
      </c>
      <c r="O9" s="81" t="s">
        <v>69</v>
      </c>
      <c r="P9" s="81" t="s">
        <v>154</v>
      </c>
      <c r="Q9" s="81" t="s">
        <v>176</v>
      </c>
      <c r="R9" s="83" t="n">
        <v>46168</v>
      </c>
      <c r="S9" s="84" t="n">
        <f aca="true">IF(R9="","",TODAY()-INT(R9))</f>
        <v>3</v>
      </c>
      <c r="T9" s="79" t="s">
        <v>156</v>
      </c>
      <c r="U9" s="79" t="s">
        <v>157</v>
      </c>
      <c r="V9" s="81" t="s">
        <v>194</v>
      </c>
      <c r="W9" s="83" t="n">
        <v>46057</v>
      </c>
      <c r="X9" s="84" t="n">
        <f aca="true">IF(W9="","",IF(OR(O9="28 - Encerrado",O9="27 - Instalação concluída"),"Concluído",TODAY()-INT(W9)))</f>
        <v>114</v>
      </c>
      <c r="Y9" s="85" t="str">
        <f aca="false">IF(OR(O9="28 - Encerrado",O9="27 - Instalação concluída"),"OK",IF(AND(B9&lt;&gt;"",S9=""),"ATENÇÃO (Sem data de atualização)",IF(S9="","",IF(S9&gt;30,"CRÍTICO (Sem Atualização &gt;30 dias)",IF(S9&gt;15,"ATENÇÃO (Sem Atualização &gt;15 dias)",IF(X9&gt;90,"CRÍTICO (Aberto &gt;90 dias)","OK"))))))</f>
        <v>CRÍTICO (Aberto &gt;90 dias)</v>
      </c>
      <c r="Z9" s="77" t="str">
        <f aca="false">IF(B9="","",IF(OR(O9="27 - Instalação concluída",O9="28 - Encerrado"),"OK",IF(NOT(ISNUMBER(X9)),"",IF(X9&gt;365,"MUITO ANTIGO (&gt;1 ano)",IF(X9&gt;180,"ANTIGO (&gt;6 meses)",IF(X9&gt;90,"ATENÇÃO ANTIG. (&gt;3 meses)","OK"))))))</f>
        <v>ATENÇÃO ANTIG. (&gt;3 meses)</v>
      </c>
      <c r="AA9" s="78"/>
      <c r="AB9" s="69" t="n">
        <f aca="false">IF(AND(B9&lt;&gt;"",OR(T9="Pendente de Vistoria",T9="Não validada")),MAX($AB$1:$AB$8)+1,"")</f>
        <v>7</v>
      </c>
      <c r="AC9" s="69" t="str">
        <f aca="false">IF(AND(B9&lt;&gt;"",OR(ISNUMBER(SEARCH("CTIN",P9)),U9="Alta",O9="07 - Relatório recebido — unidade apta",O9="11 - Orçamentos em análise técnica",O9="22 - Instalação/substituição autorizada")),MAX($AC$1:$AC$8)+1,"")</f>
        <v/>
      </c>
      <c r="AD9" s="69" t="str">
        <f aca="false">IF(AND(B9&lt;&gt;"",OR(ISNUMBER(SEARCH("CTO",P9)),LEFT(O9,2)="22",LEFT(O9,2)="23",LEFT(O9,2)="24",LEFT(O9,2)="25",LEFT(O9,2)="26",LEFT(O9,2)="27")),MAX($AD$1:$AD$8)+1,"")</f>
        <v/>
      </c>
      <c r="AE9" s="69" t="str">
        <f aca="false">IF(AND(B9&lt;&gt;"",D9=CONSULTA_UNIDADE!$B$4),MAX($AE$1:$AE$8)+1,"")</f>
        <v/>
      </c>
      <c r="AF9" s="69" t="n">
        <f aca="false">IF(AND(B9&lt;&gt;"",O9&lt;&gt;"27 - Instalação concluída",O9&lt;&gt;"28 - Encerrado",ISNUMBER(S9)),S9*1000+(1000-ROW()),"")</f>
        <v>3991</v>
      </c>
      <c r="AG9" s="69" t="n">
        <f aca="false">IF(AF9="","",RANK(AF9,$AF$2:$AF$500))</f>
        <v>9</v>
      </c>
    </row>
    <row r="10" customFormat="false" ht="21.75" hidden="false" customHeight="true" outlineLevel="0" collapsed="false">
      <c r="A10" s="70"/>
      <c r="B10" s="70" t="s">
        <v>195</v>
      </c>
      <c r="C10" s="71" t="n">
        <f aca="false">IF(D10="","",IFERROR(INDEX(CADASTRO_VIVO_3CRE!$B$2:$B$150,MATCH(D10,CADASTRO_VIVO_3CRE!$E$2:$E$150,0)),""))</f>
        <v>313002</v>
      </c>
      <c r="D10" s="72" t="s">
        <v>196</v>
      </c>
      <c r="E10" s="72" t="s">
        <v>197</v>
      </c>
      <c r="F10" s="72" t="s">
        <v>151</v>
      </c>
      <c r="G10" s="72"/>
      <c r="H10" s="72"/>
      <c r="I10" s="72"/>
      <c r="J10" s="72"/>
      <c r="K10" s="73"/>
      <c r="L10" s="73"/>
      <c r="M10" s="73" t="n">
        <v>2</v>
      </c>
      <c r="N10" s="70" t="s">
        <v>153</v>
      </c>
      <c r="O10" s="72" t="s">
        <v>59</v>
      </c>
      <c r="P10" s="72" t="s">
        <v>162</v>
      </c>
      <c r="Q10" s="72" t="s">
        <v>163</v>
      </c>
      <c r="R10" s="74" t="n">
        <v>46164</v>
      </c>
      <c r="S10" s="75" t="n">
        <f aca="true">IF(R10="","",TODAY()-INT(R10))</f>
        <v>7</v>
      </c>
      <c r="T10" s="70" t="s">
        <v>156</v>
      </c>
      <c r="U10" s="70" t="s">
        <v>157</v>
      </c>
      <c r="V10" s="72" t="s">
        <v>198</v>
      </c>
      <c r="W10" s="74" t="n">
        <v>46073</v>
      </c>
      <c r="X10" s="75" t="n">
        <f aca="true">IF(W10="","",IF(OR(O10="28 - Encerrado",O10="27 - Instalação concluída"),"Concluído",TODAY()-INT(W10)))</f>
        <v>98</v>
      </c>
      <c r="Y10" s="76" t="str">
        <f aca="false">IF(OR(O10="28 - Encerrado",O10="27 - Instalação concluída"),"OK",IF(AND(B10&lt;&gt;"",S10=""),"ATENÇÃO (Sem data de atualização)",IF(S10="","",IF(S10&gt;30,"CRÍTICO (Sem Atualização &gt;30 dias)",IF(S10&gt;15,"ATENÇÃO (Sem Atualização &gt;15 dias)",IF(X10&gt;90,"CRÍTICO (Aberto &gt;90 dias)","OK"))))))</f>
        <v>CRÍTICO (Aberto &gt;90 dias)</v>
      </c>
      <c r="Z10" s="77" t="str">
        <f aca="false">IF(B10="","",IF(OR(O10="27 - Instalação concluída",O10="28 - Encerrado"),"OK",IF(NOT(ISNUMBER(X10)),"",IF(X10&gt;365,"MUITO ANTIGO (&gt;1 ano)",IF(X10&gt;180,"ANTIGO (&gt;6 meses)",IF(X10&gt;90,"ATENÇÃO ANTIG. (&gt;3 meses)","OK"))))))</f>
        <v>ATENÇÃO ANTIG. (&gt;3 meses)</v>
      </c>
      <c r="AA10" s="78"/>
      <c r="AB10" s="69" t="n">
        <f aca="false">IF(AND(B10&lt;&gt;"",OR(T10="Pendente de Vistoria",T10="Não validada")),MAX($AB$1:$AB$9)+1,"")</f>
        <v>8</v>
      </c>
      <c r="AC10" s="69" t="str">
        <f aca="false">IF(AND(B10&lt;&gt;"",OR(ISNUMBER(SEARCH("CTIN",P10)),U10="Alta",O10="07 - Relatório recebido — unidade apta",O10="11 - Orçamentos em análise técnica",O10="22 - Instalação/substituição autorizada")),MAX($AC$1:$AC$9)+1,"")</f>
        <v/>
      </c>
      <c r="AD10" s="69" t="str">
        <f aca="false">IF(AND(B10&lt;&gt;"",OR(ISNUMBER(SEARCH("CTO",P10)),LEFT(O10,2)="22",LEFT(O10,2)="23",LEFT(O10,2)="24",LEFT(O10,2)="25",LEFT(O10,2)="26",LEFT(O10,2)="27")),MAX($AD$1:$AD$9)+1,"")</f>
        <v/>
      </c>
      <c r="AE10" s="69" t="str">
        <f aca="false">IF(AND(B10&lt;&gt;"",D10=CONSULTA_UNIDADE!$B$4),MAX($AE$1:$AE$9)+1,"")</f>
        <v/>
      </c>
      <c r="AF10" s="69" t="n">
        <f aca="false">IF(AND(B10&lt;&gt;"",O10&lt;&gt;"27 - Instalação concluída",O10&lt;&gt;"28 - Encerrado",ISNUMBER(S10)),S10*1000+(1000-ROW()),"")</f>
        <v>7990</v>
      </c>
      <c r="AG10" s="69" t="n">
        <f aca="false">IF(AF10="","",RANK(AF10,$AF$2:$AF$500))</f>
        <v>4</v>
      </c>
    </row>
    <row r="11" customFormat="false" ht="21.75" hidden="false" customHeight="true" outlineLevel="0" collapsed="false">
      <c r="A11" s="79"/>
      <c r="B11" s="79" t="s">
        <v>199</v>
      </c>
      <c r="C11" s="80" t="n">
        <f aca="false">IF(D11="","",IFERROR(INDEX(CADASTRO_VIVO_3CRE!$B$2:$B$150,MATCH(D11,CADASTRO_VIVO_3CRE!$E$2:$E$150,0)),""))</f>
        <v>313022</v>
      </c>
      <c r="D11" s="81" t="s">
        <v>200</v>
      </c>
      <c r="E11" s="81" t="s">
        <v>201</v>
      </c>
      <c r="F11" s="81" t="s">
        <v>151</v>
      </c>
      <c r="G11" s="81"/>
      <c r="H11" s="81"/>
      <c r="I11" s="81"/>
      <c r="J11" s="81"/>
      <c r="K11" s="82"/>
      <c r="L11" s="82"/>
      <c r="M11" s="82" t="n">
        <v>2</v>
      </c>
      <c r="N11" s="79" t="s">
        <v>153</v>
      </c>
      <c r="O11" s="81" t="s">
        <v>64</v>
      </c>
      <c r="P11" s="81" t="s">
        <v>154</v>
      </c>
      <c r="Q11" s="81" t="s">
        <v>155</v>
      </c>
      <c r="R11" s="83" t="n">
        <v>46164</v>
      </c>
      <c r="S11" s="84" t="n">
        <f aca="true">IF(R11="","",TODAY()-INT(R11))</f>
        <v>7</v>
      </c>
      <c r="T11" s="79" t="s">
        <v>156</v>
      </c>
      <c r="U11" s="79" t="s">
        <v>157</v>
      </c>
      <c r="V11" s="81" t="s">
        <v>202</v>
      </c>
      <c r="W11" s="83" t="n">
        <v>46105</v>
      </c>
      <c r="X11" s="84" t="n">
        <f aca="true">IF(W11="","",IF(OR(O11="28 - Encerrado",O11="27 - Instalação concluída"),"Concluído",TODAY()-INT(W11)))</f>
        <v>66</v>
      </c>
      <c r="Y11" s="85" t="str">
        <f aca="false">IF(OR(O11="28 - Encerrado",O11="27 - Instalação concluída"),"OK",IF(AND(B11&lt;&gt;"",S11=""),"ATENÇÃO (Sem data de atualização)",IF(S11="","",IF(S11&gt;30,"CRÍTICO (Sem Atualização &gt;30 dias)",IF(S11&gt;15,"ATENÇÃO (Sem Atualização &gt;15 dias)",IF(X11&gt;90,"CRÍTICO (Aberto &gt;90 dias)","OK"))))))</f>
        <v>OK</v>
      </c>
      <c r="Z11" s="77" t="str">
        <f aca="false">IF(B11="","",IF(OR(O11="27 - Instalação concluída",O11="28 - Encerrado"),"OK",IF(NOT(ISNUMBER(X11)),"",IF(X11&gt;365,"MUITO ANTIGO (&gt;1 ano)",IF(X11&gt;180,"ANTIGO (&gt;6 meses)",IF(X11&gt;90,"ATENÇÃO ANTIG. (&gt;3 meses)","OK"))))))</f>
        <v>OK</v>
      </c>
      <c r="AA11" s="78"/>
      <c r="AB11" s="69" t="n">
        <f aca="false">IF(AND(B11&lt;&gt;"",OR(T11="Pendente de Vistoria",T11="Não validada")),MAX($AB$1:$AB$10)+1,"")</f>
        <v>9</v>
      </c>
      <c r="AC11" s="69" t="str">
        <f aca="false">IF(AND(B11&lt;&gt;"",OR(ISNUMBER(SEARCH("CTIN",P11)),U11="Alta",O11="07 - Relatório recebido — unidade apta",O11="11 - Orçamentos em análise técnica",O11="22 - Instalação/substituição autorizada")),MAX($AC$1:$AC$10)+1,"")</f>
        <v/>
      </c>
      <c r="AD11" s="69" t="str">
        <f aca="false">IF(AND(B11&lt;&gt;"",OR(ISNUMBER(SEARCH("CTO",P11)),LEFT(O11,2)="22",LEFT(O11,2)="23",LEFT(O11,2)="24",LEFT(O11,2)="25",LEFT(O11,2)="26",LEFT(O11,2)="27")),MAX($AD$1:$AD$10)+1,"")</f>
        <v/>
      </c>
      <c r="AE11" s="69" t="str">
        <f aca="false">IF(AND(B11&lt;&gt;"",D11=CONSULTA_UNIDADE!$B$4),MAX($AE$1:$AE$10)+1,"")</f>
        <v/>
      </c>
      <c r="AF11" s="69" t="n">
        <f aca="false">IF(AND(B11&lt;&gt;"",O11&lt;&gt;"27 - Instalação concluída",O11&lt;&gt;"28 - Encerrado",ISNUMBER(S11)),S11*1000+(1000-ROW()),"")</f>
        <v>7989</v>
      </c>
      <c r="AG11" s="69" t="n">
        <f aca="false">IF(AF11="","",RANK(AF11,$AF$2:$AF$500))</f>
        <v>5</v>
      </c>
    </row>
    <row r="12" customFormat="false" ht="21.75" hidden="false" customHeight="true" outlineLevel="0" collapsed="false">
      <c r="A12" s="70"/>
      <c r="B12" s="70" t="s">
        <v>203</v>
      </c>
      <c r="C12" s="71" t="n">
        <f aca="false">IF(D12="","",IFERROR(INDEX(CADASTRO_VIVO_3CRE!$B$2:$B$150,MATCH(D12,CADASTRO_VIVO_3CRE!$E$2:$E$150,0)),""))</f>
        <v>313018</v>
      </c>
      <c r="D12" s="72" t="s">
        <v>204</v>
      </c>
      <c r="E12" s="72" t="s">
        <v>205</v>
      </c>
      <c r="F12" s="72" t="s">
        <v>151</v>
      </c>
      <c r="G12" s="72"/>
      <c r="H12" s="72"/>
      <c r="I12" s="72"/>
      <c r="J12" s="72"/>
      <c r="K12" s="73"/>
      <c r="L12" s="73"/>
      <c r="M12" s="73" t="n">
        <v>1</v>
      </c>
      <c r="N12" s="70" t="s">
        <v>153</v>
      </c>
      <c r="O12" s="72" t="s">
        <v>59</v>
      </c>
      <c r="P12" s="72" t="s">
        <v>162</v>
      </c>
      <c r="Q12" s="72" t="s">
        <v>163</v>
      </c>
      <c r="R12" s="74" t="n">
        <v>46169</v>
      </c>
      <c r="S12" s="75" t="n">
        <f aca="true">IF(R12="","",TODAY()-INT(R12))</f>
        <v>2</v>
      </c>
      <c r="T12" s="70" t="s">
        <v>156</v>
      </c>
      <c r="U12" s="70" t="s">
        <v>157</v>
      </c>
      <c r="V12" s="72" t="s">
        <v>206</v>
      </c>
      <c r="W12" s="74" t="n">
        <v>46105</v>
      </c>
      <c r="X12" s="75" t="n">
        <f aca="true">IF(W12="","",IF(OR(O12="28 - Encerrado",O12="27 - Instalação concluída"),"Concluído",TODAY()-INT(W12)))</f>
        <v>66</v>
      </c>
      <c r="Y12" s="76" t="str">
        <f aca="false">IF(OR(O12="28 - Encerrado",O12="27 - Instalação concluída"),"OK",IF(AND(B12&lt;&gt;"",S12=""),"ATENÇÃO (Sem data de atualização)",IF(S12="","",IF(S12&gt;30,"CRÍTICO (Sem Atualização &gt;30 dias)",IF(S12&gt;15,"ATENÇÃO (Sem Atualização &gt;15 dias)",IF(X12&gt;90,"CRÍTICO (Aberto &gt;90 dias)","OK"))))))</f>
        <v>OK</v>
      </c>
      <c r="Z12" s="77" t="str">
        <f aca="false">IF(B12="","",IF(OR(O12="27 - Instalação concluída",O12="28 - Encerrado"),"OK",IF(NOT(ISNUMBER(X12)),"",IF(X12&gt;365,"MUITO ANTIGO (&gt;1 ano)",IF(X12&gt;180,"ANTIGO (&gt;6 meses)",IF(X12&gt;90,"ATENÇÃO ANTIG. (&gt;3 meses)","OK"))))))</f>
        <v>OK</v>
      </c>
      <c r="AA12" s="78"/>
      <c r="AB12" s="69" t="n">
        <f aca="false">IF(AND(B12&lt;&gt;"",OR(T12="Pendente de Vistoria",T12="Não validada")),MAX($AB$1:$AB$11)+1,"")</f>
        <v>10</v>
      </c>
      <c r="AC12" s="69" t="str">
        <f aca="false">IF(AND(B12&lt;&gt;"",OR(ISNUMBER(SEARCH("CTIN",P12)),U12="Alta",O12="07 - Relatório recebido — unidade apta",O12="11 - Orçamentos em análise técnica",O12="22 - Instalação/substituição autorizada")),MAX($AC$1:$AC$11)+1,"")</f>
        <v/>
      </c>
      <c r="AD12" s="69" t="str">
        <f aca="false">IF(AND(B12&lt;&gt;"",OR(ISNUMBER(SEARCH("CTO",P12)),LEFT(O12,2)="22",LEFT(O12,2)="23",LEFT(O12,2)="24",LEFT(O12,2)="25",LEFT(O12,2)="26",LEFT(O12,2)="27")),MAX($AD$1:$AD$11)+1,"")</f>
        <v/>
      </c>
      <c r="AE12" s="69" t="str">
        <f aca="false">IF(AND(B12&lt;&gt;"",D12=CONSULTA_UNIDADE!$B$4),MAX($AE$1:$AE$11)+1,"")</f>
        <v/>
      </c>
      <c r="AF12" s="69" t="n">
        <f aca="false">IF(AND(B12&lt;&gt;"",O12&lt;&gt;"27 - Instalação concluída",O12&lt;&gt;"28 - Encerrado",ISNUMBER(S12)),S12*1000+(1000-ROW()),"")</f>
        <v>2988</v>
      </c>
      <c r="AG12" s="69" t="n">
        <f aca="false">IF(AF12="","",RANK(AF12,$AF$2:$AF$500))</f>
        <v>15</v>
      </c>
    </row>
    <row r="13" customFormat="false" ht="21.75" hidden="false" customHeight="true" outlineLevel="0" collapsed="false">
      <c r="A13" s="79"/>
      <c r="B13" s="79" t="s">
        <v>207</v>
      </c>
      <c r="C13" s="80" t="n">
        <f aca="false">IF(D13="","",IFERROR(INDEX(CADASTRO_VIVO_3CRE!$B$2:$B$150,MATCH(D13,CADASTRO_VIVO_3CRE!$E$2:$E$150,0)),""))</f>
        <v>312021</v>
      </c>
      <c r="D13" s="81" t="s">
        <v>208</v>
      </c>
      <c r="E13" s="81" t="s">
        <v>209</v>
      </c>
      <c r="F13" s="81" t="s">
        <v>151</v>
      </c>
      <c r="G13" s="81"/>
      <c r="H13" s="81"/>
      <c r="I13" s="81"/>
      <c r="J13" s="81"/>
      <c r="K13" s="82"/>
      <c r="L13" s="82"/>
      <c r="M13" s="82" t="n">
        <v>1</v>
      </c>
      <c r="N13" s="79" t="s">
        <v>153</v>
      </c>
      <c r="O13" s="81" t="s">
        <v>69</v>
      </c>
      <c r="P13" s="81" t="s">
        <v>154</v>
      </c>
      <c r="Q13" s="81" t="s">
        <v>176</v>
      </c>
      <c r="R13" s="83" t="n">
        <v>46168</v>
      </c>
      <c r="S13" s="84" t="n">
        <f aca="true">IF(R13="","",TODAY()-INT(R13))</f>
        <v>3</v>
      </c>
      <c r="T13" s="79" t="s">
        <v>156</v>
      </c>
      <c r="U13" s="79" t="s">
        <v>157</v>
      </c>
      <c r="V13" s="81" t="s">
        <v>210</v>
      </c>
      <c r="W13" s="83" t="n">
        <v>46105</v>
      </c>
      <c r="X13" s="84" t="n">
        <f aca="true">IF(W13="","",IF(OR(O13="28 - Encerrado",O13="27 - Instalação concluída"),"Concluído",TODAY()-INT(W13)))</f>
        <v>66</v>
      </c>
      <c r="Y13" s="85" t="str">
        <f aca="false">IF(OR(O13="28 - Encerrado",O13="27 - Instalação concluída"),"OK",IF(AND(B13&lt;&gt;"",S13=""),"ATENÇÃO (Sem data de atualização)",IF(S13="","",IF(S13&gt;30,"CRÍTICO (Sem Atualização &gt;30 dias)",IF(S13&gt;15,"ATENÇÃO (Sem Atualização &gt;15 dias)",IF(X13&gt;90,"CRÍTICO (Aberto &gt;90 dias)","OK"))))))</f>
        <v>OK</v>
      </c>
      <c r="Z13" s="77" t="str">
        <f aca="false">IF(B13="","",IF(OR(O13="27 - Instalação concluída",O13="28 - Encerrado"),"OK",IF(NOT(ISNUMBER(X13)),"",IF(X13&gt;365,"MUITO ANTIGO (&gt;1 ano)",IF(X13&gt;180,"ANTIGO (&gt;6 meses)",IF(X13&gt;90,"ATENÇÃO ANTIG. (&gt;3 meses)","OK"))))))</f>
        <v>OK</v>
      </c>
      <c r="AA13" s="78"/>
      <c r="AB13" s="69" t="n">
        <f aca="false">IF(AND(B13&lt;&gt;"",OR(T13="Pendente de Vistoria",T13="Não validada")),MAX($AB$1:$AB$12)+1,"")</f>
        <v>11</v>
      </c>
      <c r="AC13" s="69" t="str">
        <f aca="false">IF(AND(B13&lt;&gt;"",OR(ISNUMBER(SEARCH("CTIN",P13)),U13="Alta",O13="07 - Relatório recebido — unidade apta",O13="11 - Orçamentos em análise técnica",O13="22 - Instalação/substituição autorizada")),MAX($AC$1:$AC$12)+1,"")</f>
        <v/>
      </c>
      <c r="AD13" s="69" t="str">
        <f aca="false">IF(AND(B13&lt;&gt;"",OR(ISNUMBER(SEARCH("CTO",P13)),LEFT(O13,2)="22",LEFT(O13,2)="23",LEFT(O13,2)="24",LEFT(O13,2)="25",LEFT(O13,2)="26",LEFT(O13,2)="27")),MAX($AD$1:$AD$12)+1,"")</f>
        <v/>
      </c>
      <c r="AE13" s="69" t="str">
        <f aca="false">IF(AND(B13&lt;&gt;"",D13=CONSULTA_UNIDADE!$B$4),MAX($AE$1:$AE$12)+1,"")</f>
        <v/>
      </c>
      <c r="AF13" s="69" t="n">
        <f aca="false">IF(AND(B13&lt;&gt;"",O13&lt;&gt;"27 - Instalação concluída",O13&lt;&gt;"28 - Encerrado",ISNUMBER(S13)),S13*1000+(1000-ROW()),"")</f>
        <v>3987</v>
      </c>
      <c r="AG13" s="69" t="n">
        <f aca="false">IF(AF13="","",RANK(AF13,$AF$2:$AF$500))</f>
        <v>10</v>
      </c>
    </row>
    <row r="14" customFormat="false" ht="21.75" hidden="false" customHeight="true" outlineLevel="0" collapsed="false">
      <c r="A14" s="70"/>
      <c r="B14" s="70" t="s">
        <v>211</v>
      </c>
      <c r="C14" s="71" t="n">
        <f aca="false">IF(D14="","",IFERROR(INDEX(CADASTRO_VIVO_3CRE!$B$2:$B$150,MATCH(D14,CADASTRO_VIVO_3CRE!$E$2:$E$150,0)),""))</f>
        <v>313040</v>
      </c>
      <c r="D14" s="72" t="s">
        <v>212</v>
      </c>
      <c r="E14" s="72" t="s">
        <v>213</v>
      </c>
      <c r="F14" s="72" t="s">
        <v>151</v>
      </c>
      <c r="G14" s="72" t="s">
        <v>168</v>
      </c>
      <c r="H14" s="72"/>
      <c r="I14" s="72"/>
      <c r="J14" s="72"/>
      <c r="K14" s="73"/>
      <c r="L14" s="73" t="n">
        <v>2</v>
      </c>
      <c r="M14" s="73" t="n">
        <v>0</v>
      </c>
      <c r="N14" s="70" t="s">
        <v>169</v>
      </c>
      <c r="O14" s="72" t="s">
        <v>79</v>
      </c>
      <c r="P14" s="72" t="s">
        <v>34</v>
      </c>
      <c r="Q14" s="72" t="s">
        <v>170</v>
      </c>
      <c r="R14" s="74" t="n">
        <v>46164</v>
      </c>
      <c r="S14" s="75" t="n">
        <f aca="true">IF(R14="","",TODAY()-INT(R14))</f>
        <v>7</v>
      </c>
      <c r="T14" s="70" t="s">
        <v>171</v>
      </c>
      <c r="U14" s="70" t="s">
        <v>157</v>
      </c>
      <c r="V14" s="72" t="s">
        <v>214</v>
      </c>
      <c r="W14" s="74" t="n">
        <v>46105</v>
      </c>
      <c r="X14" s="75" t="str">
        <f aca="true">IF(W14="","",IF(OR(O14="28 - Encerrado",O14="27 - Instalação concluída"),"Concluído",TODAY()-INT(W14)))</f>
        <v>Concluído</v>
      </c>
      <c r="Y14" s="76" t="str">
        <f aca="false">IF(OR(O14="28 - Encerrado",O14="27 - Instalação concluída"),"OK",IF(AND(B14&lt;&gt;"",S14=""),"ATENÇÃO (Sem data de atualização)",IF(S14="","",IF(S14&gt;30,"CRÍTICO (Sem Atualização &gt;30 dias)",IF(S14&gt;15,"ATENÇÃO (Sem Atualização &gt;15 dias)",IF(X14&gt;90,"CRÍTICO (Aberto &gt;90 dias)","OK"))))))</f>
        <v>OK</v>
      </c>
      <c r="Z14" s="77" t="str">
        <f aca="false">IF(B14="","",IF(OR(O14="27 - Instalação concluída",O14="28 - Encerrado"),"OK",IF(NOT(ISNUMBER(X14)),"",IF(X14&gt;365,"MUITO ANTIGO (&gt;1 ano)",IF(X14&gt;180,"ANTIGO (&gt;6 meses)",IF(X14&gt;90,"ATENÇÃO ANTIG. (&gt;3 meses)","OK"))))))</f>
        <v>OK</v>
      </c>
      <c r="AA14" s="78"/>
      <c r="AB14" s="69" t="str">
        <f aca="false">IF(AND(B14&lt;&gt;"",OR(T14="Pendente de Vistoria",T14="Não validada")),MAX($AB$1:$AB$13)+1,"")</f>
        <v/>
      </c>
      <c r="AC14" s="69" t="str">
        <f aca="false">IF(AND(B14&lt;&gt;"",OR(ISNUMBER(SEARCH("CTIN",P14)),U14="Alta",O14="07 - Relatório recebido — unidade apta",O14="11 - Orçamentos em análise técnica",O14="22 - Instalação/substituição autorizada")),MAX($AC$1:$AC$13)+1,"")</f>
        <v/>
      </c>
      <c r="AD14" s="69" t="n">
        <f aca="false">IF(AND(B14&lt;&gt;"",OR(ISNUMBER(SEARCH("CTO",P14)),LEFT(O14,2)="22",LEFT(O14,2)="23",LEFT(O14,2)="24",LEFT(O14,2)="25",LEFT(O14,2)="26",LEFT(O14,2)="27")),MAX($AD$1:$AD$13)+1,"")</f>
        <v>3</v>
      </c>
      <c r="AE14" s="69" t="str">
        <f aca="false">IF(AND(B14&lt;&gt;"",D14=CONSULTA_UNIDADE!$B$4),MAX($AE$1:$AE$13)+1,"")</f>
        <v/>
      </c>
      <c r="AF14" s="69" t="str">
        <f aca="false">IF(AND(B14&lt;&gt;"",O14&lt;&gt;"27 - Instalação concluída",O14&lt;&gt;"28 - Encerrado",ISNUMBER(S14)),S14*1000+(1000-ROW()),"")</f>
        <v/>
      </c>
      <c r="AG14" s="69" t="str">
        <f aca="false">IF(AF14="","",RANK(AF14,$AF$2:$AF$500))</f>
        <v/>
      </c>
    </row>
    <row r="15" customFormat="false" ht="21.75" hidden="false" customHeight="true" outlineLevel="0" collapsed="false">
      <c r="A15" s="79"/>
      <c r="B15" s="79" t="s">
        <v>215</v>
      </c>
      <c r="C15" s="80" t="n">
        <f aca="false">IF(D15="","",IFERROR(INDEX(CADASTRO_VIVO_3CRE!$B$2:$B$150,MATCH(D15,CADASTRO_VIVO_3CRE!$E$2:$E$150,0)),""))</f>
        <v>313041</v>
      </c>
      <c r="D15" s="81" t="s">
        <v>216</v>
      </c>
      <c r="E15" s="81" t="s">
        <v>161</v>
      </c>
      <c r="F15" s="81" t="s">
        <v>151</v>
      </c>
      <c r="G15" s="81"/>
      <c r="H15" s="81"/>
      <c r="I15" s="81"/>
      <c r="J15" s="81"/>
      <c r="K15" s="82"/>
      <c r="L15" s="82"/>
      <c r="M15" s="82"/>
      <c r="N15" s="79" t="s">
        <v>153</v>
      </c>
      <c r="O15" s="81" t="s">
        <v>59</v>
      </c>
      <c r="P15" s="81" t="s">
        <v>162</v>
      </c>
      <c r="Q15" s="81" t="s">
        <v>163</v>
      </c>
      <c r="R15" s="83" t="n">
        <v>46169</v>
      </c>
      <c r="S15" s="84" t="n">
        <f aca="true">IF(R15="","",TODAY()-INT(R15))</f>
        <v>2</v>
      </c>
      <c r="T15" s="79" t="s">
        <v>156</v>
      </c>
      <c r="U15" s="79" t="s">
        <v>157</v>
      </c>
      <c r="V15" s="81" t="s">
        <v>217</v>
      </c>
      <c r="W15" s="83" t="n">
        <v>46105</v>
      </c>
      <c r="X15" s="84" t="n">
        <f aca="true">IF(W15="","",IF(OR(O15="28 - Encerrado",O15="27 - Instalação concluída"),"Concluído",TODAY()-INT(W15)))</f>
        <v>66</v>
      </c>
      <c r="Y15" s="85" t="str">
        <f aca="false">IF(OR(O15="28 - Encerrado",O15="27 - Instalação concluída"),"OK",IF(AND(B15&lt;&gt;"",S15=""),"ATENÇÃO (Sem data de atualização)",IF(S15="","",IF(S15&gt;30,"CRÍTICO (Sem Atualização &gt;30 dias)",IF(S15&gt;15,"ATENÇÃO (Sem Atualização &gt;15 dias)",IF(X15&gt;90,"CRÍTICO (Aberto &gt;90 dias)","OK"))))))</f>
        <v>OK</v>
      </c>
      <c r="Z15" s="77" t="str">
        <f aca="false">IF(B15="","",IF(OR(O15="27 - Instalação concluída",O15="28 - Encerrado"),"OK",IF(NOT(ISNUMBER(X15)),"",IF(X15&gt;365,"MUITO ANTIGO (&gt;1 ano)",IF(X15&gt;180,"ANTIGO (&gt;6 meses)",IF(X15&gt;90,"ATENÇÃO ANTIG. (&gt;3 meses)","OK"))))))</f>
        <v>OK</v>
      </c>
      <c r="AA15" s="78"/>
      <c r="AB15" s="69" t="n">
        <f aca="false">IF(AND(B15&lt;&gt;"",OR(T15="Pendente de Vistoria",T15="Não validada")),MAX($AB$1:$AB$14)+1,"")</f>
        <v>12</v>
      </c>
      <c r="AC15" s="69" t="str">
        <f aca="false">IF(AND(B15&lt;&gt;"",OR(ISNUMBER(SEARCH("CTIN",P15)),U15="Alta",O15="07 - Relatório recebido — unidade apta",O15="11 - Orçamentos em análise técnica",O15="22 - Instalação/substituição autorizada")),MAX($AC$1:$AC$14)+1,"")</f>
        <v/>
      </c>
      <c r="AD15" s="69" t="str">
        <f aca="false">IF(AND(B15&lt;&gt;"",OR(ISNUMBER(SEARCH("CTO",P15)),LEFT(O15,2)="22",LEFT(O15,2)="23",LEFT(O15,2)="24",LEFT(O15,2)="25",LEFT(O15,2)="26",LEFT(O15,2)="27")),MAX($AD$1:$AD$14)+1,"")</f>
        <v/>
      </c>
      <c r="AE15" s="69" t="str">
        <f aca="false">IF(AND(B15&lt;&gt;"",D15=CONSULTA_UNIDADE!$B$4),MAX($AE$1:$AE$14)+1,"")</f>
        <v/>
      </c>
      <c r="AF15" s="69" t="n">
        <f aca="false">IF(AND(B15&lt;&gt;"",O15&lt;&gt;"27 - Instalação concluída",O15&lt;&gt;"28 - Encerrado",ISNUMBER(S15)),S15*1000+(1000-ROW()),"")</f>
        <v>2985</v>
      </c>
      <c r="AG15" s="69" t="n">
        <f aca="false">IF(AF15="","",RANK(AF15,$AF$2:$AF$500))</f>
        <v>16</v>
      </c>
    </row>
    <row r="16" customFormat="false" ht="21.75" hidden="false" customHeight="true" outlineLevel="0" collapsed="false">
      <c r="A16" s="70"/>
      <c r="B16" s="70" t="s">
        <v>218</v>
      </c>
      <c r="C16" s="71" t="n">
        <f aca="false">IF(D16="","",IFERROR(INDEX(CADASTRO_VIVO_3CRE!$B$2:$B$150,MATCH(D16,CADASTRO_VIVO_3CRE!$E$2:$E$150,0)),""))</f>
        <v>312043</v>
      </c>
      <c r="D16" s="72" t="s">
        <v>219</v>
      </c>
      <c r="E16" s="72" t="s">
        <v>220</v>
      </c>
      <c r="F16" s="72" t="s">
        <v>151</v>
      </c>
      <c r="G16" s="72" t="s">
        <v>181</v>
      </c>
      <c r="H16" s="72"/>
      <c r="I16" s="72"/>
      <c r="J16" s="72"/>
      <c r="K16" s="73" t="n">
        <v>12</v>
      </c>
      <c r="L16" s="73"/>
      <c r="M16" s="73" t="n">
        <v>0</v>
      </c>
      <c r="N16" s="70" t="s">
        <v>169</v>
      </c>
      <c r="O16" s="72" t="s">
        <v>79</v>
      </c>
      <c r="P16" s="72" t="s">
        <v>34</v>
      </c>
      <c r="Q16" s="72" t="s">
        <v>170</v>
      </c>
      <c r="R16" s="74" t="n">
        <v>46164</v>
      </c>
      <c r="S16" s="75" t="n">
        <f aca="true">IF(R16="","",TODAY()-INT(R16))</f>
        <v>7</v>
      </c>
      <c r="T16" s="70" t="s">
        <v>171</v>
      </c>
      <c r="U16" s="70" t="s">
        <v>157</v>
      </c>
      <c r="V16" s="72" t="s">
        <v>221</v>
      </c>
      <c r="W16" s="74" t="n">
        <v>46105</v>
      </c>
      <c r="X16" s="75" t="str">
        <f aca="true">IF(W16="","",IF(OR(O16="28 - Encerrado",O16="27 - Instalação concluída"),"Concluído",TODAY()-INT(W16)))</f>
        <v>Concluído</v>
      </c>
      <c r="Y16" s="76" t="str">
        <f aca="false">IF(OR(O16="28 - Encerrado",O16="27 - Instalação concluída"),"OK",IF(AND(B16&lt;&gt;"",S16=""),"ATENÇÃO (Sem data de atualização)",IF(S16="","",IF(S16&gt;30,"CRÍTICO (Sem Atualização &gt;30 dias)",IF(S16&gt;15,"ATENÇÃO (Sem Atualização &gt;15 dias)",IF(X16&gt;90,"CRÍTICO (Aberto &gt;90 dias)","OK"))))))</f>
        <v>OK</v>
      </c>
      <c r="Z16" s="77" t="str">
        <f aca="false">IF(B16="","",IF(OR(O16="27 - Instalação concluída",O16="28 - Encerrado"),"OK",IF(NOT(ISNUMBER(X16)),"",IF(X16&gt;365,"MUITO ANTIGO (&gt;1 ano)",IF(X16&gt;180,"ANTIGO (&gt;6 meses)",IF(X16&gt;90,"ATENÇÃO ANTIG. (&gt;3 meses)","OK"))))))</f>
        <v>OK</v>
      </c>
      <c r="AA16" s="78"/>
      <c r="AB16" s="69" t="str">
        <f aca="false">IF(AND(B16&lt;&gt;"",OR(T16="Pendente de Vistoria",T16="Não validada")),MAX($AB$1:$AB$15)+1,"")</f>
        <v/>
      </c>
      <c r="AC16" s="69" t="str">
        <f aca="false">IF(AND(B16&lt;&gt;"",OR(ISNUMBER(SEARCH("CTIN",P16)),U16="Alta",O16="07 - Relatório recebido — unidade apta",O16="11 - Orçamentos em análise técnica",O16="22 - Instalação/substituição autorizada")),MAX($AC$1:$AC$15)+1,"")</f>
        <v/>
      </c>
      <c r="AD16" s="69" t="n">
        <f aca="false">IF(AND(B16&lt;&gt;"",OR(ISNUMBER(SEARCH("CTO",P16)),LEFT(O16,2)="22",LEFT(O16,2)="23",LEFT(O16,2)="24",LEFT(O16,2)="25",LEFT(O16,2)="26",LEFT(O16,2)="27")),MAX($AD$1:$AD$15)+1,"")</f>
        <v>4</v>
      </c>
      <c r="AE16" s="69" t="str">
        <f aca="false">IF(AND(B16&lt;&gt;"",D16=CONSULTA_UNIDADE!$B$4),MAX($AE$1:$AE$15)+1,"")</f>
        <v/>
      </c>
      <c r="AF16" s="69" t="str">
        <f aca="false">IF(AND(B16&lt;&gt;"",O16&lt;&gt;"27 - Instalação concluída",O16&lt;&gt;"28 - Encerrado",ISNUMBER(S16)),S16*1000+(1000-ROW()),"")</f>
        <v/>
      </c>
      <c r="AG16" s="69" t="str">
        <f aca="false">IF(AF16="","",RANK(AF16,$AF$2:$AF$500))</f>
        <v/>
      </c>
    </row>
    <row r="17" customFormat="false" ht="21.75" hidden="false" customHeight="true" outlineLevel="0" collapsed="false">
      <c r="A17" s="79"/>
      <c r="B17" s="79" t="s">
        <v>222</v>
      </c>
      <c r="C17" s="80" t="n">
        <f aca="false">IF(D17="","",IFERROR(INDEX(CADASTRO_VIVO_3CRE!$B$2:$B$150,MATCH(D17,CADASTRO_VIVO_3CRE!$E$2:$E$150,0)),""))</f>
        <v>312023</v>
      </c>
      <c r="D17" s="81" t="s">
        <v>223</v>
      </c>
      <c r="E17" s="81" t="s">
        <v>224</v>
      </c>
      <c r="F17" s="81" t="s">
        <v>151</v>
      </c>
      <c r="G17" s="81" t="s">
        <v>152</v>
      </c>
      <c r="H17" s="81"/>
      <c r="I17" s="81"/>
      <c r="J17" s="81"/>
      <c r="K17" s="82" t="n">
        <v>2</v>
      </c>
      <c r="L17" s="82" t="n">
        <v>1</v>
      </c>
      <c r="M17" s="82" t="n">
        <v>0</v>
      </c>
      <c r="N17" s="79" t="s">
        <v>169</v>
      </c>
      <c r="O17" s="81" t="s">
        <v>79</v>
      </c>
      <c r="P17" s="81" t="s">
        <v>34</v>
      </c>
      <c r="Q17" s="81" t="s">
        <v>170</v>
      </c>
      <c r="R17" s="83" t="n">
        <v>46164</v>
      </c>
      <c r="S17" s="84" t="n">
        <f aca="true">IF(R17="","",TODAY()-INT(R17))</f>
        <v>7</v>
      </c>
      <c r="T17" s="79" t="s">
        <v>171</v>
      </c>
      <c r="U17" s="79" t="s">
        <v>157</v>
      </c>
      <c r="V17" s="81" t="s">
        <v>225</v>
      </c>
      <c r="W17" s="83" t="n">
        <v>45714</v>
      </c>
      <c r="X17" s="84" t="str">
        <f aca="true">IF(W17="","",IF(OR(O17="28 - Encerrado",O17="27 - Instalação concluída"),"Concluído",TODAY()-INT(W17)))</f>
        <v>Concluído</v>
      </c>
      <c r="Y17" s="85" t="str">
        <f aca="false">IF(OR(O17="28 - Encerrado",O17="27 - Instalação concluída"),"OK",IF(AND(B17&lt;&gt;"",S17=""),"ATENÇÃO (Sem data de atualização)",IF(S17="","",IF(S17&gt;30,"CRÍTICO (Sem Atualização &gt;30 dias)",IF(S17&gt;15,"ATENÇÃO (Sem Atualização &gt;15 dias)",IF(X17&gt;90,"CRÍTICO (Aberto &gt;90 dias)","OK"))))))</f>
        <v>OK</v>
      </c>
      <c r="Z17" s="77" t="str">
        <f aca="false">IF(B17="","",IF(OR(O17="27 - Instalação concluída",O17="28 - Encerrado"),"OK",IF(NOT(ISNUMBER(X17)),"",IF(X17&gt;365,"MUITO ANTIGO (&gt;1 ano)",IF(X17&gt;180,"ANTIGO (&gt;6 meses)",IF(X17&gt;90,"ATENÇÃO ANTIG. (&gt;3 meses)","OK"))))))</f>
        <v>OK</v>
      </c>
      <c r="AA17" s="78"/>
      <c r="AB17" s="69" t="str">
        <f aca="false">IF(AND(B17&lt;&gt;"",OR(T17="Pendente de Vistoria",T17="Não validada")),MAX($AB$1:$AB$16)+1,"")</f>
        <v/>
      </c>
      <c r="AC17" s="69" t="str">
        <f aca="false">IF(AND(B17&lt;&gt;"",OR(ISNUMBER(SEARCH("CTIN",P17)),U17="Alta",O17="07 - Relatório recebido — unidade apta",O17="11 - Orçamentos em análise técnica",O17="22 - Instalação/substituição autorizada")),MAX($AC$1:$AC$16)+1,"")</f>
        <v/>
      </c>
      <c r="AD17" s="69" t="n">
        <f aca="false">IF(AND(B17&lt;&gt;"",OR(ISNUMBER(SEARCH("CTO",P17)),LEFT(O17,2)="22",LEFT(O17,2)="23",LEFT(O17,2)="24",LEFT(O17,2)="25",LEFT(O17,2)="26",LEFT(O17,2)="27")),MAX($AD$1:$AD$16)+1,"")</f>
        <v>5</v>
      </c>
      <c r="AE17" s="69" t="str">
        <f aca="false">IF(AND(B17&lt;&gt;"",D17=CONSULTA_UNIDADE!$B$4),MAX($AE$1:$AE$16)+1,"")</f>
        <v/>
      </c>
      <c r="AF17" s="69" t="str">
        <f aca="false">IF(AND(B17&lt;&gt;"",O17&lt;&gt;"27 - Instalação concluída",O17&lt;&gt;"28 - Encerrado",ISNUMBER(S17)),S17*1000+(1000-ROW()),"")</f>
        <v/>
      </c>
      <c r="AG17" s="69" t="str">
        <f aca="false">IF(AF17="","",RANK(AF17,$AF$2:$AF$500))</f>
        <v/>
      </c>
    </row>
    <row r="18" customFormat="false" ht="21.75" hidden="false" customHeight="true" outlineLevel="0" collapsed="false">
      <c r="A18" s="70"/>
      <c r="B18" s="70" t="s">
        <v>226</v>
      </c>
      <c r="C18" s="71" t="n">
        <f aca="false">IF(D18="","",IFERROR(INDEX(CADASTRO_VIVO_3CRE!$B$2:$B$150,MATCH(D18,CADASTRO_VIVO_3CRE!$E$2:$E$150,0)),""))</f>
        <v>313007</v>
      </c>
      <c r="D18" s="72" t="s">
        <v>227</v>
      </c>
      <c r="E18" s="72" t="s">
        <v>228</v>
      </c>
      <c r="F18" s="72" t="s">
        <v>151</v>
      </c>
      <c r="G18" s="72"/>
      <c r="H18" s="72"/>
      <c r="I18" s="72"/>
      <c r="J18" s="72"/>
      <c r="K18" s="73"/>
      <c r="L18" s="73"/>
      <c r="M18" s="73"/>
      <c r="N18" s="70"/>
      <c r="O18" s="72" t="s">
        <v>37</v>
      </c>
      <c r="P18" s="72" t="s">
        <v>34</v>
      </c>
      <c r="Q18" s="72" t="s">
        <v>229</v>
      </c>
      <c r="R18" s="74"/>
      <c r="S18" s="75" t="str">
        <f aca="true">IF(R18="","",TODAY()-INT(R18))</f>
        <v/>
      </c>
      <c r="T18" s="70" t="s">
        <v>156</v>
      </c>
      <c r="U18" s="70" t="s">
        <v>157</v>
      </c>
      <c r="V18" s="72" t="s">
        <v>230</v>
      </c>
      <c r="W18" s="74" t="n">
        <v>46106</v>
      </c>
      <c r="X18" s="75" t="n">
        <f aca="true">IF(W18="","",IF(OR(O18="28 - Encerrado",O18="27 - Instalação concluída"),"Concluído",TODAY()-INT(W18)))</f>
        <v>65</v>
      </c>
      <c r="Y18" s="76" t="str">
        <f aca="false">IF(OR(O18="28 - Encerrado",O18="27 - Instalação concluída"),"OK",IF(AND(B18&lt;&gt;"",S18=""),"ATENÇÃO (Sem data de atualização)",IF(S18="","",IF(S18&gt;30,"CRÍTICO (Sem Atualização &gt;30 dias)",IF(S18&gt;15,"ATENÇÃO (Sem Atualização &gt;15 dias)",IF(X18&gt;90,"CRÍTICO (Aberto &gt;90 dias)","OK"))))))</f>
        <v>ATENÇÃO (Sem data de atualização)</v>
      </c>
      <c r="Z18" s="77" t="str">
        <f aca="false">IF(B18="","",IF(OR(O18="27 - Instalação concluída",O18="28 - Encerrado"),"OK",IF(NOT(ISNUMBER(X18)),"",IF(X18&gt;365,"MUITO ANTIGO (&gt;1 ano)",IF(X18&gt;180,"ANTIGO (&gt;6 meses)",IF(X18&gt;90,"ATENÇÃO ANTIG. (&gt;3 meses)","OK"))))))</f>
        <v>OK</v>
      </c>
      <c r="AA18" s="78"/>
      <c r="AB18" s="69" t="n">
        <f aca="false">IF(AND(B18&lt;&gt;"",OR(T18="Pendente de Vistoria",T18="Não validada")),MAX($AB$1:$AB$17)+1,"")</f>
        <v>13</v>
      </c>
      <c r="AC18" s="69" t="str">
        <f aca="false">IF(AND(B18&lt;&gt;"",OR(ISNUMBER(SEARCH("CTIN",P18)),U18="Alta",O18="07 - Relatório recebido — unidade apta",O18="11 - Orçamentos em análise técnica",O18="22 - Instalação/substituição autorizada")),MAX($AC$1:$AC$17)+1,"")</f>
        <v/>
      </c>
      <c r="AD18" s="69" t="str">
        <f aca="false">IF(AND(B18&lt;&gt;"",OR(ISNUMBER(SEARCH("CTO",P18)),LEFT(O18,2)="22",LEFT(O18,2)="23",LEFT(O18,2)="24",LEFT(O18,2)="25",LEFT(O18,2)="26",LEFT(O18,2)="27")),MAX($AD$1:$AD$17)+1,"")</f>
        <v/>
      </c>
      <c r="AE18" s="69" t="str">
        <f aca="false">IF(AND(B18&lt;&gt;"",D18=CONSULTA_UNIDADE!$B$4),MAX($AE$1:$AE$17)+1,"")</f>
        <v/>
      </c>
      <c r="AF18" s="69" t="str">
        <f aca="false">IF(AND(B18&lt;&gt;"",O18&lt;&gt;"27 - Instalação concluída",O18&lt;&gt;"28 - Encerrado",ISNUMBER(S18)),S18*1000+(1000-ROW()),"")</f>
        <v/>
      </c>
      <c r="AG18" s="69" t="str">
        <f aca="false">IF(AF18="","",RANK(AF18,$AF$2:$AF$500))</f>
        <v/>
      </c>
    </row>
    <row r="19" customFormat="false" ht="21.75" hidden="false" customHeight="true" outlineLevel="0" collapsed="false">
      <c r="A19" s="79"/>
      <c r="B19" s="79" t="s">
        <v>231</v>
      </c>
      <c r="C19" s="80" t="n">
        <f aca="false">IF(D19="","",IFERROR(INDEX(CADASTRO_VIVO_3CRE!$B$2:$B$150,MATCH(D19,CADASTRO_VIVO_3CRE!$E$2:$E$150,0)),""))</f>
        <v>312012</v>
      </c>
      <c r="D19" s="81" t="s">
        <v>232</v>
      </c>
      <c r="E19" s="81" t="s">
        <v>233</v>
      </c>
      <c r="F19" s="81" t="s">
        <v>151</v>
      </c>
      <c r="G19" s="81" t="s">
        <v>181</v>
      </c>
      <c r="H19" s="81"/>
      <c r="I19" s="81"/>
      <c r="J19" s="81"/>
      <c r="K19" s="82" t="n">
        <v>2</v>
      </c>
      <c r="L19" s="82"/>
      <c r="M19" s="82" t="n">
        <v>0</v>
      </c>
      <c r="N19" s="79" t="s">
        <v>169</v>
      </c>
      <c r="O19" s="81" t="s">
        <v>79</v>
      </c>
      <c r="P19" s="81" t="s">
        <v>34</v>
      </c>
      <c r="Q19" s="81" t="s">
        <v>170</v>
      </c>
      <c r="R19" s="83" t="n">
        <v>46164</v>
      </c>
      <c r="S19" s="84" t="n">
        <f aca="true">IF(R19="","",TODAY()-INT(R19))</f>
        <v>7</v>
      </c>
      <c r="T19" s="79" t="s">
        <v>171</v>
      </c>
      <c r="U19" s="79" t="s">
        <v>157</v>
      </c>
      <c r="V19" s="81" t="s">
        <v>234</v>
      </c>
      <c r="W19" s="83" t="n">
        <v>45882</v>
      </c>
      <c r="X19" s="84" t="str">
        <f aca="true">IF(W19="","",IF(OR(O19="28 - Encerrado",O19="27 - Instalação concluída"),"Concluído",TODAY()-INT(W19)))</f>
        <v>Concluído</v>
      </c>
      <c r="Y19" s="85" t="str">
        <f aca="false">IF(OR(O19="28 - Encerrado",O19="27 - Instalação concluída"),"OK",IF(AND(B19&lt;&gt;"",S19=""),"ATENÇÃO (Sem data de atualização)",IF(S19="","",IF(S19&gt;30,"CRÍTICO (Sem Atualização &gt;30 dias)",IF(S19&gt;15,"ATENÇÃO (Sem Atualização &gt;15 dias)",IF(X19&gt;90,"CRÍTICO (Aberto &gt;90 dias)","OK"))))))</f>
        <v>OK</v>
      </c>
      <c r="Z19" s="77" t="str">
        <f aca="false">IF(B19="","",IF(OR(O19="27 - Instalação concluída",O19="28 - Encerrado"),"OK",IF(NOT(ISNUMBER(X19)),"",IF(X19&gt;365,"MUITO ANTIGO (&gt;1 ano)",IF(X19&gt;180,"ANTIGO (&gt;6 meses)",IF(X19&gt;90,"ATENÇÃO ANTIG. (&gt;3 meses)","OK"))))))</f>
        <v>OK</v>
      </c>
      <c r="AA19" s="78"/>
      <c r="AB19" s="69" t="str">
        <f aca="false">IF(AND(B19&lt;&gt;"",OR(T19="Pendente de Vistoria",T19="Não validada")),MAX($AB$1:$AB$18)+1,"")</f>
        <v/>
      </c>
      <c r="AC19" s="69" t="str">
        <f aca="false">IF(AND(B19&lt;&gt;"",OR(ISNUMBER(SEARCH("CTIN",P19)),U19="Alta",O19="07 - Relatório recebido — unidade apta",O19="11 - Orçamentos em análise técnica",O19="22 - Instalação/substituição autorizada")),MAX($AC$1:$AC$18)+1,"")</f>
        <v/>
      </c>
      <c r="AD19" s="69" t="n">
        <f aca="false">IF(AND(B19&lt;&gt;"",OR(ISNUMBER(SEARCH("CTO",P19)),LEFT(O19,2)="22",LEFT(O19,2)="23",LEFT(O19,2)="24",LEFT(O19,2)="25",LEFT(O19,2)="26",LEFT(O19,2)="27")),MAX($AD$1:$AD$18)+1,"")</f>
        <v>6</v>
      </c>
      <c r="AE19" s="69" t="str">
        <f aca="false">IF(AND(B19&lt;&gt;"",D19=CONSULTA_UNIDADE!$B$4),MAX($AE$1:$AE$18)+1,"")</f>
        <v/>
      </c>
      <c r="AF19" s="69" t="str">
        <f aca="false">IF(AND(B19&lt;&gt;"",O19&lt;&gt;"27 - Instalação concluída",O19&lt;&gt;"28 - Encerrado",ISNUMBER(S19)),S19*1000+(1000-ROW()),"")</f>
        <v/>
      </c>
      <c r="AG19" s="69" t="str">
        <f aca="false">IF(AF19="","",RANK(AF19,$AF$2:$AF$500))</f>
        <v/>
      </c>
    </row>
    <row r="20" customFormat="false" ht="21.75" hidden="false" customHeight="true" outlineLevel="0" collapsed="false">
      <c r="A20" s="70"/>
      <c r="B20" s="70" t="s">
        <v>235</v>
      </c>
      <c r="C20" s="71" t="n">
        <f aca="false">IF(D20="","",IFERROR(INDEX(CADASTRO_VIVO_3CRE!$B$2:$B$150,MATCH(D20,CADASTRO_VIVO_3CRE!$E$2:$E$150,0)),""))</f>
        <v>312035</v>
      </c>
      <c r="D20" s="72" t="s">
        <v>236</v>
      </c>
      <c r="E20" s="72" t="s">
        <v>237</v>
      </c>
      <c r="F20" s="72" t="s">
        <v>151</v>
      </c>
      <c r="G20" s="72" t="s">
        <v>152</v>
      </c>
      <c r="H20" s="72"/>
      <c r="I20" s="72"/>
      <c r="J20" s="72"/>
      <c r="K20" s="73" t="n">
        <v>2</v>
      </c>
      <c r="L20" s="73" t="n">
        <v>2</v>
      </c>
      <c r="M20" s="73" t="s">
        <v>238</v>
      </c>
      <c r="N20" s="70" t="s">
        <v>169</v>
      </c>
      <c r="O20" s="72" t="s">
        <v>55</v>
      </c>
      <c r="P20" s="72" t="s">
        <v>239</v>
      </c>
      <c r="Q20" s="72" t="s">
        <v>240</v>
      </c>
      <c r="R20" s="74" t="n">
        <v>46168</v>
      </c>
      <c r="S20" s="75" t="n">
        <f aca="true">IF(R20="","",TODAY()-INT(R20))</f>
        <v>3</v>
      </c>
      <c r="T20" s="70" t="s">
        <v>171</v>
      </c>
      <c r="U20" s="70" t="s">
        <v>157</v>
      </c>
      <c r="V20" s="72" t="s">
        <v>241</v>
      </c>
      <c r="W20" s="74" t="n">
        <v>46164</v>
      </c>
      <c r="X20" s="75" t="n">
        <f aca="true">IF(W20="","",IF(OR(O20="28 - Encerrado",O20="27 - Instalação concluída"),"Concluído",TODAY()-INT(W20)))</f>
        <v>7</v>
      </c>
      <c r="Y20" s="76" t="str">
        <f aca="false">IF(OR(O20="28 - Encerrado",O20="27 - Instalação concluída"),"OK",IF(AND(B20&lt;&gt;"",S20=""),"ATENÇÃO (Sem data de atualização)",IF(S20="","",IF(S20&gt;30,"CRÍTICO (Sem Atualização &gt;30 dias)",IF(S20&gt;15,"ATENÇÃO (Sem Atualização &gt;15 dias)",IF(X20&gt;90,"CRÍTICO (Aberto &gt;90 dias)","OK"))))))</f>
        <v>OK</v>
      </c>
      <c r="Z20" s="77" t="str">
        <f aca="false">IF(B20="","",IF(OR(O20="27 - Instalação concluída",O20="28 - Encerrado"),"OK",IF(NOT(ISNUMBER(X20)),"",IF(X20&gt;365,"MUITO ANTIGO (&gt;1 ano)",IF(X20&gt;180,"ANTIGO (&gt;6 meses)",IF(X20&gt;90,"ATENÇÃO ANTIG. (&gt;3 meses)","OK"))))))</f>
        <v>OK</v>
      </c>
      <c r="AA20" s="78"/>
      <c r="AB20" s="69" t="str">
        <f aca="false">IF(AND(B20&lt;&gt;"",OR(T20="Pendente de Vistoria",T20="Não validada")),MAX($AB$1:$AB$19)+1,"")</f>
        <v/>
      </c>
      <c r="AC20" s="69" t="n">
        <f aca="false">IF(AND(B20&lt;&gt;"",OR(ISNUMBER(SEARCH("CTIN",P20)),U20="Alta",O20="07 - Relatório recebido — unidade apta",O20="11 - Orçamentos em análise técnica",O20="22 - Instalação/substituição autorizada")),MAX($AC$1:$AC$19)+1,"")</f>
        <v>1</v>
      </c>
      <c r="AD20" s="69" t="str">
        <f aca="false">IF(AND(B20&lt;&gt;"",OR(ISNUMBER(SEARCH("CTO",P20)),LEFT(O20,2)="22",LEFT(O20,2)="23",LEFT(O20,2)="24",LEFT(O20,2)="25",LEFT(O20,2)="26",LEFT(O20,2)="27")),MAX($AD$1:$AD$19)+1,"")</f>
        <v/>
      </c>
      <c r="AE20" s="69" t="str">
        <f aca="false">IF(AND(B20&lt;&gt;"",D20=CONSULTA_UNIDADE!$B$4),MAX($AE$1:$AE$19)+1,"")</f>
        <v/>
      </c>
      <c r="AF20" s="69" t="n">
        <f aca="false">IF(AND(B20&lt;&gt;"",O20&lt;&gt;"27 - Instalação concluída",O20&lt;&gt;"28 - Encerrado",ISNUMBER(S20)),S20*1000+(1000-ROW()),"")</f>
        <v>3980</v>
      </c>
      <c r="AG20" s="69" t="n">
        <f aca="false">IF(AF20="","",RANK(AF20,$AF$2:$AF$500))</f>
        <v>11</v>
      </c>
    </row>
    <row r="21" customFormat="false" ht="21.75" hidden="false" customHeight="true" outlineLevel="0" collapsed="false">
      <c r="A21" s="79"/>
      <c r="B21" s="79" t="s">
        <v>242</v>
      </c>
      <c r="C21" s="80" t="n">
        <f aca="false">IF(D21="","",IFERROR(INDEX(CADASTRO_VIVO_3CRE!$B$2:$B$150,MATCH(D21,CADASTRO_VIVO_3CRE!$E$2:$E$150,0)),""))</f>
        <v>312801</v>
      </c>
      <c r="D21" s="81" t="s">
        <v>243</v>
      </c>
      <c r="E21" s="81" t="s">
        <v>244</v>
      </c>
      <c r="F21" s="81" t="s">
        <v>151</v>
      </c>
      <c r="G21" s="81" t="s">
        <v>181</v>
      </c>
      <c r="H21" s="81"/>
      <c r="I21" s="81"/>
      <c r="J21" s="81"/>
      <c r="K21" s="82" t="n">
        <v>1</v>
      </c>
      <c r="L21" s="82"/>
      <c r="M21" s="82" t="n">
        <v>0</v>
      </c>
      <c r="N21" s="79" t="s">
        <v>169</v>
      </c>
      <c r="O21" s="81" t="s">
        <v>79</v>
      </c>
      <c r="P21" s="81" t="s">
        <v>34</v>
      </c>
      <c r="Q21" s="81" t="s">
        <v>170</v>
      </c>
      <c r="R21" s="83" t="n">
        <v>46169</v>
      </c>
      <c r="S21" s="84" t="n">
        <f aca="true">IF(R21="","",TODAY()-INT(R21))</f>
        <v>2</v>
      </c>
      <c r="T21" s="79" t="s">
        <v>171</v>
      </c>
      <c r="U21" s="79" t="s">
        <v>157</v>
      </c>
      <c r="V21" s="81" t="s">
        <v>245</v>
      </c>
      <c r="W21" s="83" t="n">
        <v>46105</v>
      </c>
      <c r="X21" s="84" t="str">
        <f aca="true">IF(W21="","",IF(OR(O21="28 - Encerrado",O21="27 - Instalação concluída"),"Concluído",TODAY()-INT(W21)))</f>
        <v>Concluído</v>
      </c>
      <c r="Y21" s="85" t="str">
        <f aca="false">IF(OR(O21="28 - Encerrado",O21="27 - Instalação concluída"),"OK",IF(AND(B21&lt;&gt;"",S21=""),"ATENÇÃO (Sem data de atualização)",IF(S21="","",IF(S21&gt;30,"CRÍTICO (Sem Atualização &gt;30 dias)",IF(S21&gt;15,"ATENÇÃO (Sem Atualização &gt;15 dias)",IF(X21&gt;90,"CRÍTICO (Aberto &gt;90 dias)","OK"))))))</f>
        <v>OK</v>
      </c>
      <c r="Z21" s="77" t="str">
        <f aca="false">IF(B21="","",IF(OR(O21="27 - Instalação concluída",O21="28 - Encerrado"),"OK",IF(NOT(ISNUMBER(X21)),"",IF(X21&gt;365,"MUITO ANTIGO (&gt;1 ano)",IF(X21&gt;180,"ANTIGO (&gt;6 meses)",IF(X21&gt;90,"ATENÇÃO ANTIG. (&gt;3 meses)","OK"))))))</f>
        <v>OK</v>
      </c>
      <c r="AA21" s="78"/>
      <c r="AB21" s="69" t="str">
        <f aca="false">IF(AND(B21&lt;&gt;"",OR(T21="Pendente de Vistoria",T21="Não validada")),MAX($AB$1:$AB$20)+1,"")</f>
        <v/>
      </c>
      <c r="AC21" s="69" t="str">
        <f aca="false">IF(AND(B21&lt;&gt;"",OR(ISNUMBER(SEARCH("CTIN",P21)),U21="Alta",O21="07 - Relatório recebido — unidade apta",O21="11 - Orçamentos em análise técnica",O21="22 - Instalação/substituição autorizada")),MAX($AC$1:$AC$20)+1,"")</f>
        <v/>
      </c>
      <c r="AD21" s="69" t="n">
        <f aca="false">IF(AND(B21&lt;&gt;"",OR(ISNUMBER(SEARCH("CTO",P21)),LEFT(O21,2)="22",LEFT(O21,2)="23",LEFT(O21,2)="24",LEFT(O21,2)="25",LEFT(O21,2)="26",LEFT(O21,2)="27")),MAX($AD$1:$AD$20)+1,"")</f>
        <v>7</v>
      </c>
      <c r="AE21" s="69" t="str">
        <f aca="false">IF(AND(B21&lt;&gt;"",D21=CONSULTA_UNIDADE!$B$4),MAX($AE$1:$AE$20)+1,"")</f>
        <v/>
      </c>
      <c r="AF21" s="69" t="str">
        <f aca="false">IF(AND(B21&lt;&gt;"",O21&lt;&gt;"27 - Instalação concluída",O21&lt;&gt;"28 - Encerrado",ISNUMBER(S21)),S21*1000+(1000-ROW()),"")</f>
        <v/>
      </c>
      <c r="AG21" s="69" t="str">
        <f aca="false">IF(AF21="","",RANK(AF21,$AF$2:$AF$500))</f>
        <v/>
      </c>
    </row>
    <row r="22" customFormat="false" ht="21.75" hidden="false" customHeight="true" outlineLevel="0" collapsed="false">
      <c r="A22" s="70"/>
      <c r="B22" s="70" t="s">
        <v>246</v>
      </c>
      <c r="C22" s="71" t="n">
        <f aca="false">IF(D22="","",IFERROR(INDEX(CADASTRO_VIVO_3CRE!$B$2:$B$150,MATCH(D22,CADASTRO_VIVO_3CRE!$E$2:$E$150,0)),""))</f>
        <v>312006</v>
      </c>
      <c r="D22" s="72" t="s">
        <v>247</v>
      </c>
      <c r="E22" s="72" t="s">
        <v>248</v>
      </c>
      <c r="F22" s="72" t="s">
        <v>151</v>
      </c>
      <c r="G22" s="72" t="s">
        <v>168</v>
      </c>
      <c r="H22" s="72"/>
      <c r="I22" s="72"/>
      <c r="J22" s="72"/>
      <c r="K22" s="73"/>
      <c r="L22" s="73" t="n">
        <v>1</v>
      </c>
      <c r="M22" s="73"/>
      <c r="N22" s="70" t="s">
        <v>182</v>
      </c>
      <c r="O22" s="72" t="s">
        <v>79</v>
      </c>
      <c r="P22" s="72" t="s">
        <v>34</v>
      </c>
      <c r="Q22" s="72" t="s">
        <v>170</v>
      </c>
      <c r="R22" s="74" t="n">
        <v>46164</v>
      </c>
      <c r="S22" s="75" t="n">
        <f aca="true">IF(R22="","",TODAY()-INT(R22))</f>
        <v>7</v>
      </c>
      <c r="T22" s="70" t="s">
        <v>156</v>
      </c>
      <c r="U22" s="70" t="s">
        <v>157</v>
      </c>
      <c r="V22" s="72" t="s">
        <v>249</v>
      </c>
      <c r="W22" s="74" t="n">
        <v>46105</v>
      </c>
      <c r="X22" s="75" t="str">
        <f aca="true">IF(W22="","",IF(OR(O22="28 - Encerrado",O22="27 - Instalação concluída"),"Concluído",TODAY()-INT(W22)))</f>
        <v>Concluído</v>
      </c>
      <c r="Y22" s="76" t="str">
        <f aca="false">IF(OR(O22="28 - Encerrado",O22="27 - Instalação concluída"),"OK",IF(AND(B22&lt;&gt;"",S22=""),"ATENÇÃO (Sem data de atualização)",IF(S22="","",IF(S22&gt;30,"CRÍTICO (Sem Atualização &gt;30 dias)",IF(S22&gt;15,"ATENÇÃO (Sem Atualização &gt;15 dias)",IF(X22&gt;90,"CRÍTICO (Aberto &gt;90 dias)","OK"))))))</f>
        <v>OK</v>
      </c>
      <c r="Z22" s="77" t="str">
        <f aca="false">IF(B22="","",IF(OR(O22="27 - Instalação concluída",O22="28 - Encerrado"),"OK",IF(NOT(ISNUMBER(X22)),"",IF(X22&gt;365,"MUITO ANTIGO (&gt;1 ano)",IF(X22&gt;180,"ANTIGO (&gt;6 meses)",IF(X22&gt;90,"ATENÇÃO ANTIG. (&gt;3 meses)","OK"))))))</f>
        <v>OK</v>
      </c>
      <c r="AA22" s="78"/>
      <c r="AB22" s="69" t="n">
        <f aca="false">IF(AND(B22&lt;&gt;"",OR(T22="Pendente de Vistoria",T22="Não validada")),MAX($AB$1:$AB$21)+1,"")</f>
        <v>14</v>
      </c>
      <c r="AC22" s="69" t="str">
        <f aca="false">IF(AND(B22&lt;&gt;"",OR(ISNUMBER(SEARCH("CTIN",P22)),U22="Alta",O22="07 - Relatório recebido — unidade apta",O22="11 - Orçamentos em análise técnica",O22="22 - Instalação/substituição autorizada")),MAX($AC$1:$AC$21)+1,"")</f>
        <v/>
      </c>
      <c r="AD22" s="69" t="n">
        <f aca="false">IF(AND(B22&lt;&gt;"",OR(ISNUMBER(SEARCH("CTO",P22)),LEFT(O22,2)="22",LEFT(O22,2)="23",LEFT(O22,2)="24",LEFT(O22,2)="25",LEFT(O22,2)="26",LEFT(O22,2)="27")),MAX($AD$1:$AD$21)+1,"")</f>
        <v>8</v>
      </c>
      <c r="AE22" s="69" t="str">
        <f aca="false">IF(AND(B22&lt;&gt;"",D22=CONSULTA_UNIDADE!$B$4),MAX($AE$1:$AE$21)+1,"")</f>
        <v/>
      </c>
      <c r="AF22" s="69" t="str">
        <f aca="false">IF(AND(B22&lt;&gt;"",O22&lt;&gt;"27 - Instalação concluída",O22&lt;&gt;"28 - Encerrado",ISNUMBER(S22)),S22*1000+(1000-ROW()),"")</f>
        <v/>
      </c>
      <c r="AG22" s="69" t="str">
        <f aca="false">IF(AF22="","",RANK(AF22,$AF$2:$AF$500))</f>
        <v/>
      </c>
    </row>
    <row r="23" customFormat="false" ht="21.75" hidden="false" customHeight="true" outlineLevel="0" collapsed="false">
      <c r="A23" s="79"/>
      <c r="B23" s="79" t="s">
        <v>250</v>
      </c>
      <c r="C23" s="80" t="n">
        <f aca="false">IF(D23="","",IFERROR(INDEX(CADASTRO_VIVO_3CRE!$B$2:$B$150,MATCH(D23,CADASTRO_VIVO_3CRE!$E$2:$E$150,0)),""))</f>
        <v>328602</v>
      </c>
      <c r="D23" s="81" t="s">
        <v>251</v>
      </c>
      <c r="E23" s="81" t="s">
        <v>252</v>
      </c>
      <c r="F23" s="81" t="s">
        <v>151</v>
      </c>
      <c r="G23" s="81"/>
      <c r="H23" s="81"/>
      <c r="I23" s="81"/>
      <c r="J23" s="81"/>
      <c r="K23" s="82"/>
      <c r="L23" s="82"/>
      <c r="M23" s="82"/>
      <c r="N23" s="79" t="s">
        <v>153</v>
      </c>
      <c r="O23" s="81" t="s">
        <v>59</v>
      </c>
      <c r="P23" s="81" t="s">
        <v>162</v>
      </c>
      <c r="Q23" s="81" t="s">
        <v>163</v>
      </c>
      <c r="R23" s="83" t="n">
        <v>46164</v>
      </c>
      <c r="S23" s="84" t="n">
        <f aca="true">IF(R23="","",TODAY()-INT(R23))</f>
        <v>7</v>
      </c>
      <c r="T23" s="79" t="s">
        <v>156</v>
      </c>
      <c r="U23" s="79" t="s">
        <v>157</v>
      </c>
      <c r="V23" s="81" t="s">
        <v>253</v>
      </c>
      <c r="W23" s="83" t="n">
        <v>45799</v>
      </c>
      <c r="X23" s="84" t="n">
        <f aca="true">IF(W23="","",IF(OR(O23="28 - Encerrado",O23="27 - Instalação concluída"),"Concluído",TODAY()-INT(W23)))</f>
        <v>372</v>
      </c>
      <c r="Y23" s="85" t="str">
        <f aca="false">IF(OR(O23="28 - Encerrado",O23="27 - Instalação concluída"),"OK",IF(AND(B23&lt;&gt;"",S23=""),"ATENÇÃO (Sem data de atualização)",IF(S23="","",IF(S23&gt;30,"CRÍTICO (Sem Atualização &gt;30 dias)",IF(S23&gt;15,"ATENÇÃO (Sem Atualização &gt;15 dias)",IF(X23&gt;90,"CRÍTICO (Aberto &gt;90 dias)","OK"))))))</f>
        <v>CRÍTICO (Aberto &gt;90 dias)</v>
      </c>
      <c r="Z23" s="77" t="str">
        <f aca="false">IF(B23="","",IF(OR(O23="27 - Instalação concluída",O23="28 - Encerrado"),"OK",IF(NOT(ISNUMBER(X23)),"",IF(X23&gt;365,"MUITO ANTIGO (&gt;1 ano)",IF(X23&gt;180,"ANTIGO (&gt;6 meses)",IF(X23&gt;90,"ATENÇÃO ANTIG. (&gt;3 meses)","OK"))))))</f>
        <v>MUITO ANTIGO (&gt;1 ano)</v>
      </c>
      <c r="AA23" s="78"/>
      <c r="AB23" s="69" t="n">
        <f aca="false">IF(AND(B23&lt;&gt;"",OR(T23="Pendente de Vistoria",T23="Não validada")),MAX($AB$1:$AB$22)+1,"")</f>
        <v>15</v>
      </c>
      <c r="AC23" s="69" t="str">
        <f aca="false">IF(AND(B23&lt;&gt;"",OR(ISNUMBER(SEARCH("CTIN",P23)),U23="Alta",O23="07 - Relatório recebido — unidade apta",O23="11 - Orçamentos em análise técnica",O23="22 - Instalação/substituição autorizada")),MAX($AC$1:$AC$22)+1,"")</f>
        <v/>
      </c>
      <c r="AD23" s="69" t="str">
        <f aca="false">IF(AND(B23&lt;&gt;"",OR(ISNUMBER(SEARCH("CTO",P23)),LEFT(O23,2)="22",LEFT(O23,2)="23",LEFT(O23,2)="24",LEFT(O23,2)="25",LEFT(O23,2)="26",LEFT(O23,2)="27")),MAX($AD$1:$AD$22)+1,"")</f>
        <v/>
      </c>
      <c r="AE23" s="69" t="str">
        <f aca="false">IF(AND(B23&lt;&gt;"",D23=CONSULTA_UNIDADE!$B$4),MAX($AE$1:$AE$22)+1,"")</f>
        <v/>
      </c>
      <c r="AF23" s="69" t="n">
        <f aca="false">IF(AND(B23&lt;&gt;"",O23&lt;&gt;"27 - Instalação concluída",O23&lt;&gt;"28 - Encerrado",ISNUMBER(S23)),S23*1000+(1000-ROW()),"")</f>
        <v>7977</v>
      </c>
      <c r="AG23" s="69" t="n">
        <f aca="false">IF(AF23="","",RANK(AF23,$AF$2:$AF$500))</f>
        <v>6</v>
      </c>
    </row>
    <row r="24" customFormat="false" ht="21.75" hidden="false" customHeight="true" outlineLevel="0" collapsed="false">
      <c r="A24" s="70"/>
      <c r="B24" s="70" t="s">
        <v>254</v>
      </c>
      <c r="C24" s="71" t="n">
        <f aca="false">IF(D24="","",IFERROR(INDEX(CADASTRO_VIVO_3CRE!$B$2:$B$150,MATCH(D24,CADASTRO_VIVO_3CRE!$E$2:$E$150,0)),""))</f>
        <v>328501</v>
      </c>
      <c r="D24" s="72" t="s">
        <v>255</v>
      </c>
      <c r="E24" s="72" t="s">
        <v>256</v>
      </c>
      <c r="F24" s="72" t="s">
        <v>151</v>
      </c>
      <c r="G24" s="72" t="s">
        <v>168</v>
      </c>
      <c r="H24" s="72"/>
      <c r="I24" s="72"/>
      <c r="J24" s="72"/>
      <c r="K24" s="73"/>
      <c r="L24" s="73" t="n">
        <v>1</v>
      </c>
      <c r="M24" s="73" t="n">
        <v>1</v>
      </c>
      <c r="N24" s="70" t="s">
        <v>182</v>
      </c>
      <c r="O24" s="72" t="s">
        <v>79</v>
      </c>
      <c r="P24" s="72" t="s">
        <v>34</v>
      </c>
      <c r="Q24" s="72" t="s">
        <v>170</v>
      </c>
      <c r="R24" s="74" t="n">
        <v>46164</v>
      </c>
      <c r="S24" s="75" t="n">
        <f aca="true">IF(R24="","",TODAY()-INT(R24))</f>
        <v>7</v>
      </c>
      <c r="T24" s="70" t="s">
        <v>156</v>
      </c>
      <c r="U24" s="70" t="s">
        <v>157</v>
      </c>
      <c r="V24" s="72" t="s">
        <v>257</v>
      </c>
      <c r="W24" s="74" t="n">
        <v>46146</v>
      </c>
      <c r="X24" s="75" t="str">
        <f aca="true">IF(W24="","",IF(OR(O24="28 - Encerrado",O24="27 - Instalação concluída"),"Concluído",TODAY()-INT(W24)))</f>
        <v>Concluído</v>
      </c>
      <c r="Y24" s="76" t="str">
        <f aca="false">IF(OR(O24="28 - Encerrado",O24="27 - Instalação concluída"),"OK",IF(AND(B24&lt;&gt;"",S24=""),"ATENÇÃO (Sem data de atualização)",IF(S24="","",IF(S24&gt;30,"CRÍTICO (Sem Atualização &gt;30 dias)",IF(S24&gt;15,"ATENÇÃO (Sem Atualização &gt;15 dias)",IF(X24&gt;90,"CRÍTICO (Aberto &gt;90 dias)","OK"))))))</f>
        <v>OK</v>
      </c>
      <c r="Z24" s="77" t="str">
        <f aca="false">IF(B24="","",IF(OR(O24="27 - Instalação concluída",O24="28 - Encerrado"),"OK",IF(NOT(ISNUMBER(X24)),"",IF(X24&gt;365,"MUITO ANTIGO (&gt;1 ano)",IF(X24&gt;180,"ANTIGO (&gt;6 meses)",IF(X24&gt;90,"ATENÇÃO ANTIG. (&gt;3 meses)","OK"))))))</f>
        <v>OK</v>
      </c>
      <c r="AA24" s="78"/>
      <c r="AB24" s="69" t="n">
        <f aca="false">IF(AND(B24&lt;&gt;"",OR(T24="Pendente de Vistoria",T24="Não validada")),MAX($AB$1:$AB$23)+1,"")</f>
        <v>16</v>
      </c>
      <c r="AC24" s="69" t="str">
        <f aca="false">IF(AND(B24&lt;&gt;"",OR(ISNUMBER(SEARCH("CTIN",P24)),U24="Alta",O24="07 - Relatório recebido — unidade apta",O24="11 - Orçamentos em análise técnica",O24="22 - Instalação/substituição autorizada")),MAX($AC$1:$AC$23)+1,"")</f>
        <v/>
      </c>
      <c r="AD24" s="69" t="n">
        <f aca="false">IF(AND(B24&lt;&gt;"",OR(ISNUMBER(SEARCH("CTO",P24)),LEFT(O24,2)="22",LEFT(O24,2)="23",LEFT(O24,2)="24",LEFT(O24,2)="25",LEFT(O24,2)="26",LEFT(O24,2)="27")),MAX($AD$1:$AD$23)+1,"")</f>
        <v>9</v>
      </c>
      <c r="AE24" s="69" t="str">
        <f aca="false">IF(AND(B24&lt;&gt;"",D24=CONSULTA_UNIDADE!$B$4),MAX($AE$1:$AE$23)+1,"")</f>
        <v/>
      </c>
      <c r="AF24" s="69" t="str">
        <f aca="false">IF(AND(B24&lt;&gt;"",O24&lt;&gt;"27 - Instalação concluída",O24&lt;&gt;"28 - Encerrado",ISNUMBER(S24)),S24*1000+(1000-ROW()),"")</f>
        <v/>
      </c>
      <c r="AG24" s="69" t="str">
        <f aca="false">IF(AF24="","",RANK(AF24,$AF$2:$AF$500))</f>
        <v/>
      </c>
    </row>
    <row r="25" customFormat="false" ht="21.75" hidden="false" customHeight="true" outlineLevel="0" collapsed="false">
      <c r="A25" s="79"/>
      <c r="B25" s="79" t="s">
        <v>258</v>
      </c>
      <c r="C25" s="80" t="n">
        <f aca="false">IF(D25="","",IFERROR(INDEX(CADASTRO_VIVO_3CRE!$B$2:$B$150,MATCH(D25,CADASTRO_VIVO_3CRE!$E$2:$E$150,0)),""))</f>
        <v>313051</v>
      </c>
      <c r="D25" s="81" t="s">
        <v>259</v>
      </c>
      <c r="E25" s="81" t="s">
        <v>260</v>
      </c>
      <c r="F25" s="81" t="s">
        <v>151</v>
      </c>
      <c r="G25" s="81" t="s">
        <v>168</v>
      </c>
      <c r="H25" s="81"/>
      <c r="I25" s="81"/>
      <c r="J25" s="81"/>
      <c r="K25" s="82"/>
      <c r="L25" s="82" t="n">
        <v>13</v>
      </c>
      <c r="M25" s="82" t="n">
        <v>0</v>
      </c>
      <c r="N25" s="79" t="s">
        <v>169</v>
      </c>
      <c r="O25" s="81" t="s">
        <v>79</v>
      </c>
      <c r="P25" s="81" t="s">
        <v>34</v>
      </c>
      <c r="Q25" s="81" t="s">
        <v>170</v>
      </c>
      <c r="R25" s="83" t="n">
        <v>46168</v>
      </c>
      <c r="S25" s="84" t="n">
        <f aca="true">IF(R25="","",TODAY()-INT(R25))</f>
        <v>3</v>
      </c>
      <c r="T25" s="79" t="s">
        <v>171</v>
      </c>
      <c r="U25" s="79" t="s">
        <v>157</v>
      </c>
      <c r="V25" s="81" t="s">
        <v>261</v>
      </c>
      <c r="W25" s="83" t="n">
        <v>46161</v>
      </c>
      <c r="X25" s="84" t="str">
        <f aca="true">IF(W25="","",IF(OR(O25="28 - Encerrado",O25="27 - Instalação concluída"),"Concluído",TODAY()-INT(W25)))</f>
        <v>Concluído</v>
      </c>
      <c r="Y25" s="85" t="str">
        <f aca="false">IF(OR(O25="28 - Encerrado",O25="27 - Instalação concluída"),"OK",IF(AND(B25&lt;&gt;"",S25=""),"ATENÇÃO (Sem data de atualização)",IF(S25="","",IF(S25&gt;30,"CRÍTICO (Sem Atualização &gt;30 dias)",IF(S25&gt;15,"ATENÇÃO (Sem Atualização &gt;15 dias)",IF(X25&gt;90,"CRÍTICO (Aberto &gt;90 dias)","OK"))))))</f>
        <v>OK</v>
      </c>
      <c r="Z25" s="77" t="str">
        <f aca="false">IF(B25="","",IF(OR(O25="27 - Instalação concluída",O25="28 - Encerrado"),"OK",IF(NOT(ISNUMBER(X25)),"",IF(X25&gt;365,"MUITO ANTIGO (&gt;1 ano)",IF(X25&gt;180,"ANTIGO (&gt;6 meses)",IF(X25&gt;90,"ATENÇÃO ANTIG. (&gt;3 meses)","OK"))))))</f>
        <v>OK</v>
      </c>
      <c r="AA25" s="78"/>
      <c r="AB25" s="69" t="str">
        <f aca="false">IF(AND(B25&lt;&gt;"",OR(T25="Pendente de Vistoria",T25="Não validada")),MAX($AB$1:$AB$24)+1,"")</f>
        <v/>
      </c>
      <c r="AC25" s="69" t="str">
        <f aca="false">IF(AND(B25&lt;&gt;"",OR(ISNUMBER(SEARCH("CTIN",P25)),U25="Alta",O25="07 - Relatório recebido — unidade apta",O25="11 - Orçamentos em análise técnica",O25="22 - Instalação/substituição autorizada")),MAX($AC$1:$AC$24)+1,"")</f>
        <v/>
      </c>
      <c r="AD25" s="69" t="n">
        <f aca="false">IF(AND(B25&lt;&gt;"",OR(ISNUMBER(SEARCH("CTO",P25)),LEFT(O25,2)="22",LEFT(O25,2)="23",LEFT(O25,2)="24",LEFT(O25,2)="25",LEFT(O25,2)="26",LEFT(O25,2)="27")),MAX($AD$1:$AD$24)+1,"")</f>
        <v>10</v>
      </c>
      <c r="AE25" s="69" t="str">
        <f aca="false">IF(AND(B25&lt;&gt;"",D25=CONSULTA_UNIDADE!$B$4),MAX($AE$1:$AE$24)+1,"")</f>
        <v/>
      </c>
      <c r="AF25" s="69" t="str">
        <f aca="false">IF(AND(B25&lt;&gt;"",O25&lt;&gt;"27 - Instalação concluída",O25&lt;&gt;"28 - Encerrado",ISNUMBER(S25)),S25*1000+(1000-ROW()),"")</f>
        <v/>
      </c>
      <c r="AG25" s="69" t="str">
        <f aca="false">IF(AF25="","",RANK(AF25,$AF$2:$AF$500))</f>
        <v/>
      </c>
    </row>
    <row r="26" customFormat="false" ht="21.75" hidden="false" customHeight="true" outlineLevel="0" collapsed="false">
      <c r="A26" s="70"/>
      <c r="B26" s="70" t="s">
        <v>262</v>
      </c>
      <c r="C26" s="71" t="n">
        <f aca="false">IF(D26="","",IFERROR(INDEX(CADASTRO_VIVO_3CRE!$B$2:$B$150,MATCH(D26,CADASTRO_VIVO_3CRE!$E$2:$E$150,0)),""))</f>
        <v>313055</v>
      </c>
      <c r="D26" s="72" t="s">
        <v>263</v>
      </c>
      <c r="E26" s="72" t="s">
        <v>264</v>
      </c>
      <c r="F26" s="72" t="s">
        <v>151</v>
      </c>
      <c r="G26" s="72"/>
      <c r="H26" s="72"/>
      <c r="I26" s="72"/>
      <c r="J26" s="72"/>
      <c r="K26" s="73"/>
      <c r="L26" s="73"/>
      <c r="M26" s="73"/>
      <c r="N26" s="70" t="s">
        <v>153</v>
      </c>
      <c r="O26" s="72" t="s">
        <v>59</v>
      </c>
      <c r="P26" s="72" t="s">
        <v>162</v>
      </c>
      <c r="Q26" s="72" t="s">
        <v>163</v>
      </c>
      <c r="R26" s="74" t="n">
        <v>46168</v>
      </c>
      <c r="S26" s="75" t="n">
        <f aca="true">IF(R26="","",TODAY()-INT(R26))</f>
        <v>3</v>
      </c>
      <c r="T26" s="70" t="s">
        <v>156</v>
      </c>
      <c r="U26" s="70" t="s">
        <v>157</v>
      </c>
      <c r="V26" s="72" t="s">
        <v>265</v>
      </c>
      <c r="W26" s="74" t="n">
        <v>46149</v>
      </c>
      <c r="X26" s="75" t="n">
        <f aca="true">IF(W26="","",IF(OR(O26="28 - Encerrado",O26="27 - Instalação concluída"),"Concluído",TODAY()-INT(W26)))</f>
        <v>22</v>
      </c>
      <c r="Y26" s="76" t="str">
        <f aca="false">IF(OR(O26="28 - Encerrado",O26="27 - Instalação concluída"),"OK",IF(AND(B26&lt;&gt;"",S26=""),"ATENÇÃO (Sem data de atualização)",IF(S26="","",IF(S26&gt;30,"CRÍTICO (Sem Atualização &gt;30 dias)",IF(S26&gt;15,"ATENÇÃO (Sem Atualização &gt;15 dias)",IF(X26&gt;90,"CRÍTICO (Aberto &gt;90 dias)","OK"))))))</f>
        <v>OK</v>
      </c>
      <c r="Z26" s="77" t="str">
        <f aca="false">IF(B26="","",IF(OR(O26="27 - Instalação concluída",O26="28 - Encerrado"),"OK",IF(NOT(ISNUMBER(X26)),"",IF(X26&gt;365,"MUITO ANTIGO (&gt;1 ano)",IF(X26&gt;180,"ANTIGO (&gt;6 meses)",IF(X26&gt;90,"ATENÇÃO ANTIG. (&gt;3 meses)","OK"))))))</f>
        <v>OK</v>
      </c>
      <c r="AA26" s="78"/>
      <c r="AB26" s="69" t="n">
        <f aca="false">IF(AND(B26&lt;&gt;"",OR(T26="Pendente de Vistoria",T26="Não validada")),MAX($AB$1:$AB$25)+1,"")</f>
        <v>17</v>
      </c>
      <c r="AC26" s="69" t="str">
        <f aca="false">IF(AND(B26&lt;&gt;"",OR(ISNUMBER(SEARCH("CTIN",P26)),U26="Alta",O26="07 - Relatório recebido — unidade apta",O26="11 - Orçamentos em análise técnica",O26="22 - Instalação/substituição autorizada")),MAX($AC$1:$AC$25)+1,"")</f>
        <v/>
      </c>
      <c r="AD26" s="69" t="str">
        <f aca="false">IF(AND(B26&lt;&gt;"",OR(ISNUMBER(SEARCH("CTO",P26)),LEFT(O26,2)="22",LEFT(O26,2)="23",LEFT(O26,2)="24",LEFT(O26,2)="25",LEFT(O26,2)="26",LEFT(O26,2)="27")),MAX($AD$1:$AD$25)+1,"")</f>
        <v/>
      </c>
      <c r="AE26" s="69" t="str">
        <f aca="false">IF(AND(B26&lt;&gt;"",D26=CONSULTA_UNIDADE!$B$4),MAX($AE$1:$AE$25)+1,"")</f>
        <v/>
      </c>
      <c r="AF26" s="69" t="n">
        <f aca="false">IF(AND(B26&lt;&gt;"",O26&lt;&gt;"27 - Instalação concluída",O26&lt;&gt;"28 - Encerrado",ISNUMBER(S26)),S26*1000+(1000-ROW()),"")</f>
        <v>3974</v>
      </c>
      <c r="AG26" s="69" t="n">
        <f aca="false">IF(AF26="","",RANK(AF26,$AF$2:$AF$500))</f>
        <v>12</v>
      </c>
    </row>
    <row r="27" customFormat="false" ht="21.75" hidden="false" customHeight="true" outlineLevel="0" collapsed="false">
      <c r="A27" s="79"/>
      <c r="B27" s="79" t="s">
        <v>266</v>
      </c>
      <c r="C27" s="80" t="n">
        <f aca="false">IF(D27="","",IFERROR(INDEX(CADASTRO_VIVO_3CRE!$B$2:$B$150,MATCH(D27,CADASTRO_VIVO_3CRE!$E$2:$E$150,0)),""))</f>
        <v>330601</v>
      </c>
      <c r="D27" s="81" t="s">
        <v>267</v>
      </c>
      <c r="E27" s="81" t="s">
        <v>268</v>
      </c>
      <c r="F27" s="81" t="s">
        <v>151</v>
      </c>
      <c r="G27" s="81" t="s">
        <v>181</v>
      </c>
      <c r="H27" s="81"/>
      <c r="I27" s="81"/>
      <c r="J27" s="81"/>
      <c r="K27" s="82" t="n">
        <v>3</v>
      </c>
      <c r="L27" s="82"/>
      <c r="M27" s="82"/>
      <c r="N27" s="79" t="s">
        <v>153</v>
      </c>
      <c r="O27" s="81" t="s">
        <v>59</v>
      </c>
      <c r="P27" s="81" t="s">
        <v>162</v>
      </c>
      <c r="Q27" s="81" t="s">
        <v>163</v>
      </c>
      <c r="R27" s="83" t="n">
        <v>46164</v>
      </c>
      <c r="S27" s="84" t="n">
        <f aca="true">IF(R27="","",TODAY()-INT(R27))</f>
        <v>7</v>
      </c>
      <c r="T27" s="79" t="s">
        <v>156</v>
      </c>
      <c r="U27" s="79" t="s">
        <v>157</v>
      </c>
      <c r="V27" s="81" t="s">
        <v>269</v>
      </c>
      <c r="W27" s="83" t="n">
        <v>46148</v>
      </c>
      <c r="X27" s="84" t="n">
        <f aca="true">IF(W27="","",IF(OR(O27="28 - Encerrado",O27="27 - Instalação concluída"),"Concluído",TODAY()-INT(W27)))</f>
        <v>23</v>
      </c>
      <c r="Y27" s="85" t="str">
        <f aca="false">IF(OR(O27="28 - Encerrado",O27="27 - Instalação concluída"),"OK",IF(AND(B27&lt;&gt;"",S27=""),"ATENÇÃO (Sem data de atualização)",IF(S27="","",IF(S27&gt;30,"CRÍTICO (Sem Atualização &gt;30 dias)",IF(S27&gt;15,"ATENÇÃO (Sem Atualização &gt;15 dias)",IF(X27&gt;90,"CRÍTICO (Aberto &gt;90 dias)","OK"))))))</f>
        <v>OK</v>
      </c>
      <c r="Z27" s="77" t="str">
        <f aca="false">IF(B27="","",IF(OR(O27="27 - Instalação concluída",O27="28 - Encerrado"),"OK",IF(NOT(ISNUMBER(X27)),"",IF(X27&gt;365,"MUITO ANTIGO (&gt;1 ano)",IF(X27&gt;180,"ANTIGO (&gt;6 meses)",IF(X27&gt;90,"ATENÇÃO ANTIG. (&gt;3 meses)","OK"))))))</f>
        <v>OK</v>
      </c>
      <c r="AA27" s="78"/>
      <c r="AB27" s="69" t="n">
        <f aca="false">IF(AND(B27&lt;&gt;"",OR(T27="Pendente de Vistoria",T27="Não validada")),MAX($AB$1:$AB$26)+1,"")</f>
        <v>18</v>
      </c>
      <c r="AC27" s="69" t="str">
        <f aca="false">IF(AND(B27&lt;&gt;"",OR(ISNUMBER(SEARCH("CTIN",P27)),U27="Alta",O27="07 - Relatório recebido — unidade apta",O27="11 - Orçamentos em análise técnica",O27="22 - Instalação/substituição autorizada")),MAX($AC$1:$AC$26)+1,"")</f>
        <v/>
      </c>
      <c r="AD27" s="69" t="str">
        <f aca="false">IF(AND(B27&lt;&gt;"",OR(ISNUMBER(SEARCH("CTO",P27)),LEFT(O27,2)="22",LEFT(O27,2)="23",LEFT(O27,2)="24",LEFT(O27,2)="25",LEFT(O27,2)="26",LEFT(O27,2)="27")),MAX($AD$1:$AD$26)+1,"")</f>
        <v/>
      </c>
      <c r="AE27" s="69" t="str">
        <f aca="false">IF(AND(B27&lt;&gt;"",D27=CONSULTA_UNIDADE!$B$4),MAX($AE$1:$AE$26)+1,"")</f>
        <v/>
      </c>
      <c r="AF27" s="69" t="n">
        <f aca="false">IF(AND(B27&lt;&gt;"",O27&lt;&gt;"27 - Instalação concluída",O27&lt;&gt;"28 - Encerrado",ISNUMBER(S27)),S27*1000+(1000-ROW()),"")</f>
        <v>7973</v>
      </c>
      <c r="AG27" s="69" t="n">
        <f aca="false">IF(AF27="","",RANK(AF27,$AF$2:$AF$500))</f>
        <v>7</v>
      </c>
    </row>
    <row r="28" customFormat="false" ht="21.75" hidden="false" customHeight="true" outlineLevel="0" collapsed="false">
      <c r="A28" s="70"/>
      <c r="B28" s="70" t="s">
        <v>270</v>
      </c>
      <c r="C28" s="71" t="n">
        <f aca="false">IF(D28="","",IFERROR(INDEX(CADASTRO_VIVO_3CRE!$B$2:$B$150,MATCH(D28,CADASTRO_VIVO_3CRE!$E$2:$E$150,0)),""))</f>
        <v>313034</v>
      </c>
      <c r="D28" s="72" t="s">
        <v>271</v>
      </c>
      <c r="E28" s="72" t="s">
        <v>272</v>
      </c>
      <c r="F28" s="72" t="s">
        <v>151</v>
      </c>
      <c r="G28" s="72" t="s">
        <v>152</v>
      </c>
      <c r="H28" s="72"/>
      <c r="I28" s="72"/>
      <c r="J28" s="72"/>
      <c r="K28" s="73"/>
      <c r="L28" s="73"/>
      <c r="M28" s="73" t="n">
        <v>0</v>
      </c>
      <c r="N28" s="70" t="s">
        <v>169</v>
      </c>
      <c r="O28" s="72" t="s">
        <v>79</v>
      </c>
      <c r="P28" s="72" t="s">
        <v>50</v>
      </c>
      <c r="Q28" s="72" t="s">
        <v>170</v>
      </c>
      <c r="R28" s="74" t="n">
        <v>46169</v>
      </c>
      <c r="S28" s="75" t="n">
        <f aca="true">IF(R28="","",TODAY()-INT(R28))</f>
        <v>2</v>
      </c>
      <c r="T28" s="70" t="s">
        <v>171</v>
      </c>
      <c r="U28" s="70" t="s">
        <v>157</v>
      </c>
      <c r="V28" s="72" t="s">
        <v>273</v>
      </c>
      <c r="W28" s="74" t="n">
        <v>46105</v>
      </c>
      <c r="X28" s="75" t="str">
        <f aca="true">IF(W28="","",IF(OR(O28="28 - Encerrado",O28="27 - Instalação concluída"),"Concluído",TODAY()-INT(W28)))</f>
        <v>Concluído</v>
      </c>
      <c r="Y28" s="76" t="str">
        <f aca="false">IF(OR(O28="28 - Encerrado",O28="27 - Instalação concluída"),"OK",IF(AND(B28&lt;&gt;"",S28=""),"ATENÇÃO (Sem data de atualização)",IF(S28="","",IF(S28&gt;30,"CRÍTICO (Sem Atualização &gt;30 dias)",IF(S28&gt;15,"ATENÇÃO (Sem Atualização &gt;15 dias)",IF(X28&gt;90,"CRÍTICO (Aberto &gt;90 dias)","OK"))))))</f>
        <v>OK</v>
      </c>
      <c r="Z28" s="77" t="str">
        <f aca="false">IF(B28="","",IF(OR(O28="27 - Instalação concluída",O28="28 - Encerrado"),"OK",IF(NOT(ISNUMBER(X28)),"",IF(X28&gt;365,"MUITO ANTIGO (&gt;1 ano)",IF(X28&gt;180,"ANTIGO (&gt;6 meses)",IF(X28&gt;90,"ATENÇÃO ANTIG. (&gt;3 meses)","OK"))))))</f>
        <v>OK</v>
      </c>
      <c r="AA28" s="78"/>
      <c r="AB28" s="69" t="str">
        <f aca="false">IF(AND(B28&lt;&gt;"",OR(T28="Pendente de Vistoria",T28="Não validada")),MAX($AB$1:$AB$27)+1,"")</f>
        <v/>
      </c>
      <c r="AC28" s="69" t="str">
        <f aca="false">IF(AND(B28&lt;&gt;"",OR(ISNUMBER(SEARCH("CTIN",P28)),U28="Alta",O28="07 - Relatório recebido — unidade apta",O28="11 - Orçamentos em análise técnica",O28="22 - Instalação/substituição autorizada")),MAX($AC$1:$AC$27)+1,"")</f>
        <v/>
      </c>
      <c r="AD28" s="69" t="n">
        <f aca="false">IF(AND(B28&lt;&gt;"",OR(ISNUMBER(SEARCH("CTO",P28)),LEFT(O28,2)="22",LEFT(O28,2)="23",LEFT(O28,2)="24",LEFT(O28,2)="25",LEFT(O28,2)="26",LEFT(O28,2)="27")),MAX($AD$1:$AD$27)+1,"")</f>
        <v>11</v>
      </c>
      <c r="AE28" s="69" t="str">
        <f aca="false">IF(AND(B28&lt;&gt;"",D28=CONSULTA_UNIDADE!$B$4),MAX($AE$1:$AE$27)+1,"")</f>
        <v/>
      </c>
      <c r="AF28" s="69" t="str">
        <f aca="false">IF(AND(B28&lt;&gt;"",O28&lt;&gt;"27 - Instalação concluída",O28&lt;&gt;"28 - Encerrado",ISNUMBER(S28)),S28*1000+(1000-ROW()),"")</f>
        <v/>
      </c>
      <c r="AG28" s="69" t="str">
        <f aca="false">IF(AF28="","",RANK(AF28,$AF$2:$AF$500))</f>
        <v/>
      </c>
    </row>
    <row r="29" customFormat="false" ht="21.75" hidden="false" customHeight="true" outlineLevel="0" collapsed="false">
      <c r="A29" s="79"/>
      <c r="B29" s="79" t="s">
        <v>274</v>
      </c>
      <c r="C29" s="80" t="n">
        <f aca="false">IF(D29="","",IFERROR(INDEX(CADASTRO_VIVO_3CRE!$B$2:$B$150,MATCH(D29,CADASTRO_VIVO_3CRE!$E$2:$E$150,0)),""))</f>
        <v>312033</v>
      </c>
      <c r="D29" s="81" t="s">
        <v>275</v>
      </c>
      <c r="E29" s="81" t="s">
        <v>161</v>
      </c>
      <c r="F29" s="81" t="s">
        <v>151</v>
      </c>
      <c r="G29" s="81"/>
      <c r="H29" s="81"/>
      <c r="I29" s="81"/>
      <c r="J29" s="81"/>
      <c r="K29" s="82"/>
      <c r="L29" s="82"/>
      <c r="M29" s="82" t="n">
        <v>0</v>
      </c>
      <c r="N29" s="79" t="s">
        <v>276</v>
      </c>
      <c r="O29" s="81" t="s">
        <v>45</v>
      </c>
      <c r="P29" s="81" t="s">
        <v>38</v>
      </c>
      <c r="Q29" s="81" t="s">
        <v>277</v>
      </c>
      <c r="R29" s="83" t="n">
        <v>46168</v>
      </c>
      <c r="S29" s="84" t="n">
        <f aca="true">IF(R29="","",TODAY()-INT(R29))</f>
        <v>3</v>
      </c>
      <c r="T29" s="79" t="s">
        <v>156</v>
      </c>
      <c r="U29" s="79" t="s">
        <v>157</v>
      </c>
      <c r="V29" s="81" t="s">
        <v>278</v>
      </c>
      <c r="W29" s="83" t="n">
        <v>46105</v>
      </c>
      <c r="X29" s="84" t="n">
        <f aca="true">IF(W29="","",IF(OR(O29="28 - Encerrado",O29="27 - Instalação concluída"),"Concluído",TODAY()-INT(W29)))</f>
        <v>66</v>
      </c>
      <c r="Y29" s="85" t="str">
        <f aca="false">IF(OR(O29="28 - Encerrado",O29="27 - Instalação concluída"),"OK",IF(AND(B29&lt;&gt;"",S29=""),"ATENÇÃO (Sem data de atualização)",IF(S29="","",IF(S29&gt;30,"CRÍTICO (Sem Atualização &gt;30 dias)",IF(S29&gt;15,"ATENÇÃO (Sem Atualização &gt;15 dias)",IF(X29&gt;90,"CRÍTICO (Aberto &gt;90 dias)","OK"))))))</f>
        <v>OK</v>
      </c>
      <c r="Z29" s="77" t="str">
        <f aca="false">IF(B29="","",IF(OR(O29="27 - Instalação concluída",O29="28 - Encerrado"),"OK",IF(NOT(ISNUMBER(X29)),"",IF(X29&gt;365,"MUITO ANTIGO (&gt;1 ano)",IF(X29&gt;180,"ANTIGO (&gt;6 meses)",IF(X29&gt;90,"ATENÇÃO ANTIG. (&gt;3 meses)","OK"))))))</f>
        <v>OK</v>
      </c>
      <c r="AA29" s="78"/>
      <c r="AB29" s="69" t="n">
        <f aca="false">IF(AND(B29&lt;&gt;"",OR(T29="Pendente de Vistoria",T29="Não validada")),MAX($AB$1:$AB$28)+1,"")</f>
        <v>19</v>
      </c>
      <c r="AC29" s="69" t="str">
        <f aca="false">IF(AND(B29&lt;&gt;"",OR(ISNUMBER(SEARCH("CTIN",P29)),U29="Alta",O29="07 - Relatório recebido — unidade apta",O29="11 - Orçamentos em análise técnica",O29="22 - Instalação/substituição autorizada")),MAX($AC$1:$AC$28)+1,"")</f>
        <v/>
      </c>
      <c r="AD29" s="69" t="str">
        <f aca="false">IF(AND(B29&lt;&gt;"",OR(ISNUMBER(SEARCH("CTO",P29)),LEFT(O29,2)="22",LEFT(O29,2)="23",LEFT(O29,2)="24",LEFT(O29,2)="25",LEFT(O29,2)="26",LEFT(O29,2)="27")),MAX($AD$1:$AD$28)+1,"")</f>
        <v/>
      </c>
      <c r="AE29" s="69" t="str">
        <f aca="false">IF(AND(B29&lt;&gt;"",D29=CONSULTA_UNIDADE!$B$4),MAX($AE$1:$AE$28)+1,"")</f>
        <v/>
      </c>
      <c r="AF29" s="69" t="n">
        <f aca="false">IF(AND(B29&lt;&gt;"",O29&lt;&gt;"27 - Instalação concluída",O29&lt;&gt;"28 - Encerrado",ISNUMBER(S29)),S29*1000+(1000-ROW()),"")</f>
        <v>3971</v>
      </c>
      <c r="AG29" s="69" t="n">
        <f aca="false">IF(AF29="","",RANK(AF29,$AF$2:$AF$500))</f>
        <v>13</v>
      </c>
    </row>
    <row r="30" customFormat="false" ht="16.5" hidden="false" customHeight="true" outlineLevel="0" collapsed="false">
      <c r="A30" s="86"/>
      <c r="B30" s="86"/>
      <c r="C30" s="87" t="str">
        <f aca="false">IF(D30="","",IFERROR(INDEX(CADASTRO_VIVO_3CRE!$B$2:$B$150,MATCH(D30,CADASTRO_VIVO_3CRE!$E$2:$E$150,0)),""))</f>
        <v/>
      </c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8"/>
      <c r="S30" s="89" t="str">
        <f aca="true">IF(R30="","",TODAY()-INT(R30))</f>
        <v/>
      </c>
      <c r="T30" s="86"/>
      <c r="U30" s="86"/>
      <c r="V30" s="86"/>
      <c r="W30" s="88"/>
      <c r="X30" s="89" t="str">
        <f aca="true">IF(W30="","",IF(OR(O30="28 - Encerrado",O30="27 - Instalação concluída"),"Concluído",TODAY()-INT(W30)))</f>
        <v/>
      </c>
      <c r="Y30" s="90" t="str">
        <f aca="false">IF(OR(O30="28 - Encerrado",O30="27 - Instalação concluída"),"OK",IF(AND(B30&lt;&gt;"",S30=""),"ATENÇÃO (Sem data de atualização)",IF(S30="","",IF(S30&gt;30,"CRÍTICO (Sem Atualização &gt;30 dias)",IF(S30&gt;15,"ATENÇÃO (Sem Atualização &gt;15 dias)",IF(X30&gt;90,"CRÍTICO (Aberto &gt;90 dias)","OK"))))))</f>
        <v/>
      </c>
      <c r="Z30" s="90" t="str">
        <f aca="false">IF(B30="","",IF(OR(O30="27 - Instalação concluída",O30="28 - Encerrado"),"OK",IF(NOT(ISNUMBER(X30)),"",IF(X30&gt;365,"MUITO ANTIGO (&gt;1 ano)",IF(X30&gt;180,"ANTIGO (&gt;6 meses)",IF(X30&gt;90,"ATENÇÃO ANTIG. (&gt;3 meses)","OK"))))))</f>
        <v/>
      </c>
      <c r="AA30" s="86"/>
      <c r="AB30" s="69" t="str">
        <f aca="false">IF(AND(B30&lt;&gt;"",OR(T30="Pendente de Vistoria",T30="Não validada")),MAX($AB$1:$AB$29)+1,"")</f>
        <v/>
      </c>
      <c r="AC30" s="69" t="str">
        <f aca="false">IF(AND(B30&lt;&gt;"",OR(ISNUMBER(SEARCH("CTIN",P30)),U30="Alta",O30="07 - Relatório recebido — unidade apta",O30="11 - Orçamentos em análise técnica",O30="22 - Instalação/substituição autorizada")),MAX($AC$1:$AC$29)+1,"")</f>
        <v/>
      </c>
      <c r="AD30" s="69" t="str">
        <f aca="false">IF(AND(B30&lt;&gt;"",OR(ISNUMBER(SEARCH("CTO",P30)),LEFT(O30,2)="22",LEFT(O30,2)="23",LEFT(O30,2)="24",LEFT(O30,2)="25",LEFT(O30,2)="26",LEFT(O30,2)="27")),MAX($AD$1:$AD$29)+1,"")</f>
        <v/>
      </c>
      <c r="AE30" s="69" t="str">
        <f aca="false">IF(AND(B30&lt;&gt;"",D30=CONSULTA_UNIDADE!$B$4),MAX($AE$1:$AE$29)+1,"")</f>
        <v/>
      </c>
      <c r="AF30" s="69" t="str">
        <f aca="false">IF(AND(B30&lt;&gt;"",O30&lt;&gt;"27 - Instalação concluída",O30&lt;&gt;"28 - Encerrado",ISNUMBER(S30)),S30*1000+(1000-ROW()),"")</f>
        <v/>
      </c>
      <c r="AG30" s="69" t="str">
        <f aca="false">IF(AF30="","",RANK(AF30,$AF$2:$AF$500))</f>
        <v/>
      </c>
    </row>
    <row r="31" customFormat="false" ht="16.5" hidden="false" customHeight="true" outlineLevel="0" collapsed="false">
      <c r="A31" s="86"/>
      <c r="B31" s="86"/>
      <c r="C31" s="87" t="str">
        <f aca="false">IF(D31="","",IFERROR(INDEX(CADASTRO_VIVO_3CRE!$B$2:$B$150,MATCH(D31,CADASTRO_VIVO_3CRE!$E$2:$E$150,0)),""))</f>
        <v/>
      </c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8"/>
      <c r="S31" s="89" t="str">
        <f aca="true">IF(R31="","",TODAY()-INT(R31))</f>
        <v/>
      </c>
      <c r="T31" s="86"/>
      <c r="U31" s="86"/>
      <c r="V31" s="86"/>
      <c r="W31" s="88"/>
      <c r="X31" s="89" t="str">
        <f aca="true">IF(W31="","",IF(OR(O31="28 - Encerrado",O31="27 - Instalação concluída"),"Concluído",TODAY()-INT(W31)))</f>
        <v/>
      </c>
      <c r="Y31" s="90" t="str">
        <f aca="false">IF(OR(O31="28 - Encerrado",O31="27 - Instalação concluída"),"OK",IF(AND(B31&lt;&gt;"",S31=""),"ATENÇÃO (Sem data de atualização)",IF(S31="","",IF(S31&gt;30,"CRÍTICO (Sem Atualização &gt;30 dias)",IF(S31&gt;15,"ATENÇÃO (Sem Atualização &gt;15 dias)",IF(X31&gt;90,"CRÍTICO (Aberto &gt;90 dias)","OK"))))))</f>
        <v/>
      </c>
      <c r="Z31" s="90" t="str">
        <f aca="false">IF(B31="","",IF(OR(O31="27 - Instalação concluída",O31="28 - Encerrado"),"OK",IF(NOT(ISNUMBER(X31)),"",IF(X31&gt;365,"MUITO ANTIGO (&gt;1 ano)",IF(X31&gt;180,"ANTIGO (&gt;6 meses)",IF(X31&gt;90,"ATENÇÃO ANTIG. (&gt;3 meses)","OK"))))))</f>
        <v/>
      </c>
      <c r="AA31" s="86"/>
      <c r="AB31" s="69" t="str">
        <f aca="false">IF(AND(B31&lt;&gt;"",OR(T31="Pendente de Vistoria",T31="Não validada")),MAX($AB$1:$AB$30)+1,"")</f>
        <v/>
      </c>
      <c r="AC31" s="69" t="str">
        <f aca="false">IF(AND(B31&lt;&gt;"",OR(ISNUMBER(SEARCH("CTIN",P31)),U31="Alta",O31="07 - Relatório recebido — unidade apta",O31="11 - Orçamentos em análise técnica",O31="22 - Instalação/substituição autorizada")),MAX($AC$1:$AC$30)+1,"")</f>
        <v/>
      </c>
      <c r="AD31" s="69" t="str">
        <f aca="false">IF(AND(B31&lt;&gt;"",OR(ISNUMBER(SEARCH("CTO",P31)),LEFT(O31,2)="22",LEFT(O31,2)="23",LEFT(O31,2)="24",LEFT(O31,2)="25",LEFT(O31,2)="26",LEFT(O31,2)="27")),MAX($AD$1:$AD$30)+1,"")</f>
        <v/>
      </c>
      <c r="AE31" s="69" t="str">
        <f aca="false">IF(AND(B31&lt;&gt;"",D31=CONSULTA_UNIDADE!$B$4),MAX($AE$1:$AE$30)+1,"")</f>
        <v/>
      </c>
      <c r="AF31" s="69" t="str">
        <f aca="false">IF(AND(B31&lt;&gt;"",O31&lt;&gt;"27 - Instalação concluída",O31&lt;&gt;"28 - Encerrado",ISNUMBER(S31)),S31*1000+(1000-ROW()),"")</f>
        <v/>
      </c>
      <c r="AG31" s="69" t="str">
        <f aca="false">IF(AF31="","",RANK(AF31,$AF$2:$AF$500))</f>
        <v/>
      </c>
    </row>
    <row r="32" customFormat="false" ht="16.5" hidden="false" customHeight="true" outlineLevel="0" collapsed="false">
      <c r="A32" s="86"/>
      <c r="B32" s="86"/>
      <c r="C32" s="87" t="str">
        <f aca="false">IF(D32="","",IFERROR(INDEX(CADASTRO_VIVO_3CRE!$B$2:$B$150,MATCH(D32,CADASTRO_VIVO_3CRE!$E$2:$E$150,0)),""))</f>
        <v/>
      </c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8"/>
      <c r="S32" s="89" t="str">
        <f aca="true">IF(R32="","",TODAY()-INT(R32))</f>
        <v/>
      </c>
      <c r="T32" s="86"/>
      <c r="U32" s="86"/>
      <c r="V32" s="86"/>
      <c r="W32" s="88"/>
      <c r="X32" s="89" t="str">
        <f aca="true">IF(W32="","",IF(OR(O32="28 - Encerrado",O32="27 - Instalação concluída"),"Concluído",TODAY()-INT(W32)))</f>
        <v/>
      </c>
      <c r="Y32" s="90" t="str">
        <f aca="false">IF(OR(O32="28 - Encerrado",O32="27 - Instalação concluída"),"OK",IF(AND(B32&lt;&gt;"",S32=""),"ATENÇÃO (Sem data de atualização)",IF(S32="","",IF(S32&gt;30,"CRÍTICO (Sem Atualização &gt;30 dias)",IF(S32&gt;15,"ATENÇÃO (Sem Atualização &gt;15 dias)",IF(X32&gt;90,"CRÍTICO (Aberto &gt;90 dias)","OK"))))))</f>
        <v/>
      </c>
      <c r="Z32" s="90" t="str">
        <f aca="false">IF(B32="","",IF(OR(O32="27 - Instalação concluída",O32="28 - Encerrado"),"OK",IF(NOT(ISNUMBER(X32)),"",IF(X32&gt;365,"MUITO ANTIGO (&gt;1 ano)",IF(X32&gt;180,"ANTIGO (&gt;6 meses)",IF(X32&gt;90,"ATENÇÃO ANTIG. (&gt;3 meses)","OK"))))))</f>
        <v/>
      </c>
      <c r="AA32" s="86"/>
      <c r="AB32" s="69" t="str">
        <f aca="false">IF(AND(B32&lt;&gt;"",OR(T32="Pendente de Vistoria",T32="Não validada")),MAX($AB$1:$AB$31)+1,"")</f>
        <v/>
      </c>
      <c r="AC32" s="69" t="str">
        <f aca="false">IF(AND(B32&lt;&gt;"",OR(ISNUMBER(SEARCH("CTIN",P32)),U32="Alta",O32="07 - Relatório recebido — unidade apta",O32="11 - Orçamentos em análise técnica",O32="22 - Instalação/substituição autorizada")),MAX($AC$1:$AC$31)+1,"")</f>
        <v/>
      </c>
      <c r="AD32" s="69" t="str">
        <f aca="false">IF(AND(B32&lt;&gt;"",OR(ISNUMBER(SEARCH("CTO",P32)),LEFT(O32,2)="22",LEFT(O32,2)="23",LEFT(O32,2)="24",LEFT(O32,2)="25",LEFT(O32,2)="26",LEFT(O32,2)="27")),MAX($AD$1:$AD$31)+1,"")</f>
        <v/>
      </c>
      <c r="AE32" s="69" t="str">
        <f aca="false">IF(AND(B32&lt;&gt;"",D32=CONSULTA_UNIDADE!$B$4),MAX($AE$1:$AE$31)+1,"")</f>
        <v/>
      </c>
      <c r="AF32" s="69" t="str">
        <f aca="false">IF(AND(B32&lt;&gt;"",O32&lt;&gt;"27 - Instalação concluída",O32&lt;&gt;"28 - Encerrado",ISNUMBER(S32)),S32*1000+(1000-ROW()),"")</f>
        <v/>
      </c>
      <c r="AG32" s="69" t="str">
        <f aca="false">IF(AF32="","",RANK(AF32,$AF$2:$AF$500))</f>
        <v/>
      </c>
    </row>
    <row r="33" customFormat="false" ht="16.5" hidden="false" customHeight="true" outlineLevel="0" collapsed="false">
      <c r="A33" s="86"/>
      <c r="B33" s="86"/>
      <c r="C33" s="87" t="str">
        <f aca="false">IF(D33="","",IFERROR(INDEX(CADASTRO_VIVO_3CRE!$B$2:$B$150,MATCH(D33,CADASTRO_VIVO_3CRE!$E$2:$E$150,0)),""))</f>
        <v/>
      </c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8"/>
      <c r="S33" s="89" t="str">
        <f aca="true">IF(R33="","",TODAY()-INT(R33))</f>
        <v/>
      </c>
      <c r="T33" s="86"/>
      <c r="U33" s="86"/>
      <c r="V33" s="86"/>
      <c r="W33" s="88"/>
      <c r="X33" s="89" t="str">
        <f aca="true">IF(W33="","",IF(OR(O33="28 - Encerrado",O33="27 - Instalação concluída"),"Concluído",TODAY()-INT(W33)))</f>
        <v/>
      </c>
      <c r="Y33" s="90" t="str">
        <f aca="false">IF(OR(O33="28 - Encerrado",O33="27 - Instalação concluída"),"OK",IF(AND(B33&lt;&gt;"",S33=""),"ATENÇÃO (Sem data de atualização)",IF(S33="","",IF(S33&gt;30,"CRÍTICO (Sem Atualização &gt;30 dias)",IF(S33&gt;15,"ATENÇÃO (Sem Atualização &gt;15 dias)",IF(X33&gt;90,"CRÍTICO (Aberto &gt;90 dias)","OK"))))))</f>
        <v/>
      </c>
      <c r="Z33" s="90" t="str">
        <f aca="false">IF(B33="","",IF(OR(O33="27 - Instalação concluída",O33="28 - Encerrado"),"OK",IF(NOT(ISNUMBER(X33)),"",IF(X33&gt;365,"MUITO ANTIGO (&gt;1 ano)",IF(X33&gt;180,"ANTIGO (&gt;6 meses)",IF(X33&gt;90,"ATENÇÃO ANTIG. (&gt;3 meses)","OK"))))))</f>
        <v/>
      </c>
      <c r="AA33" s="86"/>
      <c r="AB33" s="69" t="str">
        <f aca="false">IF(AND(B33&lt;&gt;"",OR(T33="Pendente de Vistoria",T33="Não validada")),MAX($AB$1:$AB$32)+1,"")</f>
        <v/>
      </c>
      <c r="AC33" s="69" t="str">
        <f aca="false">IF(AND(B33&lt;&gt;"",OR(ISNUMBER(SEARCH("CTIN",P33)),U33="Alta",O33="07 - Relatório recebido — unidade apta",O33="11 - Orçamentos em análise técnica",O33="22 - Instalação/substituição autorizada")),MAX($AC$1:$AC$32)+1,"")</f>
        <v/>
      </c>
      <c r="AD33" s="69" t="str">
        <f aca="false">IF(AND(B33&lt;&gt;"",OR(ISNUMBER(SEARCH("CTO",P33)),LEFT(O33,2)="22",LEFT(O33,2)="23",LEFT(O33,2)="24",LEFT(O33,2)="25",LEFT(O33,2)="26",LEFT(O33,2)="27")),MAX($AD$1:$AD$32)+1,"")</f>
        <v/>
      </c>
      <c r="AE33" s="69" t="str">
        <f aca="false">IF(AND(B33&lt;&gt;"",D33=CONSULTA_UNIDADE!$B$4),MAX($AE$1:$AE$32)+1,"")</f>
        <v/>
      </c>
      <c r="AF33" s="69" t="str">
        <f aca="false">IF(AND(B33&lt;&gt;"",O33&lt;&gt;"27 - Instalação concluída",O33&lt;&gt;"28 - Encerrado",ISNUMBER(S33)),S33*1000+(1000-ROW()),"")</f>
        <v/>
      </c>
      <c r="AG33" s="69" t="str">
        <f aca="false">IF(AF33="","",RANK(AF33,$AF$2:$AF$500))</f>
        <v/>
      </c>
    </row>
    <row r="34" customFormat="false" ht="16.5" hidden="false" customHeight="true" outlineLevel="0" collapsed="false">
      <c r="A34" s="86"/>
      <c r="B34" s="86"/>
      <c r="C34" s="87" t="str">
        <f aca="false">IF(D34="","",IFERROR(INDEX(CADASTRO_VIVO_3CRE!$B$2:$B$150,MATCH(D34,CADASTRO_VIVO_3CRE!$E$2:$E$150,0)),""))</f>
        <v/>
      </c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8"/>
      <c r="S34" s="89" t="str">
        <f aca="true">IF(R34="","",TODAY()-INT(R34))</f>
        <v/>
      </c>
      <c r="T34" s="86"/>
      <c r="U34" s="86"/>
      <c r="V34" s="86"/>
      <c r="W34" s="88"/>
      <c r="X34" s="89" t="str">
        <f aca="true">IF(W34="","",IF(OR(O34="28 - Encerrado",O34="27 - Instalação concluída"),"Concluído",TODAY()-INT(W34)))</f>
        <v/>
      </c>
      <c r="Y34" s="90" t="str">
        <f aca="false">IF(OR(O34="28 - Encerrado",O34="27 - Instalação concluída"),"OK",IF(AND(B34&lt;&gt;"",S34=""),"ATENÇÃO (Sem data de atualização)",IF(S34="","",IF(S34&gt;30,"CRÍTICO (Sem Atualização &gt;30 dias)",IF(S34&gt;15,"ATENÇÃO (Sem Atualização &gt;15 dias)",IF(X34&gt;90,"CRÍTICO (Aberto &gt;90 dias)","OK"))))))</f>
        <v/>
      </c>
      <c r="Z34" s="90" t="str">
        <f aca="false">IF(B34="","",IF(OR(O34="27 - Instalação concluída",O34="28 - Encerrado"),"OK",IF(NOT(ISNUMBER(X34)),"",IF(X34&gt;365,"MUITO ANTIGO (&gt;1 ano)",IF(X34&gt;180,"ANTIGO (&gt;6 meses)",IF(X34&gt;90,"ATENÇÃO ANTIG. (&gt;3 meses)","OK"))))))</f>
        <v/>
      </c>
      <c r="AA34" s="86"/>
      <c r="AB34" s="69" t="str">
        <f aca="false">IF(AND(B34&lt;&gt;"",OR(T34="Pendente de Vistoria",T34="Não validada")),MAX($AB$1:$AB$33)+1,"")</f>
        <v/>
      </c>
      <c r="AC34" s="69" t="str">
        <f aca="false">IF(AND(B34&lt;&gt;"",OR(ISNUMBER(SEARCH("CTIN",P34)),U34="Alta",O34="07 - Relatório recebido — unidade apta",O34="11 - Orçamentos em análise técnica",O34="22 - Instalação/substituição autorizada")),MAX($AC$1:$AC$33)+1,"")</f>
        <v/>
      </c>
      <c r="AD34" s="69" t="str">
        <f aca="false">IF(AND(B34&lt;&gt;"",OR(ISNUMBER(SEARCH("CTO",P34)),LEFT(O34,2)="22",LEFT(O34,2)="23",LEFT(O34,2)="24",LEFT(O34,2)="25",LEFT(O34,2)="26",LEFT(O34,2)="27")),MAX($AD$1:$AD$33)+1,"")</f>
        <v/>
      </c>
      <c r="AE34" s="69" t="str">
        <f aca="false">IF(AND(B34&lt;&gt;"",D34=CONSULTA_UNIDADE!$B$4),MAX($AE$1:$AE$33)+1,"")</f>
        <v/>
      </c>
      <c r="AF34" s="69" t="str">
        <f aca="false">IF(AND(B34&lt;&gt;"",O34&lt;&gt;"27 - Instalação concluída",O34&lt;&gt;"28 - Encerrado",ISNUMBER(S34)),S34*1000+(1000-ROW()),"")</f>
        <v/>
      </c>
      <c r="AG34" s="69" t="str">
        <f aca="false">IF(AF34="","",RANK(AF34,$AF$2:$AF$500))</f>
        <v/>
      </c>
    </row>
    <row r="35" customFormat="false" ht="16.5" hidden="false" customHeight="true" outlineLevel="0" collapsed="false">
      <c r="A35" s="86"/>
      <c r="B35" s="86"/>
      <c r="C35" s="87" t="str">
        <f aca="false">IF(D35="","",IFERROR(INDEX(CADASTRO_VIVO_3CRE!$B$2:$B$150,MATCH(D35,CADASTRO_VIVO_3CRE!$E$2:$E$150,0)),""))</f>
        <v/>
      </c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8"/>
      <c r="S35" s="89" t="str">
        <f aca="true">IF(R35="","",TODAY()-INT(R35))</f>
        <v/>
      </c>
      <c r="T35" s="86"/>
      <c r="U35" s="86"/>
      <c r="V35" s="86"/>
      <c r="W35" s="88"/>
      <c r="X35" s="89" t="str">
        <f aca="true">IF(W35="","",IF(OR(O35="28 - Encerrado",O35="27 - Instalação concluída"),"Concluído",TODAY()-INT(W35)))</f>
        <v/>
      </c>
      <c r="Y35" s="90" t="str">
        <f aca="false">IF(OR(O35="28 - Encerrado",O35="27 - Instalação concluída"),"OK",IF(AND(B35&lt;&gt;"",S35=""),"ATENÇÃO (Sem data de atualização)",IF(S35="","",IF(S35&gt;30,"CRÍTICO (Sem Atualização &gt;30 dias)",IF(S35&gt;15,"ATENÇÃO (Sem Atualização &gt;15 dias)",IF(X35&gt;90,"CRÍTICO (Aberto &gt;90 dias)","OK"))))))</f>
        <v/>
      </c>
      <c r="Z35" s="90" t="str">
        <f aca="false">IF(B35="","",IF(OR(O35="27 - Instalação concluída",O35="28 - Encerrado"),"OK",IF(NOT(ISNUMBER(X35)),"",IF(X35&gt;365,"MUITO ANTIGO (&gt;1 ano)",IF(X35&gt;180,"ANTIGO (&gt;6 meses)",IF(X35&gt;90,"ATENÇÃO ANTIG. (&gt;3 meses)","OK"))))))</f>
        <v/>
      </c>
      <c r="AA35" s="86"/>
      <c r="AB35" s="69" t="str">
        <f aca="false">IF(AND(B35&lt;&gt;"",OR(T35="Pendente de Vistoria",T35="Não validada")),MAX($AB$1:$AB$34)+1,"")</f>
        <v/>
      </c>
      <c r="AC35" s="69" t="str">
        <f aca="false">IF(AND(B35&lt;&gt;"",OR(ISNUMBER(SEARCH("CTIN",P35)),U35="Alta",O35="07 - Relatório recebido — unidade apta",O35="11 - Orçamentos em análise técnica",O35="22 - Instalação/substituição autorizada")),MAX($AC$1:$AC$34)+1,"")</f>
        <v/>
      </c>
      <c r="AD35" s="69" t="str">
        <f aca="false">IF(AND(B35&lt;&gt;"",OR(ISNUMBER(SEARCH("CTO",P35)),LEFT(O35,2)="22",LEFT(O35,2)="23",LEFT(O35,2)="24",LEFT(O35,2)="25",LEFT(O35,2)="26",LEFT(O35,2)="27")),MAX($AD$1:$AD$34)+1,"")</f>
        <v/>
      </c>
      <c r="AE35" s="69" t="str">
        <f aca="false">IF(AND(B35&lt;&gt;"",D35=CONSULTA_UNIDADE!$B$4),MAX($AE$1:$AE$34)+1,"")</f>
        <v/>
      </c>
      <c r="AF35" s="69" t="str">
        <f aca="false">IF(AND(B35&lt;&gt;"",O35&lt;&gt;"27 - Instalação concluída",O35&lt;&gt;"28 - Encerrado",ISNUMBER(S35)),S35*1000+(1000-ROW()),"")</f>
        <v/>
      </c>
      <c r="AG35" s="69" t="str">
        <f aca="false">IF(AF35="","",RANK(AF35,$AF$2:$AF$500))</f>
        <v/>
      </c>
    </row>
    <row r="36" customFormat="false" ht="16.5" hidden="false" customHeight="true" outlineLevel="0" collapsed="false">
      <c r="A36" s="86"/>
      <c r="B36" s="86"/>
      <c r="C36" s="87" t="str">
        <f aca="false">IF(D36="","",IFERROR(INDEX(CADASTRO_VIVO_3CRE!$B$2:$B$150,MATCH(D36,CADASTRO_VIVO_3CRE!$E$2:$E$150,0)),""))</f>
        <v/>
      </c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8"/>
      <c r="S36" s="89" t="str">
        <f aca="true">IF(R36="","",TODAY()-INT(R36))</f>
        <v/>
      </c>
      <c r="T36" s="86"/>
      <c r="U36" s="86"/>
      <c r="V36" s="86"/>
      <c r="W36" s="88"/>
      <c r="X36" s="89" t="str">
        <f aca="true">IF(W36="","",IF(OR(O36="28 - Encerrado",O36="27 - Instalação concluída"),"Concluído",TODAY()-INT(W36)))</f>
        <v/>
      </c>
      <c r="Y36" s="90" t="str">
        <f aca="false">IF(OR(O36="28 - Encerrado",O36="27 - Instalação concluída"),"OK",IF(AND(B36&lt;&gt;"",S36=""),"ATENÇÃO (Sem data de atualização)",IF(S36="","",IF(S36&gt;30,"CRÍTICO (Sem Atualização &gt;30 dias)",IF(S36&gt;15,"ATENÇÃO (Sem Atualização &gt;15 dias)",IF(X36&gt;90,"CRÍTICO (Aberto &gt;90 dias)","OK"))))))</f>
        <v/>
      </c>
      <c r="Z36" s="90" t="str">
        <f aca="false">IF(B36="","",IF(OR(O36="27 - Instalação concluída",O36="28 - Encerrado"),"OK",IF(NOT(ISNUMBER(X36)),"",IF(X36&gt;365,"MUITO ANTIGO (&gt;1 ano)",IF(X36&gt;180,"ANTIGO (&gt;6 meses)",IF(X36&gt;90,"ATENÇÃO ANTIG. (&gt;3 meses)","OK"))))))</f>
        <v/>
      </c>
      <c r="AA36" s="86"/>
      <c r="AB36" s="69" t="str">
        <f aca="false">IF(AND(B36&lt;&gt;"",OR(T36="Pendente de Vistoria",T36="Não validada")),MAX($AB$1:$AB$35)+1,"")</f>
        <v/>
      </c>
      <c r="AC36" s="69" t="str">
        <f aca="false">IF(AND(B36&lt;&gt;"",OR(ISNUMBER(SEARCH("CTIN",P36)),U36="Alta",O36="07 - Relatório recebido — unidade apta",O36="11 - Orçamentos em análise técnica",O36="22 - Instalação/substituição autorizada")),MAX($AC$1:$AC$35)+1,"")</f>
        <v/>
      </c>
      <c r="AD36" s="69" t="str">
        <f aca="false">IF(AND(B36&lt;&gt;"",OR(ISNUMBER(SEARCH("CTO",P36)),LEFT(O36,2)="22",LEFT(O36,2)="23",LEFT(O36,2)="24",LEFT(O36,2)="25",LEFT(O36,2)="26",LEFT(O36,2)="27")),MAX($AD$1:$AD$35)+1,"")</f>
        <v/>
      </c>
      <c r="AE36" s="69" t="str">
        <f aca="false">IF(AND(B36&lt;&gt;"",D36=CONSULTA_UNIDADE!$B$4),MAX($AE$1:$AE$35)+1,"")</f>
        <v/>
      </c>
      <c r="AF36" s="69" t="str">
        <f aca="false">IF(AND(B36&lt;&gt;"",O36&lt;&gt;"27 - Instalação concluída",O36&lt;&gt;"28 - Encerrado",ISNUMBER(S36)),S36*1000+(1000-ROW()),"")</f>
        <v/>
      </c>
      <c r="AG36" s="69" t="str">
        <f aca="false">IF(AF36="","",RANK(AF36,$AF$2:$AF$500))</f>
        <v/>
      </c>
    </row>
    <row r="37" customFormat="false" ht="16.5" hidden="false" customHeight="true" outlineLevel="0" collapsed="false">
      <c r="A37" s="86"/>
      <c r="B37" s="86"/>
      <c r="C37" s="87" t="str">
        <f aca="false">IF(D37="","",IFERROR(INDEX(CADASTRO_VIVO_3CRE!$B$2:$B$150,MATCH(D37,CADASTRO_VIVO_3CRE!$E$2:$E$150,0)),""))</f>
        <v/>
      </c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8"/>
      <c r="S37" s="89" t="str">
        <f aca="true">IF(R37="","",TODAY()-INT(R37))</f>
        <v/>
      </c>
      <c r="T37" s="86"/>
      <c r="U37" s="86"/>
      <c r="V37" s="86"/>
      <c r="W37" s="88"/>
      <c r="X37" s="89" t="str">
        <f aca="true">IF(W37="","",IF(OR(O37="28 - Encerrado",O37="27 - Instalação concluída"),"Concluído",TODAY()-INT(W37)))</f>
        <v/>
      </c>
      <c r="Y37" s="90" t="str">
        <f aca="false">IF(OR(O37="28 - Encerrado",O37="27 - Instalação concluída"),"OK",IF(AND(B37&lt;&gt;"",S37=""),"ATENÇÃO (Sem data de atualização)",IF(S37="","",IF(S37&gt;30,"CRÍTICO (Sem Atualização &gt;30 dias)",IF(S37&gt;15,"ATENÇÃO (Sem Atualização &gt;15 dias)",IF(X37&gt;90,"CRÍTICO (Aberto &gt;90 dias)","OK"))))))</f>
        <v/>
      </c>
      <c r="Z37" s="90" t="str">
        <f aca="false">IF(B37="","",IF(OR(O37="27 - Instalação concluída",O37="28 - Encerrado"),"OK",IF(NOT(ISNUMBER(X37)),"",IF(X37&gt;365,"MUITO ANTIGO (&gt;1 ano)",IF(X37&gt;180,"ANTIGO (&gt;6 meses)",IF(X37&gt;90,"ATENÇÃO ANTIG. (&gt;3 meses)","OK"))))))</f>
        <v/>
      </c>
      <c r="AA37" s="86"/>
      <c r="AB37" s="69" t="str">
        <f aca="false">IF(AND(B37&lt;&gt;"",OR(T37="Pendente de Vistoria",T37="Não validada")),MAX($AB$1:$AB$36)+1,"")</f>
        <v/>
      </c>
      <c r="AC37" s="69" t="str">
        <f aca="false">IF(AND(B37&lt;&gt;"",OR(ISNUMBER(SEARCH("CTIN",P37)),U37="Alta",O37="07 - Relatório recebido — unidade apta",O37="11 - Orçamentos em análise técnica",O37="22 - Instalação/substituição autorizada")),MAX($AC$1:$AC$36)+1,"")</f>
        <v/>
      </c>
      <c r="AD37" s="69" t="str">
        <f aca="false">IF(AND(B37&lt;&gt;"",OR(ISNUMBER(SEARCH("CTO",P37)),LEFT(O37,2)="22",LEFT(O37,2)="23",LEFT(O37,2)="24",LEFT(O37,2)="25",LEFT(O37,2)="26",LEFT(O37,2)="27")),MAX($AD$1:$AD$36)+1,"")</f>
        <v/>
      </c>
      <c r="AE37" s="69" t="str">
        <f aca="false">IF(AND(B37&lt;&gt;"",D37=CONSULTA_UNIDADE!$B$4),MAX($AE$1:$AE$36)+1,"")</f>
        <v/>
      </c>
      <c r="AF37" s="69" t="str">
        <f aca="false">IF(AND(B37&lt;&gt;"",O37&lt;&gt;"27 - Instalação concluída",O37&lt;&gt;"28 - Encerrado",ISNUMBER(S37)),S37*1000+(1000-ROW()),"")</f>
        <v/>
      </c>
      <c r="AG37" s="69" t="str">
        <f aca="false">IF(AF37="","",RANK(AF37,$AF$2:$AF$500))</f>
        <v/>
      </c>
    </row>
    <row r="38" customFormat="false" ht="16.5" hidden="false" customHeight="true" outlineLevel="0" collapsed="false">
      <c r="A38" s="86"/>
      <c r="B38" s="86"/>
      <c r="C38" s="87" t="str">
        <f aca="false">IF(D38="","",IFERROR(INDEX(CADASTRO_VIVO_3CRE!$B$2:$B$150,MATCH(D38,CADASTRO_VIVO_3CRE!$E$2:$E$150,0)),""))</f>
        <v/>
      </c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8"/>
      <c r="S38" s="89" t="str">
        <f aca="true">IF(R38="","",TODAY()-INT(R38))</f>
        <v/>
      </c>
      <c r="T38" s="86"/>
      <c r="U38" s="86"/>
      <c r="V38" s="86"/>
      <c r="W38" s="88"/>
      <c r="X38" s="89" t="str">
        <f aca="true">IF(W38="","",IF(OR(O38="28 - Encerrado",O38="27 - Instalação concluída"),"Concluído",TODAY()-INT(W38)))</f>
        <v/>
      </c>
      <c r="Y38" s="90" t="str">
        <f aca="false">IF(OR(O38="28 - Encerrado",O38="27 - Instalação concluída"),"OK",IF(AND(B38&lt;&gt;"",S38=""),"ATENÇÃO (Sem data de atualização)",IF(S38="","",IF(S38&gt;30,"CRÍTICO (Sem Atualização &gt;30 dias)",IF(S38&gt;15,"ATENÇÃO (Sem Atualização &gt;15 dias)",IF(X38&gt;90,"CRÍTICO (Aberto &gt;90 dias)","OK"))))))</f>
        <v/>
      </c>
      <c r="Z38" s="90" t="str">
        <f aca="false">IF(B38="","",IF(OR(O38="27 - Instalação concluída",O38="28 - Encerrado"),"OK",IF(NOT(ISNUMBER(X38)),"",IF(X38&gt;365,"MUITO ANTIGO (&gt;1 ano)",IF(X38&gt;180,"ANTIGO (&gt;6 meses)",IF(X38&gt;90,"ATENÇÃO ANTIG. (&gt;3 meses)","OK"))))))</f>
        <v/>
      </c>
      <c r="AA38" s="86"/>
      <c r="AB38" s="69" t="str">
        <f aca="false">IF(AND(B38&lt;&gt;"",OR(T38="Pendente de Vistoria",T38="Não validada")),MAX($AB$1:$AB$37)+1,"")</f>
        <v/>
      </c>
      <c r="AC38" s="69" t="str">
        <f aca="false">IF(AND(B38&lt;&gt;"",OR(ISNUMBER(SEARCH("CTIN",P38)),U38="Alta",O38="07 - Relatório recebido — unidade apta",O38="11 - Orçamentos em análise técnica",O38="22 - Instalação/substituição autorizada")),MAX($AC$1:$AC$37)+1,"")</f>
        <v/>
      </c>
      <c r="AD38" s="69" t="str">
        <f aca="false">IF(AND(B38&lt;&gt;"",OR(ISNUMBER(SEARCH("CTO",P38)),LEFT(O38,2)="22",LEFT(O38,2)="23",LEFT(O38,2)="24",LEFT(O38,2)="25",LEFT(O38,2)="26",LEFT(O38,2)="27")),MAX($AD$1:$AD$37)+1,"")</f>
        <v/>
      </c>
      <c r="AE38" s="69" t="str">
        <f aca="false">IF(AND(B38&lt;&gt;"",D38=CONSULTA_UNIDADE!$B$4),MAX($AE$1:$AE$37)+1,"")</f>
        <v/>
      </c>
      <c r="AF38" s="69" t="str">
        <f aca="false">IF(AND(B38&lt;&gt;"",O38&lt;&gt;"27 - Instalação concluída",O38&lt;&gt;"28 - Encerrado",ISNUMBER(S38)),S38*1000+(1000-ROW()),"")</f>
        <v/>
      </c>
      <c r="AG38" s="69" t="str">
        <f aca="false">IF(AF38="","",RANK(AF38,$AF$2:$AF$500))</f>
        <v/>
      </c>
    </row>
    <row r="39" customFormat="false" ht="16.5" hidden="false" customHeight="true" outlineLevel="0" collapsed="false">
      <c r="A39" s="86"/>
      <c r="B39" s="86"/>
      <c r="C39" s="87" t="str">
        <f aca="false">IF(D39="","",IFERROR(INDEX(CADASTRO_VIVO_3CRE!$B$2:$B$150,MATCH(D39,CADASTRO_VIVO_3CRE!$E$2:$E$150,0)),""))</f>
        <v/>
      </c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8"/>
      <c r="S39" s="89" t="str">
        <f aca="true">IF(R39="","",TODAY()-INT(R39))</f>
        <v/>
      </c>
      <c r="T39" s="86"/>
      <c r="U39" s="86"/>
      <c r="V39" s="86"/>
      <c r="W39" s="88"/>
      <c r="X39" s="89" t="str">
        <f aca="true">IF(W39="","",IF(OR(O39="28 - Encerrado",O39="27 - Instalação concluída"),"Concluído",TODAY()-INT(W39)))</f>
        <v/>
      </c>
      <c r="Y39" s="90" t="str">
        <f aca="false">IF(OR(O39="28 - Encerrado",O39="27 - Instalação concluída"),"OK",IF(AND(B39&lt;&gt;"",S39=""),"ATENÇÃO (Sem data de atualização)",IF(S39="","",IF(S39&gt;30,"CRÍTICO (Sem Atualização &gt;30 dias)",IF(S39&gt;15,"ATENÇÃO (Sem Atualização &gt;15 dias)",IF(X39&gt;90,"CRÍTICO (Aberto &gt;90 dias)","OK"))))))</f>
        <v/>
      </c>
      <c r="Z39" s="90" t="str">
        <f aca="false">IF(B39="","",IF(OR(O39="27 - Instalação concluída",O39="28 - Encerrado"),"OK",IF(NOT(ISNUMBER(X39)),"",IF(X39&gt;365,"MUITO ANTIGO (&gt;1 ano)",IF(X39&gt;180,"ANTIGO (&gt;6 meses)",IF(X39&gt;90,"ATENÇÃO ANTIG. (&gt;3 meses)","OK"))))))</f>
        <v/>
      </c>
      <c r="AA39" s="86"/>
      <c r="AB39" s="69" t="str">
        <f aca="false">IF(AND(B39&lt;&gt;"",OR(T39="Pendente de Vistoria",T39="Não validada")),MAX($AB$1:$AB$38)+1,"")</f>
        <v/>
      </c>
      <c r="AC39" s="69" t="str">
        <f aca="false">IF(AND(B39&lt;&gt;"",OR(ISNUMBER(SEARCH("CTIN",P39)),U39="Alta",O39="07 - Relatório recebido — unidade apta",O39="11 - Orçamentos em análise técnica",O39="22 - Instalação/substituição autorizada")),MAX($AC$1:$AC$38)+1,"")</f>
        <v/>
      </c>
      <c r="AD39" s="69" t="str">
        <f aca="false">IF(AND(B39&lt;&gt;"",OR(ISNUMBER(SEARCH("CTO",P39)),LEFT(O39,2)="22",LEFT(O39,2)="23",LEFT(O39,2)="24",LEFT(O39,2)="25",LEFT(O39,2)="26",LEFT(O39,2)="27")),MAX($AD$1:$AD$38)+1,"")</f>
        <v/>
      </c>
      <c r="AE39" s="69" t="str">
        <f aca="false">IF(AND(B39&lt;&gt;"",D39=CONSULTA_UNIDADE!$B$4),MAX($AE$1:$AE$38)+1,"")</f>
        <v/>
      </c>
      <c r="AF39" s="69" t="str">
        <f aca="false">IF(AND(B39&lt;&gt;"",O39&lt;&gt;"27 - Instalação concluída",O39&lt;&gt;"28 - Encerrado",ISNUMBER(S39)),S39*1000+(1000-ROW()),"")</f>
        <v/>
      </c>
      <c r="AG39" s="69" t="str">
        <f aca="false">IF(AF39="","",RANK(AF39,$AF$2:$AF$500))</f>
        <v/>
      </c>
    </row>
    <row r="40" customFormat="false" ht="16.5" hidden="false" customHeight="true" outlineLevel="0" collapsed="false">
      <c r="A40" s="86"/>
      <c r="B40" s="86"/>
      <c r="C40" s="87" t="str">
        <f aca="false">IF(D40="","",IFERROR(INDEX(CADASTRO_VIVO_3CRE!$B$2:$B$150,MATCH(D40,CADASTRO_VIVO_3CRE!$E$2:$E$150,0)),""))</f>
        <v/>
      </c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8"/>
      <c r="S40" s="89" t="str">
        <f aca="true">IF(R40="","",TODAY()-INT(R40))</f>
        <v/>
      </c>
      <c r="T40" s="86"/>
      <c r="U40" s="86"/>
      <c r="V40" s="86"/>
      <c r="W40" s="88"/>
      <c r="X40" s="89" t="str">
        <f aca="true">IF(W40="","",IF(OR(O40="28 - Encerrado",O40="27 - Instalação concluída"),"Concluído",TODAY()-INT(W40)))</f>
        <v/>
      </c>
      <c r="Y40" s="90" t="str">
        <f aca="false">IF(OR(O40="28 - Encerrado",O40="27 - Instalação concluída"),"OK",IF(AND(B40&lt;&gt;"",S40=""),"ATENÇÃO (Sem data de atualização)",IF(S40="","",IF(S40&gt;30,"CRÍTICO (Sem Atualização &gt;30 dias)",IF(S40&gt;15,"ATENÇÃO (Sem Atualização &gt;15 dias)",IF(X40&gt;90,"CRÍTICO (Aberto &gt;90 dias)","OK"))))))</f>
        <v/>
      </c>
      <c r="Z40" s="90" t="str">
        <f aca="false">IF(B40="","",IF(OR(O40="27 - Instalação concluída",O40="28 - Encerrado"),"OK",IF(NOT(ISNUMBER(X40)),"",IF(X40&gt;365,"MUITO ANTIGO (&gt;1 ano)",IF(X40&gt;180,"ANTIGO (&gt;6 meses)",IF(X40&gt;90,"ATENÇÃO ANTIG. (&gt;3 meses)","OK"))))))</f>
        <v/>
      </c>
      <c r="AA40" s="86"/>
      <c r="AB40" s="69" t="str">
        <f aca="false">IF(AND(B40&lt;&gt;"",OR(T40="Pendente de Vistoria",T40="Não validada")),MAX($AB$1:$AB$39)+1,"")</f>
        <v/>
      </c>
      <c r="AC40" s="69" t="str">
        <f aca="false">IF(AND(B40&lt;&gt;"",OR(ISNUMBER(SEARCH("CTIN",P40)),U40="Alta",O40="07 - Relatório recebido — unidade apta",O40="11 - Orçamentos em análise técnica",O40="22 - Instalação/substituição autorizada")),MAX($AC$1:$AC$39)+1,"")</f>
        <v/>
      </c>
      <c r="AD40" s="69" t="str">
        <f aca="false">IF(AND(B40&lt;&gt;"",OR(ISNUMBER(SEARCH("CTO",P40)),LEFT(O40,2)="22",LEFT(O40,2)="23",LEFT(O40,2)="24",LEFT(O40,2)="25",LEFT(O40,2)="26",LEFT(O40,2)="27")),MAX($AD$1:$AD$39)+1,"")</f>
        <v/>
      </c>
      <c r="AE40" s="69" t="str">
        <f aca="false">IF(AND(B40&lt;&gt;"",D40=CONSULTA_UNIDADE!$B$4),MAX($AE$1:$AE$39)+1,"")</f>
        <v/>
      </c>
      <c r="AF40" s="69" t="str">
        <f aca="false">IF(AND(B40&lt;&gt;"",O40&lt;&gt;"27 - Instalação concluída",O40&lt;&gt;"28 - Encerrado",ISNUMBER(S40)),S40*1000+(1000-ROW()),"")</f>
        <v/>
      </c>
      <c r="AG40" s="69" t="str">
        <f aca="false">IF(AF40="","",RANK(AF40,$AF$2:$AF$500))</f>
        <v/>
      </c>
    </row>
    <row r="41" customFormat="false" ht="16.5" hidden="false" customHeight="true" outlineLevel="0" collapsed="false">
      <c r="A41" s="86"/>
      <c r="B41" s="86"/>
      <c r="C41" s="87" t="str">
        <f aca="false">IF(D41="","",IFERROR(INDEX(CADASTRO_VIVO_3CRE!$B$2:$B$150,MATCH(D41,CADASTRO_VIVO_3CRE!$E$2:$E$150,0)),""))</f>
        <v/>
      </c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8"/>
      <c r="S41" s="89" t="str">
        <f aca="true">IF(R41="","",TODAY()-INT(R41))</f>
        <v/>
      </c>
      <c r="T41" s="86"/>
      <c r="U41" s="86"/>
      <c r="V41" s="86"/>
      <c r="W41" s="88"/>
      <c r="X41" s="89" t="str">
        <f aca="true">IF(W41="","",IF(OR(O41="28 - Encerrado",O41="27 - Instalação concluída"),"Concluído",TODAY()-INT(W41)))</f>
        <v/>
      </c>
      <c r="Y41" s="90" t="str">
        <f aca="false">IF(OR(O41="28 - Encerrado",O41="27 - Instalação concluída"),"OK",IF(AND(B41&lt;&gt;"",S41=""),"ATENÇÃO (Sem data de atualização)",IF(S41="","",IF(S41&gt;30,"CRÍTICO (Sem Atualização &gt;30 dias)",IF(S41&gt;15,"ATENÇÃO (Sem Atualização &gt;15 dias)",IF(X41&gt;90,"CRÍTICO (Aberto &gt;90 dias)","OK"))))))</f>
        <v/>
      </c>
      <c r="Z41" s="90" t="str">
        <f aca="false">IF(B41="","",IF(OR(O41="27 - Instalação concluída",O41="28 - Encerrado"),"OK",IF(NOT(ISNUMBER(X41)),"",IF(X41&gt;365,"MUITO ANTIGO (&gt;1 ano)",IF(X41&gt;180,"ANTIGO (&gt;6 meses)",IF(X41&gt;90,"ATENÇÃO ANTIG. (&gt;3 meses)","OK"))))))</f>
        <v/>
      </c>
      <c r="AA41" s="86"/>
      <c r="AB41" s="69" t="str">
        <f aca="false">IF(AND(B41&lt;&gt;"",OR(T41="Pendente de Vistoria",T41="Não validada")),MAX($AB$1:$AB$40)+1,"")</f>
        <v/>
      </c>
      <c r="AC41" s="69" t="str">
        <f aca="false">IF(AND(B41&lt;&gt;"",OR(ISNUMBER(SEARCH("CTIN",P41)),U41="Alta",O41="07 - Relatório recebido — unidade apta",O41="11 - Orçamentos em análise técnica",O41="22 - Instalação/substituição autorizada")),MAX($AC$1:$AC$40)+1,"")</f>
        <v/>
      </c>
      <c r="AD41" s="69" t="str">
        <f aca="false">IF(AND(B41&lt;&gt;"",OR(ISNUMBER(SEARCH("CTO",P41)),LEFT(O41,2)="22",LEFT(O41,2)="23",LEFT(O41,2)="24",LEFT(O41,2)="25",LEFT(O41,2)="26",LEFT(O41,2)="27")),MAX($AD$1:$AD$40)+1,"")</f>
        <v/>
      </c>
      <c r="AE41" s="69" t="str">
        <f aca="false">IF(AND(B41&lt;&gt;"",D41=CONSULTA_UNIDADE!$B$4),MAX($AE$1:$AE$40)+1,"")</f>
        <v/>
      </c>
      <c r="AF41" s="69" t="str">
        <f aca="false">IF(AND(B41&lt;&gt;"",O41&lt;&gt;"27 - Instalação concluída",O41&lt;&gt;"28 - Encerrado",ISNUMBER(S41)),S41*1000+(1000-ROW()),"")</f>
        <v/>
      </c>
      <c r="AG41" s="69" t="str">
        <f aca="false">IF(AF41="","",RANK(AF41,$AF$2:$AF$500))</f>
        <v/>
      </c>
    </row>
    <row r="42" customFormat="false" ht="16.5" hidden="false" customHeight="true" outlineLevel="0" collapsed="false">
      <c r="A42" s="86"/>
      <c r="B42" s="86"/>
      <c r="C42" s="87" t="str">
        <f aca="false">IF(D42="","",IFERROR(INDEX(CADASTRO_VIVO_3CRE!$B$2:$B$150,MATCH(D42,CADASTRO_VIVO_3CRE!$E$2:$E$150,0)),""))</f>
        <v/>
      </c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8"/>
      <c r="S42" s="89" t="str">
        <f aca="true">IF(R42="","",TODAY()-INT(R42))</f>
        <v/>
      </c>
      <c r="T42" s="86"/>
      <c r="U42" s="86"/>
      <c r="V42" s="86"/>
      <c r="W42" s="88"/>
      <c r="X42" s="89" t="str">
        <f aca="true">IF(W42="","",IF(OR(O42="28 - Encerrado",O42="27 - Instalação concluída"),"Concluído",TODAY()-INT(W42)))</f>
        <v/>
      </c>
      <c r="Y42" s="90" t="str">
        <f aca="false">IF(OR(O42="28 - Encerrado",O42="27 - Instalação concluída"),"OK",IF(AND(B42&lt;&gt;"",S42=""),"ATENÇÃO (Sem data de atualização)",IF(S42="","",IF(S42&gt;30,"CRÍTICO (Sem Atualização &gt;30 dias)",IF(S42&gt;15,"ATENÇÃO (Sem Atualização &gt;15 dias)",IF(X42&gt;90,"CRÍTICO (Aberto &gt;90 dias)","OK"))))))</f>
        <v/>
      </c>
      <c r="Z42" s="90" t="str">
        <f aca="false">IF(B42="","",IF(OR(O42="27 - Instalação concluída",O42="28 - Encerrado"),"OK",IF(NOT(ISNUMBER(X42)),"",IF(X42&gt;365,"MUITO ANTIGO (&gt;1 ano)",IF(X42&gt;180,"ANTIGO (&gt;6 meses)",IF(X42&gt;90,"ATENÇÃO ANTIG. (&gt;3 meses)","OK"))))))</f>
        <v/>
      </c>
      <c r="AA42" s="86"/>
      <c r="AB42" s="69" t="str">
        <f aca="false">IF(AND(B42&lt;&gt;"",OR(T42="Pendente de Vistoria",T42="Não validada")),MAX($AB$1:$AB$41)+1,"")</f>
        <v/>
      </c>
      <c r="AC42" s="69" t="str">
        <f aca="false">IF(AND(B42&lt;&gt;"",OR(ISNUMBER(SEARCH("CTIN",P42)),U42="Alta",O42="07 - Relatório recebido — unidade apta",O42="11 - Orçamentos em análise técnica",O42="22 - Instalação/substituição autorizada")),MAX($AC$1:$AC$41)+1,"")</f>
        <v/>
      </c>
      <c r="AD42" s="69" t="str">
        <f aca="false">IF(AND(B42&lt;&gt;"",OR(ISNUMBER(SEARCH("CTO",P42)),LEFT(O42,2)="22",LEFT(O42,2)="23",LEFT(O42,2)="24",LEFT(O42,2)="25",LEFT(O42,2)="26",LEFT(O42,2)="27")),MAX($AD$1:$AD$41)+1,"")</f>
        <v/>
      </c>
      <c r="AE42" s="69" t="str">
        <f aca="false">IF(AND(B42&lt;&gt;"",D42=CONSULTA_UNIDADE!$B$4),MAX($AE$1:$AE$41)+1,"")</f>
        <v/>
      </c>
      <c r="AF42" s="69" t="str">
        <f aca="false">IF(AND(B42&lt;&gt;"",O42&lt;&gt;"27 - Instalação concluída",O42&lt;&gt;"28 - Encerrado",ISNUMBER(S42)),S42*1000+(1000-ROW()),"")</f>
        <v/>
      </c>
      <c r="AG42" s="69" t="str">
        <f aca="false">IF(AF42="","",RANK(AF42,$AF$2:$AF$500))</f>
        <v/>
      </c>
    </row>
    <row r="43" customFormat="false" ht="16.5" hidden="false" customHeight="true" outlineLevel="0" collapsed="false">
      <c r="A43" s="86"/>
      <c r="B43" s="86"/>
      <c r="C43" s="87" t="str">
        <f aca="false">IF(D43="","",IFERROR(INDEX(CADASTRO_VIVO_3CRE!$B$2:$B$150,MATCH(D43,CADASTRO_VIVO_3CRE!$E$2:$E$150,0)),""))</f>
        <v/>
      </c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8"/>
      <c r="S43" s="89" t="str">
        <f aca="true">IF(R43="","",TODAY()-INT(R43))</f>
        <v/>
      </c>
      <c r="T43" s="86"/>
      <c r="U43" s="86"/>
      <c r="V43" s="86"/>
      <c r="W43" s="88"/>
      <c r="X43" s="89" t="str">
        <f aca="true">IF(W43="","",IF(OR(O43="28 - Encerrado",O43="27 - Instalação concluída"),"Concluído",TODAY()-INT(W43)))</f>
        <v/>
      </c>
      <c r="Y43" s="90" t="str">
        <f aca="false">IF(OR(O43="28 - Encerrado",O43="27 - Instalação concluída"),"OK",IF(AND(B43&lt;&gt;"",S43=""),"ATENÇÃO (Sem data de atualização)",IF(S43="","",IF(S43&gt;30,"CRÍTICO (Sem Atualização &gt;30 dias)",IF(S43&gt;15,"ATENÇÃO (Sem Atualização &gt;15 dias)",IF(X43&gt;90,"CRÍTICO (Aberto &gt;90 dias)","OK"))))))</f>
        <v/>
      </c>
      <c r="Z43" s="90" t="str">
        <f aca="false">IF(B43="","",IF(OR(O43="27 - Instalação concluída",O43="28 - Encerrado"),"OK",IF(NOT(ISNUMBER(X43)),"",IF(X43&gt;365,"MUITO ANTIGO (&gt;1 ano)",IF(X43&gt;180,"ANTIGO (&gt;6 meses)",IF(X43&gt;90,"ATENÇÃO ANTIG. (&gt;3 meses)","OK"))))))</f>
        <v/>
      </c>
      <c r="AA43" s="86"/>
      <c r="AB43" s="69" t="str">
        <f aca="false">IF(AND(B43&lt;&gt;"",OR(T43="Pendente de Vistoria",T43="Não validada")),MAX($AB$1:$AB$42)+1,"")</f>
        <v/>
      </c>
      <c r="AC43" s="69" t="str">
        <f aca="false">IF(AND(B43&lt;&gt;"",OR(ISNUMBER(SEARCH("CTIN",P43)),U43="Alta",O43="07 - Relatório recebido — unidade apta",O43="11 - Orçamentos em análise técnica",O43="22 - Instalação/substituição autorizada")),MAX($AC$1:$AC$42)+1,"")</f>
        <v/>
      </c>
      <c r="AD43" s="69" t="str">
        <f aca="false">IF(AND(B43&lt;&gt;"",OR(ISNUMBER(SEARCH("CTO",P43)),LEFT(O43,2)="22",LEFT(O43,2)="23",LEFT(O43,2)="24",LEFT(O43,2)="25",LEFT(O43,2)="26",LEFT(O43,2)="27")),MAX($AD$1:$AD$42)+1,"")</f>
        <v/>
      </c>
      <c r="AE43" s="69" t="str">
        <f aca="false">IF(AND(B43&lt;&gt;"",D43=CONSULTA_UNIDADE!$B$4),MAX($AE$1:$AE$42)+1,"")</f>
        <v/>
      </c>
      <c r="AF43" s="69" t="str">
        <f aca="false">IF(AND(B43&lt;&gt;"",O43&lt;&gt;"27 - Instalação concluída",O43&lt;&gt;"28 - Encerrado",ISNUMBER(S43)),S43*1000+(1000-ROW()),"")</f>
        <v/>
      </c>
      <c r="AG43" s="69" t="str">
        <f aca="false">IF(AF43="","",RANK(AF43,$AF$2:$AF$500))</f>
        <v/>
      </c>
    </row>
    <row r="44" customFormat="false" ht="16.5" hidden="false" customHeight="true" outlineLevel="0" collapsed="false">
      <c r="A44" s="86"/>
      <c r="B44" s="86"/>
      <c r="C44" s="87" t="str">
        <f aca="false">IF(D44="","",IFERROR(INDEX(CADASTRO_VIVO_3CRE!$B$2:$B$150,MATCH(D44,CADASTRO_VIVO_3CRE!$E$2:$E$150,0)),""))</f>
        <v/>
      </c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8"/>
      <c r="S44" s="89" t="str">
        <f aca="true">IF(R44="","",TODAY()-INT(R44))</f>
        <v/>
      </c>
      <c r="T44" s="86"/>
      <c r="U44" s="86"/>
      <c r="V44" s="86"/>
      <c r="W44" s="88"/>
      <c r="X44" s="89" t="str">
        <f aca="true">IF(W44="","",IF(OR(O44="28 - Encerrado",O44="27 - Instalação concluída"),"Concluído",TODAY()-INT(W44)))</f>
        <v/>
      </c>
      <c r="Y44" s="90" t="str">
        <f aca="false">IF(OR(O44="28 - Encerrado",O44="27 - Instalação concluída"),"OK",IF(AND(B44&lt;&gt;"",S44=""),"ATENÇÃO (Sem data de atualização)",IF(S44="","",IF(S44&gt;30,"CRÍTICO (Sem Atualização &gt;30 dias)",IF(S44&gt;15,"ATENÇÃO (Sem Atualização &gt;15 dias)",IF(X44&gt;90,"CRÍTICO (Aberto &gt;90 dias)","OK"))))))</f>
        <v/>
      </c>
      <c r="Z44" s="90" t="str">
        <f aca="false">IF(B44="","",IF(OR(O44="27 - Instalação concluída",O44="28 - Encerrado"),"OK",IF(NOT(ISNUMBER(X44)),"",IF(X44&gt;365,"MUITO ANTIGO (&gt;1 ano)",IF(X44&gt;180,"ANTIGO (&gt;6 meses)",IF(X44&gt;90,"ATENÇÃO ANTIG. (&gt;3 meses)","OK"))))))</f>
        <v/>
      </c>
      <c r="AA44" s="86"/>
      <c r="AB44" s="69" t="str">
        <f aca="false">IF(AND(B44&lt;&gt;"",OR(T44="Pendente de Vistoria",T44="Não validada")),MAX($AB$1:$AB$43)+1,"")</f>
        <v/>
      </c>
      <c r="AC44" s="69" t="str">
        <f aca="false">IF(AND(B44&lt;&gt;"",OR(ISNUMBER(SEARCH("CTIN",P44)),U44="Alta",O44="07 - Relatório recebido — unidade apta",O44="11 - Orçamentos em análise técnica",O44="22 - Instalação/substituição autorizada")),MAX($AC$1:$AC$43)+1,"")</f>
        <v/>
      </c>
      <c r="AD44" s="69" t="str">
        <f aca="false">IF(AND(B44&lt;&gt;"",OR(ISNUMBER(SEARCH("CTO",P44)),LEFT(O44,2)="22",LEFT(O44,2)="23",LEFT(O44,2)="24",LEFT(O44,2)="25",LEFT(O44,2)="26",LEFT(O44,2)="27")),MAX($AD$1:$AD$43)+1,"")</f>
        <v/>
      </c>
      <c r="AE44" s="69" t="str">
        <f aca="false">IF(AND(B44&lt;&gt;"",D44=CONSULTA_UNIDADE!$B$4),MAX($AE$1:$AE$43)+1,"")</f>
        <v/>
      </c>
      <c r="AF44" s="69" t="str">
        <f aca="false">IF(AND(B44&lt;&gt;"",O44&lt;&gt;"27 - Instalação concluída",O44&lt;&gt;"28 - Encerrado",ISNUMBER(S44)),S44*1000+(1000-ROW()),"")</f>
        <v/>
      </c>
      <c r="AG44" s="69" t="str">
        <f aca="false">IF(AF44="","",RANK(AF44,$AF$2:$AF$500))</f>
        <v/>
      </c>
    </row>
    <row r="45" customFormat="false" ht="16.5" hidden="false" customHeight="true" outlineLevel="0" collapsed="false">
      <c r="A45" s="86"/>
      <c r="B45" s="86"/>
      <c r="C45" s="87" t="str">
        <f aca="false">IF(D45="","",IFERROR(INDEX(CADASTRO_VIVO_3CRE!$B$2:$B$150,MATCH(D45,CADASTRO_VIVO_3CRE!$E$2:$E$150,0)),""))</f>
        <v/>
      </c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8"/>
      <c r="S45" s="89" t="str">
        <f aca="true">IF(R45="","",TODAY()-INT(R45))</f>
        <v/>
      </c>
      <c r="T45" s="86"/>
      <c r="U45" s="86"/>
      <c r="V45" s="86"/>
      <c r="W45" s="88"/>
      <c r="X45" s="89" t="str">
        <f aca="true">IF(W45="","",IF(OR(O45="28 - Encerrado",O45="27 - Instalação concluída"),"Concluído",TODAY()-INT(W45)))</f>
        <v/>
      </c>
      <c r="Y45" s="90" t="str">
        <f aca="false">IF(OR(O45="28 - Encerrado",O45="27 - Instalação concluída"),"OK",IF(AND(B45&lt;&gt;"",S45=""),"ATENÇÃO (Sem data de atualização)",IF(S45="","",IF(S45&gt;30,"CRÍTICO (Sem Atualização &gt;30 dias)",IF(S45&gt;15,"ATENÇÃO (Sem Atualização &gt;15 dias)",IF(X45&gt;90,"CRÍTICO (Aberto &gt;90 dias)","OK"))))))</f>
        <v/>
      </c>
      <c r="Z45" s="90" t="str">
        <f aca="false">IF(B45="","",IF(OR(O45="27 - Instalação concluída",O45="28 - Encerrado"),"OK",IF(NOT(ISNUMBER(X45)),"",IF(X45&gt;365,"MUITO ANTIGO (&gt;1 ano)",IF(X45&gt;180,"ANTIGO (&gt;6 meses)",IF(X45&gt;90,"ATENÇÃO ANTIG. (&gt;3 meses)","OK"))))))</f>
        <v/>
      </c>
      <c r="AA45" s="86"/>
      <c r="AB45" s="69" t="str">
        <f aca="false">IF(AND(B45&lt;&gt;"",OR(T45="Pendente de Vistoria",T45="Não validada")),MAX($AB$1:$AB$44)+1,"")</f>
        <v/>
      </c>
      <c r="AC45" s="69" t="str">
        <f aca="false">IF(AND(B45&lt;&gt;"",OR(ISNUMBER(SEARCH("CTIN",P45)),U45="Alta",O45="07 - Relatório recebido — unidade apta",O45="11 - Orçamentos em análise técnica",O45="22 - Instalação/substituição autorizada")),MAX($AC$1:$AC$44)+1,"")</f>
        <v/>
      </c>
      <c r="AD45" s="69" t="str">
        <f aca="false">IF(AND(B45&lt;&gt;"",OR(ISNUMBER(SEARCH("CTO",P45)),LEFT(O45,2)="22",LEFT(O45,2)="23",LEFT(O45,2)="24",LEFT(O45,2)="25",LEFT(O45,2)="26",LEFT(O45,2)="27")),MAX($AD$1:$AD$44)+1,"")</f>
        <v/>
      </c>
      <c r="AE45" s="69" t="str">
        <f aca="false">IF(AND(B45&lt;&gt;"",D45=CONSULTA_UNIDADE!$B$4),MAX($AE$1:$AE$44)+1,"")</f>
        <v/>
      </c>
      <c r="AF45" s="69" t="str">
        <f aca="false">IF(AND(B45&lt;&gt;"",O45&lt;&gt;"27 - Instalação concluída",O45&lt;&gt;"28 - Encerrado",ISNUMBER(S45)),S45*1000+(1000-ROW()),"")</f>
        <v/>
      </c>
      <c r="AG45" s="69" t="str">
        <f aca="false">IF(AF45="","",RANK(AF45,$AF$2:$AF$500))</f>
        <v/>
      </c>
    </row>
    <row r="46" customFormat="false" ht="16.5" hidden="false" customHeight="true" outlineLevel="0" collapsed="false">
      <c r="A46" s="86"/>
      <c r="B46" s="86"/>
      <c r="C46" s="87" t="str">
        <f aca="false">IF(D46="","",IFERROR(INDEX(CADASTRO_VIVO_3CRE!$B$2:$B$150,MATCH(D46,CADASTRO_VIVO_3CRE!$E$2:$E$150,0)),""))</f>
        <v/>
      </c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8"/>
      <c r="S46" s="89" t="str">
        <f aca="true">IF(R46="","",TODAY()-INT(R46))</f>
        <v/>
      </c>
      <c r="T46" s="86"/>
      <c r="U46" s="86"/>
      <c r="V46" s="86"/>
      <c r="W46" s="88"/>
      <c r="X46" s="89" t="str">
        <f aca="true">IF(W46="","",IF(OR(O46="28 - Encerrado",O46="27 - Instalação concluída"),"Concluído",TODAY()-INT(W46)))</f>
        <v/>
      </c>
      <c r="Y46" s="90" t="str">
        <f aca="false">IF(OR(O46="28 - Encerrado",O46="27 - Instalação concluída"),"OK",IF(AND(B46&lt;&gt;"",S46=""),"ATENÇÃO (Sem data de atualização)",IF(S46="","",IF(S46&gt;30,"CRÍTICO (Sem Atualização &gt;30 dias)",IF(S46&gt;15,"ATENÇÃO (Sem Atualização &gt;15 dias)",IF(X46&gt;90,"CRÍTICO (Aberto &gt;90 dias)","OK"))))))</f>
        <v/>
      </c>
      <c r="Z46" s="90" t="str">
        <f aca="false">IF(B46="","",IF(OR(O46="27 - Instalação concluída",O46="28 - Encerrado"),"OK",IF(NOT(ISNUMBER(X46)),"",IF(X46&gt;365,"MUITO ANTIGO (&gt;1 ano)",IF(X46&gt;180,"ANTIGO (&gt;6 meses)",IF(X46&gt;90,"ATENÇÃO ANTIG. (&gt;3 meses)","OK"))))))</f>
        <v/>
      </c>
      <c r="AA46" s="86"/>
      <c r="AB46" s="69" t="str">
        <f aca="false">IF(AND(B46&lt;&gt;"",OR(T46="Pendente de Vistoria",T46="Não validada")),MAX($AB$1:$AB$45)+1,"")</f>
        <v/>
      </c>
      <c r="AC46" s="69" t="str">
        <f aca="false">IF(AND(B46&lt;&gt;"",OR(ISNUMBER(SEARCH("CTIN",P46)),U46="Alta",O46="07 - Relatório recebido — unidade apta",O46="11 - Orçamentos em análise técnica",O46="22 - Instalação/substituição autorizada")),MAX($AC$1:$AC$45)+1,"")</f>
        <v/>
      </c>
      <c r="AD46" s="69" t="str">
        <f aca="false">IF(AND(B46&lt;&gt;"",OR(ISNUMBER(SEARCH("CTO",P46)),LEFT(O46,2)="22",LEFT(O46,2)="23",LEFT(O46,2)="24",LEFT(O46,2)="25",LEFT(O46,2)="26",LEFT(O46,2)="27")),MAX($AD$1:$AD$45)+1,"")</f>
        <v/>
      </c>
      <c r="AE46" s="69" t="str">
        <f aca="false">IF(AND(B46&lt;&gt;"",D46=CONSULTA_UNIDADE!$B$4),MAX($AE$1:$AE$45)+1,"")</f>
        <v/>
      </c>
      <c r="AF46" s="69" t="str">
        <f aca="false">IF(AND(B46&lt;&gt;"",O46&lt;&gt;"27 - Instalação concluída",O46&lt;&gt;"28 - Encerrado",ISNUMBER(S46)),S46*1000+(1000-ROW()),"")</f>
        <v/>
      </c>
      <c r="AG46" s="69" t="str">
        <f aca="false">IF(AF46="","",RANK(AF46,$AF$2:$AF$500))</f>
        <v/>
      </c>
    </row>
    <row r="47" customFormat="false" ht="16.5" hidden="false" customHeight="true" outlineLevel="0" collapsed="false">
      <c r="A47" s="86"/>
      <c r="B47" s="86"/>
      <c r="C47" s="87" t="str">
        <f aca="false">IF(D47="","",IFERROR(INDEX(CADASTRO_VIVO_3CRE!$B$2:$B$150,MATCH(D47,CADASTRO_VIVO_3CRE!$E$2:$E$150,0)),""))</f>
        <v/>
      </c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8"/>
      <c r="S47" s="89" t="str">
        <f aca="true">IF(R47="","",TODAY()-INT(R47))</f>
        <v/>
      </c>
      <c r="T47" s="86"/>
      <c r="U47" s="86"/>
      <c r="V47" s="86"/>
      <c r="W47" s="88"/>
      <c r="X47" s="89" t="str">
        <f aca="true">IF(W47="","",IF(OR(O47="28 - Encerrado",O47="27 - Instalação concluída"),"Concluído",TODAY()-INT(W47)))</f>
        <v/>
      </c>
      <c r="Y47" s="90" t="str">
        <f aca="false">IF(OR(O47="28 - Encerrado",O47="27 - Instalação concluída"),"OK",IF(AND(B47&lt;&gt;"",S47=""),"ATENÇÃO (Sem data de atualização)",IF(S47="","",IF(S47&gt;30,"CRÍTICO (Sem Atualização &gt;30 dias)",IF(S47&gt;15,"ATENÇÃO (Sem Atualização &gt;15 dias)",IF(X47&gt;90,"CRÍTICO (Aberto &gt;90 dias)","OK"))))))</f>
        <v/>
      </c>
      <c r="Z47" s="90" t="str">
        <f aca="false">IF(B47="","",IF(OR(O47="27 - Instalação concluída",O47="28 - Encerrado"),"OK",IF(NOT(ISNUMBER(X47)),"",IF(X47&gt;365,"MUITO ANTIGO (&gt;1 ano)",IF(X47&gt;180,"ANTIGO (&gt;6 meses)",IF(X47&gt;90,"ATENÇÃO ANTIG. (&gt;3 meses)","OK"))))))</f>
        <v/>
      </c>
      <c r="AA47" s="86"/>
      <c r="AB47" s="69" t="str">
        <f aca="false">IF(AND(B47&lt;&gt;"",OR(T47="Pendente de Vistoria",T47="Não validada")),MAX($AB$1:$AB$46)+1,"")</f>
        <v/>
      </c>
      <c r="AC47" s="69" t="str">
        <f aca="false">IF(AND(B47&lt;&gt;"",OR(ISNUMBER(SEARCH("CTIN",P47)),U47="Alta",O47="07 - Relatório recebido — unidade apta",O47="11 - Orçamentos em análise técnica",O47="22 - Instalação/substituição autorizada")),MAX($AC$1:$AC$46)+1,"")</f>
        <v/>
      </c>
      <c r="AD47" s="69" t="str">
        <f aca="false">IF(AND(B47&lt;&gt;"",OR(ISNUMBER(SEARCH("CTO",P47)),LEFT(O47,2)="22",LEFT(O47,2)="23",LEFT(O47,2)="24",LEFT(O47,2)="25",LEFT(O47,2)="26",LEFT(O47,2)="27")),MAX($AD$1:$AD$46)+1,"")</f>
        <v/>
      </c>
      <c r="AE47" s="69" t="str">
        <f aca="false">IF(AND(B47&lt;&gt;"",D47=CONSULTA_UNIDADE!$B$4),MAX($AE$1:$AE$46)+1,"")</f>
        <v/>
      </c>
      <c r="AF47" s="69" t="str">
        <f aca="false">IF(AND(B47&lt;&gt;"",O47&lt;&gt;"27 - Instalação concluída",O47&lt;&gt;"28 - Encerrado",ISNUMBER(S47)),S47*1000+(1000-ROW()),"")</f>
        <v/>
      </c>
      <c r="AG47" s="69" t="str">
        <f aca="false">IF(AF47="","",RANK(AF47,$AF$2:$AF$500))</f>
        <v/>
      </c>
    </row>
    <row r="48" customFormat="false" ht="16.5" hidden="false" customHeight="true" outlineLevel="0" collapsed="false">
      <c r="A48" s="86"/>
      <c r="B48" s="86"/>
      <c r="C48" s="87" t="str">
        <f aca="false">IF(D48="","",IFERROR(INDEX(CADASTRO_VIVO_3CRE!$B$2:$B$150,MATCH(D48,CADASTRO_VIVO_3CRE!$E$2:$E$150,0)),""))</f>
        <v/>
      </c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8"/>
      <c r="S48" s="89" t="str">
        <f aca="true">IF(R48="","",TODAY()-INT(R48))</f>
        <v/>
      </c>
      <c r="T48" s="86"/>
      <c r="U48" s="86"/>
      <c r="V48" s="86"/>
      <c r="W48" s="88"/>
      <c r="X48" s="89" t="str">
        <f aca="true">IF(W48="","",IF(OR(O48="28 - Encerrado",O48="27 - Instalação concluída"),"Concluído",TODAY()-INT(W48)))</f>
        <v/>
      </c>
      <c r="Y48" s="90" t="str">
        <f aca="false">IF(OR(O48="28 - Encerrado",O48="27 - Instalação concluída"),"OK",IF(AND(B48&lt;&gt;"",S48=""),"ATENÇÃO (Sem data de atualização)",IF(S48="","",IF(S48&gt;30,"CRÍTICO (Sem Atualização &gt;30 dias)",IF(S48&gt;15,"ATENÇÃO (Sem Atualização &gt;15 dias)",IF(X48&gt;90,"CRÍTICO (Aberto &gt;90 dias)","OK"))))))</f>
        <v/>
      </c>
      <c r="Z48" s="90" t="str">
        <f aca="false">IF(B48="","",IF(OR(O48="27 - Instalação concluída",O48="28 - Encerrado"),"OK",IF(NOT(ISNUMBER(X48)),"",IF(X48&gt;365,"MUITO ANTIGO (&gt;1 ano)",IF(X48&gt;180,"ANTIGO (&gt;6 meses)",IF(X48&gt;90,"ATENÇÃO ANTIG. (&gt;3 meses)","OK"))))))</f>
        <v/>
      </c>
      <c r="AA48" s="86"/>
      <c r="AB48" s="69" t="str">
        <f aca="false">IF(AND(B48&lt;&gt;"",OR(T48="Pendente de Vistoria",T48="Não validada")),MAX($AB$1:$AB$47)+1,"")</f>
        <v/>
      </c>
      <c r="AC48" s="69" t="str">
        <f aca="false">IF(AND(B48&lt;&gt;"",OR(ISNUMBER(SEARCH("CTIN",P48)),U48="Alta",O48="07 - Relatório recebido — unidade apta",O48="11 - Orçamentos em análise técnica",O48="22 - Instalação/substituição autorizada")),MAX($AC$1:$AC$47)+1,"")</f>
        <v/>
      </c>
      <c r="AD48" s="69" t="str">
        <f aca="false">IF(AND(B48&lt;&gt;"",OR(ISNUMBER(SEARCH("CTO",P48)),LEFT(O48,2)="22",LEFT(O48,2)="23",LEFT(O48,2)="24",LEFT(O48,2)="25",LEFT(O48,2)="26",LEFT(O48,2)="27")),MAX($AD$1:$AD$47)+1,"")</f>
        <v/>
      </c>
      <c r="AE48" s="69" t="str">
        <f aca="false">IF(AND(B48&lt;&gt;"",D48=CONSULTA_UNIDADE!$B$4),MAX($AE$1:$AE$47)+1,"")</f>
        <v/>
      </c>
      <c r="AF48" s="69" t="str">
        <f aca="false">IF(AND(B48&lt;&gt;"",O48&lt;&gt;"27 - Instalação concluída",O48&lt;&gt;"28 - Encerrado",ISNUMBER(S48)),S48*1000+(1000-ROW()),"")</f>
        <v/>
      </c>
      <c r="AG48" s="69" t="str">
        <f aca="false">IF(AF48="","",RANK(AF48,$AF$2:$AF$500))</f>
        <v/>
      </c>
    </row>
    <row r="49" customFormat="false" ht="16.5" hidden="false" customHeight="true" outlineLevel="0" collapsed="false">
      <c r="A49" s="86"/>
      <c r="B49" s="86"/>
      <c r="C49" s="87" t="str">
        <f aca="false">IF(D49="","",IFERROR(INDEX(CADASTRO_VIVO_3CRE!$B$2:$B$150,MATCH(D49,CADASTRO_VIVO_3CRE!$E$2:$E$150,0)),""))</f>
        <v/>
      </c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8"/>
      <c r="S49" s="89" t="str">
        <f aca="true">IF(R49="","",TODAY()-INT(R49))</f>
        <v/>
      </c>
      <c r="T49" s="86"/>
      <c r="U49" s="86"/>
      <c r="V49" s="86"/>
      <c r="W49" s="88"/>
      <c r="X49" s="89" t="str">
        <f aca="true">IF(W49="","",IF(OR(O49="28 - Encerrado",O49="27 - Instalação concluída"),"Concluído",TODAY()-INT(W49)))</f>
        <v/>
      </c>
      <c r="Y49" s="90" t="str">
        <f aca="false">IF(OR(O49="28 - Encerrado",O49="27 - Instalação concluída"),"OK",IF(AND(B49&lt;&gt;"",S49=""),"ATENÇÃO (Sem data de atualização)",IF(S49="","",IF(S49&gt;30,"CRÍTICO (Sem Atualização &gt;30 dias)",IF(S49&gt;15,"ATENÇÃO (Sem Atualização &gt;15 dias)",IF(X49&gt;90,"CRÍTICO (Aberto &gt;90 dias)","OK"))))))</f>
        <v/>
      </c>
      <c r="Z49" s="90" t="str">
        <f aca="false">IF(B49="","",IF(OR(O49="27 - Instalação concluída",O49="28 - Encerrado"),"OK",IF(NOT(ISNUMBER(X49)),"",IF(X49&gt;365,"MUITO ANTIGO (&gt;1 ano)",IF(X49&gt;180,"ANTIGO (&gt;6 meses)",IF(X49&gt;90,"ATENÇÃO ANTIG. (&gt;3 meses)","OK"))))))</f>
        <v/>
      </c>
      <c r="AA49" s="86"/>
      <c r="AB49" s="69" t="str">
        <f aca="false">IF(AND(B49&lt;&gt;"",OR(T49="Pendente de Vistoria",T49="Não validada")),MAX($AB$1:$AB$48)+1,"")</f>
        <v/>
      </c>
      <c r="AC49" s="69" t="str">
        <f aca="false">IF(AND(B49&lt;&gt;"",OR(ISNUMBER(SEARCH("CTIN",P49)),U49="Alta",O49="07 - Relatório recebido — unidade apta",O49="11 - Orçamentos em análise técnica",O49="22 - Instalação/substituição autorizada")),MAX($AC$1:$AC$48)+1,"")</f>
        <v/>
      </c>
      <c r="AD49" s="69" t="str">
        <f aca="false">IF(AND(B49&lt;&gt;"",OR(ISNUMBER(SEARCH("CTO",P49)),LEFT(O49,2)="22",LEFT(O49,2)="23",LEFT(O49,2)="24",LEFT(O49,2)="25",LEFT(O49,2)="26",LEFT(O49,2)="27")),MAX($AD$1:$AD$48)+1,"")</f>
        <v/>
      </c>
      <c r="AE49" s="69" t="str">
        <f aca="false">IF(AND(B49&lt;&gt;"",D49=CONSULTA_UNIDADE!$B$4),MAX($AE$1:$AE$48)+1,"")</f>
        <v/>
      </c>
      <c r="AF49" s="69" t="str">
        <f aca="false">IF(AND(B49&lt;&gt;"",O49&lt;&gt;"27 - Instalação concluída",O49&lt;&gt;"28 - Encerrado",ISNUMBER(S49)),S49*1000+(1000-ROW()),"")</f>
        <v/>
      </c>
      <c r="AG49" s="69" t="str">
        <f aca="false">IF(AF49="","",RANK(AF49,$AF$2:$AF$500))</f>
        <v/>
      </c>
    </row>
    <row r="50" customFormat="false" ht="16.5" hidden="false" customHeight="true" outlineLevel="0" collapsed="false">
      <c r="A50" s="86"/>
      <c r="B50" s="86"/>
      <c r="C50" s="87" t="str">
        <f aca="false">IF(D50="","",IFERROR(INDEX(CADASTRO_VIVO_3CRE!$B$2:$B$150,MATCH(D50,CADASTRO_VIVO_3CRE!$E$2:$E$150,0)),""))</f>
        <v/>
      </c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8"/>
      <c r="S50" s="89" t="str">
        <f aca="true">IF(R50="","",TODAY()-INT(R50))</f>
        <v/>
      </c>
      <c r="T50" s="86"/>
      <c r="U50" s="86"/>
      <c r="V50" s="86"/>
      <c r="W50" s="88"/>
      <c r="X50" s="89" t="str">
        <f aca="true">IF(W50="","",IF(OR(O50="28 - Encerrado",O50="27 - Instalação concluída"),"Concluído",TODAY()-INT(W50)))</f>
        <v/>
      </c>
      <c r="Y50" s="90" t="str">
        <f aca="false">IF(OR(O50="28 - Encerrado",O50="27 - Instalação concluída"),"OK",IF(AND(B50&lt;&gt;"",S50=""),"ATENÇÃO (Sem data de atualização)",IF(S50="","",IF(S50&gt;30,"CRÍTICO (Sem Atualização &gt;30 dias)",IF(S50&gt;15,"ATENÇÃO (Sem Atualização &gt;15 dias)",IF(X50&gt;90,"CRÍTICO (Aberto &gt;90 dias)","OK"))))))</f>
        <v/>
      </c>
      <c r="Z50" s="90" t="str">
        <f aca="false">IF(B50="","",IF(OR(O50="27 - Instalação concluída",O50="28 - Encerrado"),"OK",IF(NOT(ISNUMBER(X50)),"",IF(X50&gt;365,"MUITO ANTIGO (&gt;1 ano)",IF(X50&gt;180,"ANTIGO (&gt;6 meses)",IF(X50&gt;90,"ATENÇÃO ANTIG. (&gt;3 meses)","OK"))))))</f>
        <v/>
      </c>
      <c r="AA50" s="86"/>
      <c r="AB50" s="69" t="str">
        <f aca="false">IF(AND(B50&lt;&gt;"",OR(T50="Pendente de Vistoria",T50="Não validada")),MAX($AB$1:$AB$49)+1,"")</f>
        <v/>
      </c>
      <c r="AC50" s="69" t="str">
        <f aca="false">IF(AND(B50&lt;&gt;"",OR(ISNUMBER(SEARCH("CTIN",P50)),U50="Alta",O50="07 - Relatório recebido — unidade apta",O50="11 - Orçamentos em análise técnica",O50="22 - Instalação/substituição autorizada")),MAX($AC$1:$AC$49)+1,"")</f>
        <v/>
      </c>
      <c r="AD50" s="69" t="str">
        <f aca="false">IF(AND(B50&lt;&gt;"",OR(ISNUMBER(SEARCH("CTO",P50)),LEFT(O50,2)="22",LEFT(O50,2)="23",LEFT(O50,2)="24",LEFT(O50,2)="25",LEFT(O50,2)="26",LEFT(O50,2)="27")),MAX($AD$1:$AD$49)+1,"")</f>
        <v/>
      </c>
      <c r="AE50" s="69" t="str">
        <f aca="false">IF(AND(B50&lt;&gt;"",D50=CONSULTA_UNIDADE!$B$4),MAX($AE$1:$AE$49)+1,"")</f>
        <v/>
      </c>
      <c r="AF50" s="69" t="str">
        <f aca="false">IF(AND(B50&lt;&gt;"",O50&lt;&gt;"27 - Instalação concluída",O50&lt;&gt;"28 - Encerrado",ISNUMBER(S50)),S50*1000+(1000-ROW()),"")</f>
        <v/>
      </c>
      <c r="AG50" s="69" t="str">
        <f aca="false">IF(AF50="","",RANK(AF50,$AF$2:$AF$500))</f>
        <v/>
      </c>
    </row>
    <row r="51" customFormat="false" ht="16.5" hidden="false" customHeight="true" outlineLevel="0" collapsed="false">
      <c r="A51" s="86"/>
      <c r="B51" s="86"/>
      <c r="C51" s="87" t="str">
        <f aca="false">IF(D51="","",IFERROR(INDEX(CADASTRO_VIVO_3CRE!$B$2:$B$150,MATCH(D51,CADASTRO_VIVO_3CRE!$E$2:$E$150,0)),""))</f>
        <v/>
      </c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8"/>
      <c r="S51" s="89" t="str">
        <f aca="true">IF(R51="","",TODAY()-INT(R51))</f>
        <v/>
      </c>
      <c r="T51" s="86"/>
      <c r="U51" s="86"/>
      <c r="V51" s="86"/>
      <c r="W51" s="88"/>
      <c r="X51" s="89" t="str">
        <f aca="true">IF(W51="","",IF(OR(O51="28 - Encerrado",O51="27 - Instalação concluída"),"Concluído",TODAY()-INT(W51)))</f>
        <v/>
      </c>
      <c r="Y51" s="90" t="str">
        <f aca="false">IF(OR(O51="28 - Encerrado",O51="27 - Instalação concluída"),"OK",IF(AND(B51&lt;&gt;"",S51=""),"ATENÇÃO (Sem data de atualização)",IF(S51="","",IF(S51&gt;30,"CRÍTICO (Sem Atualização &gt;30 dias)",IF(S51&gt;15,"ATENÇÃO (Sem Atualização &gt;15 dias)",IF(X51&gt;90,"CRÍTICO (Aberto &gt;90 dias)","OK"))))))</f>
        <v/>
      </c>
      <c r="Z51" s="90" t="str">
        <f aca="false">IF(B51="","",IF(OR(O51="27 - Instalação concluída",O51="28 - Encerrado"),"OK",IF(NOT(ISNUMBER(X51)),"",IF(X51&gt;365,"MUITO ANTIGO (&gt;1 ano)",IF(X51&gt;180,"ANTIGO (&gt;6 meses)",IF(X51&gt;90,"ATENÇÃO ANTIG. (&gt;3 meses)","OK"))))))</f>
        <v/>
      </c>
      <c r="AA51" s="86"/>
      <c r="AB51" s="69" t="str">
        <f aca="false">IF(AND(B51&lt;&gt;"",OR(T51="Pendente de Vistoria",T51="Não validada")),MAX($AB$1:$AB$50)+1,"")</f>
        <v/>
      </c>
      <c r="AC51" s="69" t="str">
        <f aca="false">IF(AND(B51&lt;&gt;"",OR(ISNUMBER(SEARCH("CTIN",P51)),U51="Alta",O51="07 - Relatório recebido — unidade apta",O51="11 - Orçamentos em análise técnica",O51="22 - Instalação/substituição autorizada")),MAX($AC$1:$AC$50)+1,"")</f>
        <v/>
      </c>
      <c r="AD51" s="69" t="str">
        <f aca="false">IF(AND(B51&lt;&gt;"",OR(ISNUMBER(SEARCH("CTO",P51)),LEFT(O51,2)="22",LEFT(O51,2)="23",LEFT(O51,2)="24",LEFT(O51,2)="25",LEFT(O51,2)="26",LEFT(O51,2)="27")),MAX($AD$1:$AD$50)+1,"")</f>
        <v/>
      </c>
      <c r="AE51" s="69" t="str">
        <f aca="false">IF(AND(B51&lt;&gt;"",D51=CONSULTA_UNIDADE!$B$4),MAX($AE$1:$AE$50)+1,"")</f>
        <v/>
      </c>
      <c r="AF51" s="69" t="str">
        <f aca="false">IF(AND(B51&lt;&gt;"",O51&lt;&gt;"27 - Instalação concluída",O51&lt;&gt;"28 - Encerrado",ISNUMBER(S51)),S51*1000+(1000-ROW()),"")</f>
        <v/>
      </c>
      <c r="AG51" s="69" t="str">
        <f aca="false">IF(AF51="","",RANK(AF51,$AF$2:$AF$500))</f>
        <v/>
      </c>
    </row>
    <row r="52" customFormat="false" ht="16.5" hidden="false" customHeight="true" outlineLevel="0" collapsed="false">
      <c r="A52" s="86"/>
      <c r="B52" s="86"/>
      <c r="C52" s="87" t="str">
        <f aca="false">IF(D52="","",IFERROR(INDEX(CADASTRO_VIVO_3CRE!$B$2:$B$150,MATCH(D52,CADASTRO_VIVO_3CRE!$E$2:$E$150,0)),""))</f>
        <v/>
      </c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8"/>
      <c r="S52" s="89" t="str">
        <f aca="true">IF(R52="","",TODAY()-INT(R52))</f>
        <v/>
      </c>
      <c r="T52" s="86"/>
      <c r="U52" s="86"/>
      <c r="V52" s="86"/>
      <c r="W52" s="88"/>
      <c r="X52" s="89" t="str">
        <f aca="true">IF(W52="","",IF(OR(O52="28 - Encerrado",O52="27 - Instalação concluída"),"Concluído",TODAY()-INT(W52)))</f>
        <v/>
      </c>
      <c r="Y52" s="90" t="str">
        <f aca="false">IF(OR(O52="28 - Encerrado",O52="27 - Instalação concluída"),"OK",IF(AND(B52&lt;&gt;"",S52=""),"ATENÇÃO (Sem data de atualização)",IF(S52="","",IF(S52&gt;30,"CRÍTICO (Sem Atualização &gt;30 dias)",IF(S52&gt;15,"ATENÇÃO (Sem Atualização &gt;15 dias)",IF(X52&gt;90,"CRÍTICO (Aberto &gt;90 dias)","OK"))))))</f>
        <v/>
      </c>
      <c r="Z52" s="90" t="str">
        <f aca="false">IF(B52="","",IF(OR(O52="27 - Instalação concluída",O52="28 - Encerrado"),"OK",IF(NOT(ISNUMBER(X52)),"",IF(X52&gt;365,"MUITO ANTIGO (&gt;1 ano)",IF(X52&gt;180,"ANTIGO (&gt;6 meses)",IF(X52&gt;90,"ATENÇÃO ANTIG. (&gt;3 meses)","OK"))))))</f>
        <v/>
      </c>
      <c r="AA52" s="86"/>
      <c r="AB52" s="69" t="str">
        <f aca="false">IF(AND(B52&lt;&gt;"",OR(T52="Pendente de Vistoria",T52="Não validada")),MAX($AB$1:$AB$51)+1,"")</f>
        <v/>
      </c>
      <c r="AC52" s="69" t="str">
        <f aca="false">IF(AND(B52&lt;&gt;"",OR(ISNUMBER(SEARCH("CTIN",P52)),U52="Alta",O52="07 - Relatório recebido — unidade apta",O52="11 - Orçamentos em análise técnica",O52="22 - Instalação/substituição autorizada")),MAX($AC$1:$AC$51)+1,"")</f>
        <v/>
      </c>
      <c r="AD52" s="69" t="str">
        <f aca="false">IF(AND(B52&lt;&gt;"",OR(ISNUMBER(SEARCH("CTO",P52)),LEFT(O52,2)="22",LEFT(O52,2)="23",LEFT(O52,2)="24",LEFT(O52,2)="25",LEFT(O52,2)="26",LEFT(O52,2)="27")),MAX($AD$1:$AD$51)+1,"")</f>
        <v/>
      </c>
      <c r="AE52" s="69" t="str">
        <f aca="false">IF(AND(B52&lt;&gt;"",D52=CONSULTA_UNIDADE!$B$4),MAX($AE$1:$AE$51)+1,"")</f>
        <v/>
      </c>
      <c r="AF52" s="69" t="str">
        <f aca="false">IF(AND(B52&lt;&gt;"",O52&lt;&gt;"27 - Instalação concluída",O52&lt;&gt;"28 - Encerrado",ISNUMBER(S52)),S52*1000+(1000-ROW()),"")</f>
        <v/>
      </c>
      <c r="AG52" s="69" t="str">
        <f aca="false">IF(AF52="","",RANK(AF52,$AF$2:$AF$500))</f>
        <v/>
      </c>
    </row>
    <row r="53" customFormat="false" ht="16.5" hidden="false" customHeight="true" outlineLevel="0" collapsed="false">
      <c r="A53" s="86"/>
      <c r="B53" s="86"/>
      <c r="C53" s="87" t="str">
        <f aca="false">IF(D53="","",IFERROR(INDEX(CADASTRO_VIVO_3CRE!$B$2:$B$150,MATCH(D53,CADASTRO_VIVO_3CRE!$E$2:$E$150,0)),""))</f>
        <v/>
      </c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8"/>
      <c r="S53" s="89" t="str">
        <f aca="true">IF(R53="","",TODAY()-INT(R53))</f>
        <v/>
      </c>
      <c r="T53" s="86"/>
      <c r="U53" s="86"/>
      <c r="V53" s="86"/>
      <c r="W53" s="88"/>
      <c r="X53" s="89" t="str">
        <f aca="true">IF(W53="","",IF(OR(O53="28 - Encerrado",O53="27 - Instalação concluída"),"Concluído",TODAY()-INT(W53)))</f>
        <v/>
      </c>
      <c r="Y53" s="90" t="str">
        <f aca="false">IF(OR(O53="28 - Encerrado",O53="27 - Instalação concluída"),"OK",IF(AND(B53&lt;&gt;"",S53=""),"ATENÇÃO (Sem data de atualização)",IF(S53="","",IF(S53&gt;30,"CRÍTICO (Sem Atualização &gt;30 dias)",IF(S53&gt;15,"ATENÇÃO (Sem Atualização &gt;15 dias)",IF(X53&gt;90,"CRÍTICO (Aberto &gt;90 dias)","OK"))))))</f>
        <v/>
      </c>
      <c r="Z53" s="90" t="str">
        <f aca="false">IF(B53="","",IF(OR(O53="27 - Instalação concluída",O53="28 - Encerrado"),"OK",IF(NOT(ISNUMBER(X53)),"",IF(X53&gt;365,"MUITO ANTIGO (&gt;1 ano)",IF(X53&gt;180,"ANTIGO (&gt;6 meses)",IF(X53&gt;90,"ATENÇÃO ANTIG. (&gt;3 meses)","OK"))))))</f>
        <v/>
      </c>
      <c r="AA53" s="86"/>
      <c r="AB53" s="69" t="str">
        <f aca="false">IF(AND(B53&lt;&gt;"",OR(T53="Pendente de Vistoria",T53="Não validada")),MAX($AB$1:$AB$52)+1,"")</f>
        <v/>
      </c>
      <c r="AC53" s="69" t="str">
        <f aca="false">IF(AND(B53&lt;&gt;"",OR(ISNUMBER(SEARCH("CTIN",P53)),U53="Alta",O53="07 - Relatório recebido — unidade apta",O53="11 - Orçamentos em análise técnica",O53="22 - Instalação/substituição autorizada")),MAX($AC$1:$AC$52)+1,"")</f>
        <v/>
      </c>
      <c r="AD53" s="69" t="str">
        <f aca="false">IF(AND(B53&lt;&gt;"",OR(ISNUMBER(SEARCH("CTO",P53)),LEFT(O53,2)="22",LEFT(O53,2)="23",LEFT(O53,2)="24",LEFT(O53,2)="25",LEFT(O53,2)="26",LEFT(O53,2)="27")),MAX($AD$1:$AD$52)+1,"")</f>
        <v/>
      </c>
      <c r="AE53" s="69" t="str">
        <f aca="false">IF(AND(B53&lt;&gt;"",D53=CONSULTA_UNIDADE!$B$4),MAX($AE$1:$AE$52)+1,"")</f>
        <v/>
      </c>
      <c r="AF53" s="69" t="str">
        <f aca="false">IF(AND(B53&lt;&gt;"",O53&lt;&gt;"27 - Instalação concluída",O53&lt;&gt;"28 - Encerrado",ISNUMBER(S53)),S53*1000+(1000-ROW()),"")</f>
        <v/>
      </c>
      <c r="AG53" s="69" t="str">
        <f aca="false">IF(AF53="","",RANK(AF53,$AF$2:$AF$500))</f>
        <v/>
      </c>
    </row>
    <row r="54" customFormat="false" ht="16.5" hidden="false" customHeight="true" outlineLevel="0" collapsed="false">
      <c r="A54" s="86"/>
      <c r="B54" s="86"/>
      <c r="C54" s="87" t="str">
        <f aca="false">IF(D54="","",IFERROR(INDEX(CADASTRO_VIVO_3CRE!$B$2:$B$150,MATCH(D54,CADASTRO_VIVO_3CRE!$E$2:$E$150,0)),""))</f>
        <v/>
      </c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8"/>
      <c r="S54" s="89" t="str">
        <f aca="true">IF(R54="","",TODAY()-INT(R54))</f>
        <v/>
      </c>
      <c r="T54" s="86"/>
      <c r="U54" s="86"/>
      <c r="V54" s="86"/>
      <c r="W54" s="88"/>
      <c r="X54" s="89" t="str">
        <f aca="true">IF(W54="","",IF(OR(O54="28 - Encerrado",O54="27 - Instalação concluída"),"Concluído",TODAY()-INT(W54)))</f>
        <v/>
      </c>
      <c r="Y54" s="90" t="str">
        <f aca="false">IF(OR(O54="28 - Encerrado",O54="27 - Instalação concluída"),"OK",IF(AND(B54&lt;&gt;"",S54=""),"ATENÇÃO (Sem data de atualização)",IF(S54="","",IF(S54&gt;30,"CRÍTICO (Sem Atualização &gt;30 dias)",IF(S54&gt;15,"ATENÇÃO (Sem Atualização &gt;15 dias)",IF(X54&gt;90,"CRÍTICO (Aberto &gt;90 dias)","OK"))))))</f>
        <v/>
      </c>
      <c r="Z54" s="90" t="str">
        <f aca="false">IF(B54="","",IF(OR(O54="27 - Instalação concluída",O54="28 - Encerrado"),"OK",IF(NOT(ISNUMBER(X54)),"",IF(X54&gt;365,"MUITO ANTIGO (&gt;1 ano)",IF(X54&gt;180,"ANTIGO (&gt;6 meses)",IF(X54&gt;90,"ATENÇÃO ANTIG. (&gt;3 meses)","OK"))))))</f>
        <v/>
      </c>
      <c r="AA54" s="86"/>
      <c r="AB54" s="69" t="str">
        <f aca="false">IF(AND(B54&lt;&gt;"",OR(T54="Pendente de Vistoria",T54="Não validada")),MAX($AB$1:$AB$53)+1,"")</f>
        <v/>
      </c>
      <c r="AC54" s="69" t="str">
        <f aca="false">IF(AND(B54&lt;&gt;"",OR(ISNUMBER(SEARCH("CTIN",P54)),U54="Alta",O54="07 - Relatório recebido — unidade apta",O54="11 - Orçamentos em análise técnica",O54="22 - Instalação/substituição autorizada")),MAX($AC$1:$AC$53)+1,"")</f>
        <v/>
      </c>
      <c r="AD54" s="69" t="str">
        <f aca="false">IF(AND(B54&lt;&gt;"",OR(ISNUMBER(SEARCH("CTO",P54)),LEFT(O54,2)="22",LEFT(O54,2)="23",LEFT(O54,2)="24",LEFT(O54,2)="25",LEFT(O54,2)="26",LEFT(O54,2)="27")),MAX($AD$1:$AD$53)+1,"")</f>
        <v/>
      </c>
      <c r="AE54" s="69" t="str">
        <f aca="false">IF(AND(B54&lt;&gt;"",D54=CONSULTA_UNIDADE!$B$4),MAX($AE$1:$AE$53)+1,"")</f>
        <v/>
      </c>
      <c r="AF54" s="69" t="str">
        <f aca="false">IF(AND(B54&lt;&gt;"",O54&lt;&gt;"27 - Instalação concluída",O54&lt;&gt;"28 - Encerrado",ISNUMBER(S54)),S54*1000+(1000-ROW()),"")</f>
        <v/>
      </c>
      <c r="AG54" s="69" t="str">
        <f aca="false">IF(AF54="","",RANK(AF54,$AF$2:$AF$500))</f>
        <v/>
      </c>
    </row>
    <row r="55" customFormat="false" ht="16.5" hidden="false" customHeight="true" outlineLevel="0" collapsed="false">
      <c r="A55" s="86"/>
      <c r="B55" s="86"/>
      <c r="C55" s="87" t="str">
        <f aca="false">IF(D55="","",IFERROR(INDEX(CADASTRO_VIVO_3CRE!$B$2:$B$150,MATCH(D55,CADASTRO_VIVO_3CRE!$E$2:$E$150,0)),""))</f>
        <v/>
      </c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8"/>
      <c r="S55" s="89" t="str">
        <f aca="true">IF(R55="","",TODAY()-INT(R55))</f>
        <v/>
      </c>
      <c r="T55" s="86"/>
      <c r="U55" s="86"/>
      <c r="V55" s="86"/>
      <c r="W55" s="88"/>
      <c r="X55" s="89" t="str">
        <f aca="true">IF(W55="","",IF(OR(O55="28 - Encerrado",O55="27 - Instalação concluída"),"Concluído",TODAY()-INT(W55)))</f>
        <v/>
      </c>
      <c r="Y55" s="90" t="str">
        <f aca="false">IF(OR(O55="28 - Encerrado",O55="27 - Instalação concluída"),"OK",IF(AND(B55&lt;&gt;"",S55=""),"ATENÇÃO (Sem data de atualização)",IF(S55="","",IF(S55&gt;30,"CRÍTICO (Sem Atualização &gt;30 dias)",IF(S55&gt;15,"ATENÇÃO (Sem Atualização &gt;15 dias)",IF(X55&gt;90,"CRÍTICO (Aberto &gt;90 dias)","OK"))))))</f>
        <v/>
      </c>
      <c r="Z55" s="90" t="str">
        <f aca="false">IF(B55="","",IF(OR(O55="27 - Instalação concluída",O55="28 - Encerrado"),"OK",IF(NOT(ISNUMBER(X55)),"",IF(X55&gt;365,"MUITO ANTIGO (&gt;1 ano)",IF(X55&gt;180,"ANTIGO (&gt;6 meses)",IF(X55&gt;90,"ATENÇÃO ANTIG. (&gt;3 meses)","OK"))))))</f>
        <v/>
      </c>
      <c r="AA55" s="86"/>
      <c r="AB55" s="69" t="str">
        <f aca="false">IF(AND(B55&lt;&gt;"",OR(T55="Pendente de Vistoria",T55="Não validada")),MAX($AB$1:$AB$54)+1,"")</f>
        <v/>
      </c>
      <c r="AC55" s="69" t="str">
        <f aca="false">IF(AND(B55&lt;&gt;"",OR(ISNUMBER(SEARCH("CTIN",P55)),U55="Alta",O55="07 - Relatório recebido — unidade apta",O55="11 - Orçamentos em análise técnica",O55="22 - Instalação/substituição autorizada")),MAX($AC$1:$AC$54)+1,"")</f>
        <v/>
      </c>
      <c r="AD55" s="69" t="str">
        <f aca="false">IF(AND(B55&lt;&gt;"",OR(ISNUMBER(SEARCH("CTO",P55)),LEFT(O55,2)="22",LEFT(O55,2)="23",LEFT(O55,2)="24",LEFT(O55,2)="25",LEFT(O55,2)="26",LEFT(O55,2)="27")),MAX($AD$1:$AD$54)+1,"")</f>
        <v/>
      </c>
      <c r="AE55" s="69" t="str">
        <f aca="false">IF(AND(B55&lt;&gt;"",D55=CONSULTA_UNIDADE!$B$4),MAX($AE$1:$AE$54)+1,"")</f>
        <v/>
      </c>
      <c r="AF55" s="69" t="str">
        <f aca="false">IF(AND(B55&lt;&gt;"",O55&lt;&gt;"27 - Instalação concluída",O55&lt;&gt;"28 - Encerrado",ISNUMBER(S55)),S55*1000+(1000-ROW()),"")</f>
        <v/>
      </c>
      <c r="AG55" s="69" t="str">
        <f aca="false">IF(AF55="","",RANK(AF55,$AF$2:$AF$500))</f>
        <v/>
      </c>
    </row>
    <row r="56" customFormat="false" ht="16.5" hidden="false" customHeight="true" outlineLevel="0" collapsed="false">
      <c r="A56" s="86"/>
      <c r="B56" s="86"/>
      <c r="C56" s="87" t="str">
        <f aca="false">IF(D56="","",IFERROR(INDEX(CADASTRO_VIVO_3CRE!$B$2:$B$150,MATCH(D56,CADASTRO_VIVO_3CRE!$E$2:$E$150,0)),""))</f>
        <v/>
      </c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8"/>
      <c r="S56" s="89" t="str">
        <f aca="true">IF(R56="","",TODAY()-INT(R56))</f>
        <v/>
      </c>
      <c r="T56" s="86"/>
      <c r="U56" s="86"/>
      <c r="V56" s="86"/>
      <c r="W56" s="88"/>
      <c r="X56" s="89" t="str">
        <f aca="true">IF(W56="","",IF(OR(O56="28 - Encerrado",O56="27 - Instalação concluída"),"Concluído",TODAY()-INT(W56)))</f>
        <v/>
      </c>
      <c r="Y56" s="90" t="str">
        <f aca="false">IF(OR(O56="28 - Encerrado",O56="27 - Instalação concluída"),"OK",IF(AND(B56&lt;&gt;"",S56=""),"ATENÇÃO (Sem data de atualização)",IF(S56="","",IF(S56&gt;30,"CRÍTICO (Sem Atualização &gt;30 dias)",IF(S56&gt;15,"ATENÇÃO (Sem Atualização &gt;15 dias)",IF(X56&gt;90,"CRÍTICO (Aberto &gt;90 dias)","OK"))))))</f>
        <v/>
      </c>
      <c r="Z56" s="90" t="str">
        <f aca="false">IF(B56="","",IF(OR(O56="27 - Instalação concluída",O56="28 - Encerrado"),"OK",IF(NOT(ISNUMBER(X56)),"",IF(X56&gt;365,"MUITO ANTIGO (&gt;1 ano)",IF(X56&gt;180,"ANTIGO (&gt;6 meses)",IF(X56&gt;90,"ATENÇÃO ANTIG. (&gt;3 meses)","OK"))))))</f>
        <v/>
      </c>
      <c r="AA56" s="86"/>
      <c r="AB56" s="69" t="str">
        <f aca="false">IF(AND(B56&lt;&gt;"",OR(T56="Pendente de Vistoria",T56="Não validada")),MAX($AB$1:$AB$55)+1,"")</f>
        <v/>
      </c>
      <c r="AC56" s="69" t="str">
        <f aca="false">IF(AND(B56&lt;&gt;"",OR(ISNUMBER(SEARCH("CTIN",P56)),U56="Alta",O56="07 - Relatório recebido — unidade apta",O56="11 - Orçamentos em análise técnica",O56="22 - Instalação/substituição autorizada")),MAX($AC$1:$AC$55)+1,"")</f>
        <v/>
      </c>
      <c r="AD56" s="69" t="str">
        <f aca="false">IF(AND(B56&lt;&gt;"",OR(ISNUMBER(SEARCH("CTO",P56)),LEFT(O56,2)="22",LEFT(O56,2)="23",LEFT(O56,2)="24",LEFT(O56,2)="25",LEFT(O56,2)="26",LEFT(O56,2)="27")),MAX($AD$1:$AD$55)+1,"")</f>
        <v/>
      </c>
      <c r="AE56" s="69" t="str">
        <f aca="false">IF(AND(B56&lt;&gt;"",D56=CONSULTA_UNIDADE!$B$4),MAX($AE$1:$AE$55)+1,"")</f>
        <v/>
      </c>
      <c r="AF56" s="69" t="str">
        <f aca="false">IF(AND(B56&lt;&gt;"",O56&lt;&gt;"27 - Instalação concluída",O56&lt;&gt;"28 - Encerrado",ISNUMBER(S56)),S56*1000+(1000-ROW()),"")</f>
        <v/>
      </c>
      <c r="AG56" s="69" t="str">
        <f aca="false">IF(AF56="","",RANK(AF56,$AF$2:$AF$500))</f>
        <v/>
      </c>
    </row>
    <row r="57" customFormat="false" ht="16.5" hidden="false" customHeight="true" outlineLevel="0" collapsed="false">
      <c r="A57" s="86"/>
      <c r="B57" s="86"/>
      <c r="C57" s="87" t="str">
        <f aca="false">IF(D57="","",IFERROR(INDEX(CADASTRO_VIVO_3CRE!$B$2:$B$150,MATCH(D57,CADASTRO_VIVO_3CRE!$E$2:$E$150,0)),""))</f>
        <v/>
      </c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8"/>
      <c r="S57" s="89" t="str">
        <f aca="true">IF(R57="","",TODAY()-INT(R57))</f>
        <v/>
      </c>
      <c r="T57" s="86"/>
      <c r="U57" s="86"/>
      <c r="V57" s="86"/>
      <c r="W57" s="88"/>
      <c r="X57" s="89" t="str">
        <f aca="true">IF(W57="","",IF(OR(O57="28 - Encerrado",O57="27 - Instalação concluída"),"Concluído",TODAY()-INT(W57)))</f>
        <v/>
      </c>
      <c r="Y57" s="90" t="str">
        <f aca="false">IF(OR(O57="28 - Encerrado",O57="27 - Instalação concluída"),"OK",IF(AND(B57&lt;&gt;"",S57=""),"ATENÇÃO (Sem data de atualização)",IF(S57="","",IF(S57&gt;30,"CRÍTICO (Sem Atualização &gt;30 dias)",IF(S57&gt;15,"ATENÇÃO (Sem Atualização &gt;15 dias)",IF(X57&gt;90,"CRÍTICO (Aberto &gt;90 dias)","OK"))))))</f>
        <v/>
      </c>
      <c r="Z57" s="90" t="str">
        <f aca="false">IF(B57="","",IF(OR(O57="27 - Instalação concluída",O57="28 - Encerrado"),"OK",IF(NOT(ISNUMBER(X57)),"",IF(X57&gt;365,"MUITO ANTIGO (&gt;1 ano)",IF(X57&gt;180,"ANTIGO (&gt;6 meses)",IF(X57&gt;90,"ATENÇÃO ANTIG. (&gt;3 meses)","OK"))))))</f>
        <v/>
      </c>
      <c r="AA57" s="86"/>
      <c r="AB57" s="69" t="str">
        <f aca="false">IF(AND(B57&lt;&gt;"",OR(T57="Pendente de Vistoria",T57="Não validada")),MAX($AB$1:$AB$56)+1,"")</f>
        <v/>
      </c>
      <c r="AC57" s="69" t="str">
        <f aca="false">IF(AND(B57&lt;&gt;"",OR(ISNUMBER(SEARCH("CTIN",P57)),U57="Alta",O57="07 - Relatório recebido — unidade apta",O57="11 - Orçamentos em análise técnica",O57="22 - Instalação/substituição autorizada")),MAX($AC$1:$AC$56)+1,"")</f>
        <v/>
      </c>
      <c r="AD57" s="69" t="str">
        <f aca="false">IF(AND(B57&lt;&gt;"",OR(ISNUMBER(SEARCH("CTO",P57)),LEFT(O57,2)="22",LEFT(O57,2)="23",LEFT(O57,2)="24",LEFT(O57,2)="25",LEFT(O57,2)="26",LEFT(O57,2)="27")),MAX($AD$1:$AD$56)+1,"")</f>
        <v/>
      </c>
      <c r="AE57" s="69" t="str">
        <f aca="false">IF(AND(B57&lt;&gt;"",D57=CONSULTA_UNIDADE!$B$4),MAX($AE$1:$AE$56)+1,"")</f>
        <v/>
      </c>
      <c r="AF57" s="69" t="str">
        <f aca="false">IF(AND(B57&lt;&gt;"",O57&lt;&gt;"27 - Instalação concluída",O57&lt;&gt;"28 - Encerrado",ISNUMBER(S57)),S57*1000+(1000-ROW()),"")</f>
        <v/>
      </c>
      <c r="AG57" s="69" t="str">
        <f aca="false">IF(AF57="","",RANK(AF57,$AF$2:$AF$500))</f>
        <v/>
      </c>
    </row>
    <row r="58" customFormat="false" ht="16.5" hidden="false" customHeight="true" outlineLevel="0" collapsed="false">
      <c r="A58" s="86"/>
      <c r="B58" s="86"/>
      <c r="C58" s="87" t="str">
        <f aca="false">IF(D58="","",IFERROR(INDEX(CADASTRO_VIVO_3CRE!$B$2:$B$150,MATCH(D58,CADASTRO_VIVO_3CRE!$E$2:$E$150,0)),""))</f>
        <v/>
      </c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8"/>
      <c r="S58" s="89" t="str">
        <f aca="true">IF(R58="","",TODAY()-INT(R58))</f>
        <v/>
      </c>
      <c r="T58" s="86"/>
      <c r="U58" s="86"/>
      <c r="V58" s="86"/>
      <c r="W58" s="88"/>
      <c r="X58" s="89" t="str">
        <f aca="true">IF(W58="","",IF(OR(O58="28 - Encerrado",O58="27 - Instalação concluída"),"Concluído",TODAY()-INT(W58)))</f>
        <v/>
      </c>
      <c r="Y58" s="90" t="str">
        <f aca="false">IF(OR(O58="28 - Encerrado",O58="27 - Instalação concluída"),"OK",IF(AND(B58&lt;&gt;"",S58=""),"ATENÇÃO (Sem data de atualização)",IF(S58="","",IF(S58&gt;30,"CRÍTICO (Sem Atualização &gt;30 dias)",IF(S58&gt;15,"ATENÇÃO (Sem Atualização &gt;15 dias)",IF(X58&gt;90,"CRÍTICO (Aberto &gt;90 dias)","OK"))))))</f>
        <v/>
      </c>
      <c r="Z58" s="90" t="str">
        <f aca="false">IF(B58="","",IF(OR(O58="27 - Instalação concluída",O58="28 - Encerrado"),"OK",IF(NOT(ISNUMBER(X58)),"",IF(X58&gt;365,"MUITO ANTIGO (&gt;1 ano)",IF(X58&gt;180,"ANTIGO (&gt;6 meses)",IF(X58&gt;90,"ATENÇÃO ANTIG. (&gt;3 meses)","OK"))))))</f>
        <v/>
      </c>
      <c r="AA58" s="86"/>
      <c r="AB58" s="69" t="str">
        <f aca="false">IF(AND(B58&lt;&gt;"",OR(T58="Pendente de Vistoria",T58="Não validada")),MAX($AB$1:$AB$57)+1,"")</f>
        <v/>
      </c>
      <c r="AC58" s="69" t="str">
        <f aca="false">IF(AND(B58&lt;&gt;"",OR(ISNUMBER(SEARCH("CTIN",P58)),U58="Alta",O58="07 - Relatório recebido — unidade apta",O58="11 - Orçamentos em análise técnica",O58="22 - Instalação/substituição autorizada")),MAX($AC$1:$AC$57)+1,"")</f>
        <v/>
      </c>
      <c r="AD58" s="69" t="str">
        <f aca="false">IF(AND(B58&lt;&gt;"",OR(ISNUMBER(SEARCH("CTO",P58)),LEFT(O58,2)="22",LEFT(O58,2)="23",LEFT(O58,2)="24",LEFT(O58,2)="25",LEFT(O58,2)="26",LEFT(O58,2)="27")),MAX($AD$1:$AD$57)+1,"")</f>
        <v/>
      </c>
      <c r="AE58" s="69" t="str">
        <f aca="false">IF(AND(B58&lt;&gt;"",D58=CONSULTA_UNIDADE!$B$4),MAX($AE$1:$AE$57)+1,"")</f>
        <v/>
      </c>
      <c r="AF58" s="69" t="str">
        <f aca="false">IF(AND(B58&lt;&gt;"",O58&lt;&gt;"27 - Instalação concluída",O58&lt;&gt;"28 - Encerrado",ISNUMBER(S58)),S58*1000+(1000-ROW()),"")</f>
        <v/>
      </c>
      <c r="AG58" s="69" t="str">
        <f aca="false">IF(AF58="","",RANK(AF58,$AF$2:$AF$500))</f>
        <v/>
      </c>
    </row>
    <row r="59" customFormat="false" ht="16.5" hidden="false" customHeight="true" outlineLevel="0" collapsed="false">
      <c r="A59" s="86"/>
      <c r="B59" s="86"/>
      <c r="C59" s="87" t="str">
        <f aca="false">IF(D59="","",IFERROR(INDEX(CADASTRO_VIVO_3CRE!$B$2:$B$150,MATCH(D59,CADASTRO_VIVO_3CRE!$E$2:$E$150,0)),""))</f>
        <v/>
      </c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8"/>
      <c r="S59" s="89" t="str">
        <f aca="true">IF(R59="","",TODAY()-INT(R59))</f>
        <v/>
      </c>
      <c r="T59" s="86"/>
      <c r="U59" s="86"/>
      <c r="V59" s="86"/>
      <c r="W59" s="88"/>
      <c r="X59" s="89" t="str">
        <f aca="true">IF(W59="","",IF(OR(O59="28 - Encerrado",O59="27 - Instalação concluída"),"Concluído",TODAY()-INT(W59)))</f>
        <v/>
      </c>
      <c r="Y59" s="90" t="str">
        <f aca="false">IF(OR(O59="28 - Encerrado",O59="27 - Instalação concluída"),"OK",IF(AND(B59&lt;&gt;"",S59=""),"ATENÇÃO (Sem data de atualização)",IF(S59="","",IF(S59&gt;30,"CRÍTICO (Sem Atualização &gt;30 dias)",IF(S59&gt;15,"ATENÇÃO (Sem Atualização &gt;15 dias)",IF(X59&gt;90,"CRÍTICO (Aberto &gt;90 dias)","OK"))))))</f>
        <v/>
      </c>
      <c r="Z59" s="90" t="str">
        <f aca="false">IF(B59="","",IF(OR(O59="27 - Instalação concluída",O59="28 - Encerrado"),"OK",IF(NOT(ISNUMBER(X59)),"",IF(X59&gt;365,"MUITO ANTIGO (&gt;1 ano)",IF(X59&gt;180,"ANTIGO (&gt;6 meses)",IF(X59&gt;90,"ATENÇÃO ANTIG. (&gt;3 meses)","OK"))))))</f>
        <v/>
      </c>
      <c r="AA59" s="86"/>
      <c r="AB59" s="69" t="str">
        <f aca="false">IF(AND(B59&lt;&gt;"",OR(T59="Pendente de Vistoria",T59="Não validada")),MAX($AB$1:$AB$58)+1,"")</f>
        <v/>
      </c>
      <c r="AC59" s="69" t="str">
        <f aca="false">IF(AND(B59&lt;&gt;"",OR(ISNUMBER(SEARCH("CTIN",P59)),U59="Alta",O59="07 - Relatório recebido — unidade apta",O59="11 - Orçamentos em análise técnica",O59="22 - Instalação/substituição autorizada")),MAX($AC$1:$AC$58)+1,"")</f>
        <v/>
      </c>
      <c r="AD59" s="69" t="str">
        <f aca="false">IF(AND(B59&lt;&gt;"",OR(ISNUMBER(SEARCH("CTO",P59)),LEFT(O59,2)="22",LEFT(O59,2)="23",LEFT(O59,2)="24",LEFT(O59,2)="25",LEFT(O59,2)="26",LEFT(O59,2)="27")),MAX($AD$1:$AD$58)+1,"")</f>
        <v/>
      </c>
      <c r="AE59" s="69" t="str">
        <f aca="false">IF(AND(B59&lt;&gt;"",D59=CONSULTA_UNIDADE!$B$4),MAX($AE$1:$AE$58)+1,"")</f>
        <v/>
      </c>
      <c r="AF59" s="69" t="str">
        <f aca="false">IF(AND(B59&lt;&gt;"",O59&lt;&gt;"27 - Instalação concluída",O59&lt;&gt;"28 - Encerrado",ISNUMBER(S59)),S59*1000+(1000-ROW()),"")</f>
        <v/>
      </c>
      <c r="AG59" s="69" t="str">
        <f aca="false">IF(AF59="","",RANK(AF59,$AF$2:$AF$500))</f>
        <v/>
      </c>
    </row>
    <row r="60" customFormat="false" ht="16.5" hidden="false" customHeight="true" outlineLevel="0" collapsed="false">
      <c r="A60" s="86"/>
      <c r="B60" s="86"/>
      <c r="C60" s="87" t="str">
        <f aca="false">IF(D60="","",IFERROR(INDEX(CADASTRO_VIVO_3CRE!$B$2:$B$150,MATCH(D60,CADASTRO_VIVO_3CRE!$E$2:$E$150,0)),""))</f>
        <v/>
      </c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8"/>
      <c r="S60" s="89" t="str">
        <f aca="true">IF(R60="","",TODAY()-INT(R60))</f>
        <v/>
      </c>
      <c r="T60" s="86"/>
      <c r="U60" s="86"/>
      <c r="V60" s="86"/>
      <c r="W60" s="88"/>
      <c r="X60" s="89" t="str">
        <f aca="true">IF(W60="","",IF(OR(O60="28 - Encerrado",O60="27 - Instalação concluída"),"Concluído",TODAY()-INT(W60)))</f>
        <v/>
      </c>
      <c r="Y60" s="90" t="str">
        <f aca="false">IF(OR(O60="28 - Encerrado",O60="27 - Instalação concluída"),"OK",IF(AND(B60&lt;&gt;"",S60=""),"ATENÇÃO (Sem data de atualização)",IF(S60="","",IF(S60&gt;30,"CRÍTICO (Sem Atualização &gt;30 dias)",IF(S60&gt;15,"ATENÇÃO (Sem Atualização &gt;15 dias)",IF(X60&gt;90,"CRÍTICO (Aberto &gt;90 dias)","OK"))))))</f>
        <v/>
      </c>
      <c r="Z60" s="90" t="str">
        <f aca="false">IF(B60="","",IF(OR(O60="27 - Instalação concluída",O60="28 - Encerrado"),"OK",IF(NOT(ISNUMBER(X60)),"",IF(X60&gt;365,"MUITO ANTIGO (&gt;1 ano)",IF(X60&gt;180,"ANTIGO (&gt;6 meses)",IF(X60&gt;90,"ATENÇÃO ANTIG. (&gt;3 meses)","OK"))))))</f>
        <v/>
      </c>
      <c r="AA60" s="86"/>
      <c r="AB60" s="69" t="str">
        <f aca="false">IF(AND(B60&lt;&gt;"",OR(T60="Pendente de Vistoria",T60="Não validada")),MAX($AB$1:$AB$59)+1,"")</f>
        <v/>
      </c>
      <c r="AC60" s="69" t="str">
        <f aca="false">IF(AND(B60&lt;&gt;"",OR(ISNUMBER(SEARCH("CTIN",P60)),U60="Alta",O60="07 - Relatório recebido — unidade apta",O60="11 - Orçamentos em análise técnica",O60="22 - Instalação/substituição autorizada")),MAX($AC$1:$AC$59)+1,"")</f>
        <v/>
      </c>
      <c r="AD60" s="69" t="str">
        <f aca="false">IF(AND(B60&lt;&gt;"",OR(ISNUMBER(SEARCH("CTO",P60)),LEFT(O60,2)="22",LEFT(O60,2)="23",LEFT(O60,2)="24",LEFT(O60,2)="25",LEFT(O60,2)="26",LEFT(O60,2)="27")),MAX($AD$1:$AD$59)+1,"")</f>
        <v/>
      </c>
      <c r="AE60" s="69" t="str">
        <f aca="false">IF(AND(B60&lt;&gt;"",D60=CONSULTA_UNIDADE!$B$4),MAX($AE$1:$AE$59)+1,"")</f>
        <v/>
      </c>
      <c r="AF60" s="69" t="str">
        <f aca="false">IF(AND(B60&lt;&gt;"",O60&lt;&gt;"27 - Instalação concluída",O60&lt;&gt;"28 - Encerrado",ISNUMBER(S60)),S60*1000+(1000-ROW()),"")</f>
        <v/>
      </c>
      <c r="AG60" s="69" t="str">
        <f aca="false">IF(AF60="","",RANK(AF60,$AF$2:$AF$500))</f>
        <v/>
      </c>
    </row>
    <row r="61" customFormat="false" ht="16.5" hidden="false" customHeight="true" outlineLevel="0" collapsed="false">
      <c r="A61" s="86"/>
      <c r="B61" s="86"/>
      <c r="C61" s="87" t="str">
        <f aca="false">IF(D61="","",IFERROR(INDEX(CADASTRO_VIVO_3CRE!$B$2:$B$150,MATCH(D61,CADASTRO_VIVO_3CRE!$E$2:$E$150,0)),""))</f>
        <v/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8"/>
      <c r="S61" s="89" t="str">
        <f aca="true">IF(R61="","",TODAY()-INT(R61))</f>
        <v/>
      </c>
      <c r="T61" s="86"/>
      <c r="U61" s="86"/>
      <c r="V61" s="86"/>
      <c r="W61" s="88"/>
      <c r="X61" s="89" t="str">
        <f aca="true">IF(W61="","",IF(OR(O61="28 - Encerrado",O61="27 - Instalação concluída"),"Concluído",TODAY()-INT(W61)))</f>
        <v/>
      </c>
      <c r="Y61" s="90" t="str">
        <f aca="false">IF(OR(O61="28 - Encerrado",O61="27 - Instalação concluída"),"OK",IF(AND(B61&lt;&gt;"",S61=""),"ATENÇÃO (Sem data de atualização)",IF(S61="","",IF(S61&gt;30,"CRÍTICO (Sem Atualização &gt;30 dias)",IF(S61&gt;15,"ATENÇÃO (Sem Atualização &gt;15 dias)",IF(X61&gt;90,"CRÍTICO (Aberto &gt;90 dias)","OK"))))))</f>
        <v/>
      </c>
      <c r="Z61" s="90" t="str">
        <f aca="false">IF(B61="","",IF(OR(O61="27 - Instalação concluída",O61="28 - Encerrado"),"OK",IF(NOT(ISNUMBER(X61)),"",IF(X61&gt;365,"MUITO ANTIGO (&gt;1 ano)",IF(X61&gt;180,"ANTIGO (&gt;6 meses)",IF(X61&gt;90,"ATENÇÃO ANTIG. (&gt;3 meses)","OK"))))))</f>
        <v/>
      </c>
      <c r="AA61" s="86"/>
      <c r="AB61" s="69" t="str">
        <f aca="false">IF(AND(B61&lt;&gt;"",OR(T61="Pendente de Vistoria",T61="Não validada")),MAX($AB$1:$AB$60)+1,"")</f>
        <v/>
      </c>
      <c r="AC61" s="69" t="str">
        <f aca="false">IF(AND(B61&lt;&gt;"",OR(ISNUMBER(SEARCH("CTIN",P61)),U61="Alta",O61="07 - Relatório recebido — unidade apta",O61="11 - Orçamentos em análise técnica",O61="22 - Instalação/substituição autorizada")),MAX($AC$1:$AC$60)+1,"")</f>
        <v/>
      </c>
      <c r="AD61" s="69" t="str">
        <f aca="false">IF(AND(B61&lt;&gt;"",OR(ISNUMBER(SEARCH("CTO",P61)),LEFT(O61,2)="22",LEFT(O61,2)="23",LEFT(O61,2)="24",LEFT(O61,2)="25",LEFT(O61,2)="26",LEFT(O61,2)="27")),MAX($AD$1:$AD$60)+1,"")</f>
        <v/>
      </c>
      <c r="AE61" s="69" t="str">
        <f aca="false">IF(AND(B61&lt;&gt;"",D61=CONSULTA_UNIDADE!$B$4),MAX($AE$1:$AE$60)+1,"")</f>
        <v/>
      </c>
      <c r="AF61" s="69" t="str">
        <f aca="false">IF(AND(B61&lt;&gt;"",O61&lt;&gt;"27 - Instalação concluída",O61&lt;&gt;"28 - Encerrado",ISNUMBER(S61)),S61*1000+(1000-ROW()),"")</f>
        <v/>
      </c>
      <c r="AG61" s="69" t="str">
        <f aca="false">IF(AF61="","",RANK(AF61,$AF$2:$AF$500))</f>
        <v/>
      </c>
    </row>
    <row r="62" customFormat="false" ht="16.5" hidden="false" customHeight="true" outlineLevel="0" collapsed="false">
      <c r="A62" s="86"/>
      <c r="B62" s="86"/>
      <c r="C62" s="87" t="str">
        <f aca="false">IF(D62="","",IFERROR(INDEX(CADASTRO_VIVO_3CRE!$B$2:$B$150,MATCH(D62,CADASTRO_VIVO_3CRE!$E$2:$E$150,0)),""))</f>
        <v/>
      </c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8"/>
      <c r="S62" s="89" t="str">
        <f aca="true">IF(R62="","",TODAY()-INT(R62))</f>
        <v/>
      </c>
      <c r="T62" s="86"/>
      <c r="U62" s="86"/>
      <c r="V62" s="86"/>
      <c r="W62" s="88"/>
      <c r="X62" s="89" t="str">
        <f aca="true">IF(W62="","",IF(OR(O62="28 - Encerrado",O62="27 - Instalação concluída"),"Concluído",TODAY()-INT(W62)))</f>
        <v/>
      </c>
      <c r="Y62" s="90" t="str">
        <f aca="false">IF(OR(O62="28 - Encerrado",O62="27 - Instalação concluída"),"OK",IF(AND(B62&lt;&gt;"",S62=""),"ATENÇÃO (Sem data de atualização)",IF(S62="","",IF(S62&gt;30,"CRÍTICO (Sem Atualização &gt;30 dias)",IF(S62&gt;15,"ATENÇÃO (Sem Atualização &gt;15 dias)",IF(X62&gt;90,"CRÍTICO (Aberto &gt;90 dias)","OK"))))))</f>
        <v/>
      </c>
      <c r="Z62" s="90" t="str">
        <f aca="false">IF(B62="","",IF(OR(O62="27 - Instalação concluída",O62="28 - Encerrado"),"OK",IF(NOT(ISNUMBER(X62)),"",IF(X62&gt;365,"MUITO ANTIGO (&gt;1 ano)",IF(X62&gt;180,"ANTIGO (&gt;6 meses)",IF(X62&gt;90,"ATENÇÃO ANTIG. (&gt;3 meses)","OK"))))))</f>
        <v/>
      </c>
      <c r="AA62" s="86"/>
      <c r="AB62" s="69" t="str">
        <f aca="false">IF(AND(B62&lt;&gt;"",OR(T62="Pendente de Vistoria",T62="Não validada")),MAX($AB$1:$AB$61)+1,"")</f>
        <v/>
      </c>
      <c r="AC62" s="69" t="str">
        <f aca="false">IF(AND(B62&lt;&gt;"",OR(ISNUMBER(SEARCH("CTIN",P62)),U62="Alta",O62="07 - Relatório recebido — unidade apta",O62="11 - Orçamentos em análise técnica",O62="22 - Instalação/substituição autorizada")),MAX($AC$1:$AC$61)+1,"")</f>
        <v/>
      </c>
      <c r="AD62" s="69" t="str">
        <f aca="false">IF(AND(B62&lt;&gt;"",OR(ISNUMBER(SEARCH("CTO",P62)),LEFT(O62,2)="22",LEFT(O62,2)="23",LEFT(O62,2)="24",LEFT(O62,2)="25",LEFT(O62,2)="26",LEFT(O62,2)="27")),MAX($AD$1:$AD$61)+1,"")</f>
        <v/>
      </c>
      <c r="AE62" s="69" t="str">
        <f aca="false">IF(AND(B62&lt;&gt;"",D62=CONSULTA_UNIDADE!$B$4),MAX($AE$1:$AE$61)+1,"")</f>
        <v/>
      </c>
      <c r="AF62" s="69" t="str">
        <f aca="false">IF(AND(B62&lt;&gt;"",O62&lt;&gt;"27 - Instalação concluída",O62&lt;&gt;"28 - Encerrado",ISNUMBER(S62)),S62*1000+(1000-ROW()),"")</f>
        <v/>
      </c>
      <c r="AG62" s="69" t="str">
        <f aca="false">IF(AF62="","",RANK(AF62,$AF$2:$AF$500))</f>
        <v/>
      </c>
    </row>
    <row r="63" customFormat="false" ht="16.5" hidden="false" customHeight="true" outlineLevel="0" collapsed="false">
      <c r="A63" s="86"/>
      <c r="B63" s="86"/>
      <c r="C63" s="87" t="str">
        <f aca="false">IF(D63="","",IFERROR(INDEX(CADASTRO_VIVO_3CRE!$B$2:$B$150,MATCH(D63,CADASTRO_VIVO_3CRE!$E$2:$E$150,0)),""))</f>
        <v/>
      </c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8"/>
      <c r="S63" s="89" t="str">
        <f aca="true">IF(R63="","",TODAY()-INT(R63))</f>
        <v/>
      </c>
      <c r="T63" s="86"/>
      <c r="U63" s="86"/>
      <c r="V63" s="86"/>
      <c r="W63" s="88"/>
      <c r="X63" s="89" t="str">
        <f aca="true">IF(W63="","",IF(OR(O63="28 - Encerrado",O63="27 - Instalação concluída"),"Concluído",TODAY()-INT(W63)))</f>
        <v/>
      </c>
      <c r="Y63" s="90" t="str">
        <f aca="false">IF(OR(O63="28 - Encerrado",O63="27 - Instalação concluída"),"OK",IF(AND(B63&lt;&gt;"",S63=""),"ATENÇÃO (Sem data de atualização)",IF(S63="","",IF(S63&gt;30,"CRÍTICO (Sem Atualização &gt;30 dias)",IF(S63&gt;15,"ATENÇÃO (Sem Atualização &gt;15 dias)",IF(X63&gt;90,"CRÍTICO (Aberto &gt;90 dias)","OK"))))))</f>
        <v/>
      </c>
      <c r="Z63" s="90" t="str">
        <f aca="false">IF(B63="","",IF(OR(O63="27 - Instalação concluída",O63="28 - Encerrado"),"OK",IF(NOT(ISNUMBER(X63)),"",IF(X63&gt;365,"MUITO ANTIGO (&gt;1 ano)",IF(X63&gt;180,"ANTIGO (&gt;6 meses)",IF(X63&gt;90,"ATENÇÃO ANTIG. (&gt;3 meses)","OK"))))))</f>
        <v/>
      </c>
      <c r="AA63" s="86"/>
      <c r="AB63" s="69" t="str">
        <f aca="false">IF(AND(B63&lt;&gt;"",OR(T63="Pendente de Vistoria",T63="Não validada")),MAX($AB$1:$AB$62)+1,"")</f>
        <v/>
      </c>
      <c r="AC63" s="69" t="str">
        <f aca="false">IF(AND(B63&lt;&gt;"",OR(ISNUMBER(SEARCH("CTIN",P63)),U63="Alta",O63="07 - Relatório recebido — unidade apta",O63="11 - Orçamentos em análise técnica",O63="22 - Instalação/substituição autorizada")),MAX($AC$1:$AC$62)+1,"")</f>
        <v/>
      </c>
      <c r="AD63" s="69" t="str">
        <f aca="false">IF(AND(B63&lt;&gt;"",OR(ISNUMBER(SEARCH("CTO",P63)),LEFT(O63,2)="22",LEFT(O63,2)="23",LEFT(O63,2)="24",LEFT(O63,2)="25",LEFT(O63,2)="26",LEFT(O63,2)="27")),MAX($AD$1:$AD$62)+1,"")</f>
        <v/>
      </c>
      <c r="AE63" s="69" t="str">
        <f aca="false">IF(AND(B63&lt;&gt;"",D63=CONSULTA_UNIDADE!$B$4),MAX($AE$1:$AE$62)+1,"")</f>
        <v/>
      </c>
      <c r="AF63" s="69" t="str">
        <f aca="false">IF(AND(B63&lt;&gt;"",O63&lt;&gt;"27 - Instalação concluída",O63&lt;&gt;"28 - Encerrado",ISNUMBER(S63)),S63*1000+(1000-ROW()),"")</f>
        <v/>
      </c>
      <c r="AG63" s="69" t="str">
        <f aca="false">IF(AF63="","",RANK(AF63,$AF$2:$AF$500))</f>
        <v/>
      </c>
    </row>
    <row r="64" customFormat="false" ht="16.5" hidden="false" customHeight="true" outlineLevel="0" collapsed="false">
      <c r="A64" s="86"/>
      <c r="B64" s="86"/>
      <c r="C64" s="87" t="str">
        <f aca="false">IF(D64="","",IFERROR(INDEX(CADASTRO_VIVO_3CRE!$B$2:$B$150,MATCH(D64,CADASTRO_VIVO_3CRE!$E$2:$E$150,0)),""))</f>
        <v/>
      </c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8"/>
      <c r="S64" s="89" t="str">
        <f aca="true">IF(R64="","",TODAY()-INT(R64))</f>
        <v/>
      </c>
      <c r="T64" s="86"/>
      <c r="U64" s="86"/>
      <c r="V64" s="86"/>
      <c r="W64" s="88"/>
      <c r="X64" s="89" t="str">
        <f aca="true">IF(W64="","",IF(OR(O64="28 - Encerrado",O64="27 - Instalação concluída"),"Concluído",TODAY()-INT(W64)))</f>
        <v/>
      </c>
      <c r="Y64" s="90" t="str">
        <f aca="false">IF(OR(O64="28 - Encerrado",O64="27 - Instalação concluída"),"OK",IF(AND(B64&lt;&gt;"",S64=""),"ATENÇÃO (Sem data de atualização)",IF(S64="","",IF(S64&gt;30,"CRÍTICO (Sem Atualização &gt;30 dias)",IF(S64&gt;15,"ATENÇÃO (Sem Atualização &gt;15 dias)",IF(X64&gt;90,"CRÍTICO (Aberto &gt;90 dias)","OK"))))))</f>
        <v/>
      </c>
      <c r="Z64" s="90" t="str">
        <f aca="false">IF(B64="","",IF(OR(O64="27 - Instalação concluída",O64="28 - Encerrado"),"OK",IF(NOT(ISNUMBER(X64)),"",IF(X64&gt;365,"MUITO ANTIGO (&gt;1 ano)",IF(X64&gt;180,"ANTIGO (&gt;6 meses)",IF(X64&gt;90,"ATENÇÃO ANTIG. (&gt;3 meses)","OK"))))))</f>
        <v/>
      </c>
      <c r="AA64" s="86"/>
      <c r="AB64" s="69" t="str">
        <f aca="false">IF(AND(B64&lt;&gt;"",OR(T64="Pendente de Vistoria",T64="Não validada")),MAX($AB$1:$AB$63)+1,"")</f>
        <v/>
      </c>
      <c r="AC64" s="69" t="str">
        <f aca="false">IF(AND(B64&lt;&gt;"",OR(ISNUMBER(SEARCH("CTIN",P64)),U64="Alta",O64="07 - Relatório recebido — unidade apta",O64="11 - Orçamentos em análise técnica",O64="22 - Instalação/substituição autorizada")),MAX($AC$1:$AC$63)+1,"")</f>
        <v/>
      </c>
      <c r="AD64" s="69" t="str">
        <f aca="false">IF(AND(B64&lt;&gt;"",OR(ISNUMBER(SEARCH("CTO",P64)),LEFT(O64,2)="22",LEFT(O64,2)="23",LEFT(O64,2)="24",LEFT(O64,2)="25",LEFT(O64,2)="26",LEFT(O64,2)="27")),MAX($AD$1:$AD$63)+1,"")</f>
        <v/>
      </c>
      <c r="AE64" s="69" t="str">
        <f aca="false">IF(AND(B64&lt;&gt;"",D64=CONSULTA_UNIDADE!$B$4),MAX($AE$1:$AE$63)+1,"")</f>
        <v/>
      </c>
      <c r="AF64" s="69" t="str">
        <f aca="false">IF(AND(B64&lt;&gt;"",O64&lt;&gt;"27 - Instalação concluída",O64&lt;&gt;"28 - Encerrado",ISNUMBER(S64)),S64*1000+(1000-ROW()),"")</f>
        <v/>
      </c>
      <c r="AG64" s="69" t="str">
        <f aca="false">IF(AF64="","",RANK(AF64,$AF$2:$AF$500))</f>
        <v/>
      </c>
    </row>
    <row r="65" customFormat="false" ht="16.5" hidden="false" customHeight="true" outlineLevel="0" collapsed="false">
      <c r="A65" s="86"/>
      <c r="B65" s="86"/>
      <c r="C65" s="87" t="str">
        <f aca="false">IF(D65="","",IFERROR(INDEX(CADASTRO_VIVO_3CRE!$B$2:$B$150,MATCH(D65,CADASTRO_VIVO_3CRE!$E$2:$E$150,0)),""))</f>
        <v/>
      </c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8"/>
      <c r="S65" s="89" t="str">
        <f aca="true">IF(R65="","",TODAY()-INT(R65))</f>
        <v/>
      </c>
      <c r="T65" s="86"/>
      <c r="U65" s="86"/>
      <c r="V65" s="86"/>
      <c r="W65" s="88"/>
      <c r="X65" s="89" t="str">
        <f aca="true">IF(W65="","",IF(OR(O65="28 - Encerrado",O65="27 - Instalação concluída"),"Concluído",TODAY()-INT(W65)))</f>
        <v/>
      </c>
      <c r="Y65" s="90" t="str">
        <f aca="false">IF(OR(O65="28 - Encerrado",O65="27 - Instalação concluída"),"OK",IF(AND(B65&lt;&gt;"",S65=""),"ATENÇÃO (Sem data de atualização)",IF(S65="","",IF(S65&gt;30,"CRÍTICO (Sem Atualização &gt;30 dias)",IF(S65&gt;15,"ATENÇÃO (Sem Atualização &gt;15 dias)",IF(X65&gt;90,"CRÍTICO (Aberto &gt;90 dias)","OK"))))))</f>
        <v/>
      </c>
      <c r="Z65" s="90" t="str">
        <f aca="false">IF(B65="","",IF(OR(O65="27 - Instalação concluída",O65="28 - Encerrado"),"OK",IF(NOT(ISNUMBER(X65)),"",IF(X65&gt;365,"MUITO ANTIGO (&gt;1 ano)",IF(X65&gt;180,"ANTIGO (&gt;6 meses)",IF(X65&gt;90,"ATENÇÃO ANTIG. (&gt;3 meses)","OK"))))))</f>
        <v/>
      </c>
      <c r="AA65" s="86"/>
      <c r="AB65" s="69" t="str">
        <f aca="false">IF(AND(B65&lt;&gt;"",OR(T65="Pendente de Vistoria",T65="Não validada")),MAX($AB$1:$AB$64)+1,"")</f>
        <v/>
      </c>
      <c r="AC65" s="69" t="str">
        <f aca="false">IF(AND(B65&lt;&gt;"",OR(ISNUMBER(SEARCH("CTIN",P65)),U65="Alta",O65="07 - Relatório recebido — unidade apta",O65="11 - Orçamentos em análise técnica",O65="22 - Instalação/substituição autorizada")),MAX($AC$1:$AC$64)+1,"")</f>
        <v/>
      </c>
      <c r="AD65" s="69" t="str">
        <f aca="false">IF(AND(B65&lt;&gt;"",OR(ISNUMBER(SEARCH("CTO",P65)),LEFT(O65,2)="22",LEFT(O65,2)="23",LEFT(O65,2)="24",LEFT(O65,2)="25",LEFT(O65,2)="26",LEFT(O65,2)="27")),MAX($AD$1:$AD$64)+1,"")</f>
        <v/>
      </c>
      <c r="AE65" s="69" t="str">
        <f aca="false">IF(AND(B65&lt;&gt;"",D65=CONSULTA_UNIDADE!$B$4),MAX($AE$1:$AE$64)+1,"")</f>
        <v/>
      </c>
      <c r="AF65" s="69" t="str">
        <f aca="false">IF(AND(B65&lt;&gt;"",O65&lt;&gt;"27 - Instalação concluída",O65&lt;&gt;"28 - Encerrado",ISNUMBER(S65)),S65*1000+(1000-ROW()),"")</f>
        <v/>
      </c>
      <c r="AG65" s="69" t="str">
        <f aca="false">IF(AF65="","",RANK(AF65,$AF$2:$AF$500))</f>
        <v/>
      </c>
    </row>
    <row r="66" customFormat="false" ht="16.5" hidden="false" customHeight="true" outlineLevel="0" collapsed="false">
      <c r="A66" s="86"/>
      <c r="B66" s="86"/>
      <c r="C66" s="87" t="str">
        <f aca="false">IF(D66="","",IFERROR(INDEX(CADASTRO_VIVO_3CRE!$B$2:$B$150,MATCH(D66,CADASTRO_VIVO_3CRE!$E$2:$E$150,0)),""))</f>
        <v/>
      </c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8"/>
      <c r="S66" s="89" t="str">
        <f aca="true">IF(R66="","",TODAY()-INT(R66))</f>
        <v/>
      </c>
      <c r="T66" s="86"/>
      <c r="U66" s="86"/>
      <c r="V66" s="86"/>
      <c r="W66" s="88"/>
      <c r="X66" s="89" t="str">
        <f aca="true">IF(W66="","",IF(OR(O66="28 - Encerrado",O66="27 - Instalação concluída"),"Concluído",TODAY()-INT(W66)))</f>
        <v/>
      </c>
      <c r="Y66" s="90" t="str">
        <f aca="false">IF(OR(O66="28 - Encerrado",O66="27 - Instalação concluída"),"OK",IF(AND(B66&lt;&gt;"",S66=""),"ATENÇÃO (Sem data de atualização)",IF(S66="","",IF(S66&gt;30,"CRÍTICO (Sem Atualização &gt;30 dias)",IF(S66&gt;15,"ATENÇÃO (Sem Atualização &gt;15 dias)",IF(X66&gt;90,"CRÍTICO (Aberto &gt;90 dias)","OK"))))))</f>
        <v/>
      </c>
      <c r="Z66" s="90" t="str">
        <f aca="false">IF(B66="","",IF(OR(O66="27 - Instalação concluída",O66="28 - Encerrado"),"OK",IF(NOT(ISNUMBER(X66)),"",IF(X66&gt;365,"MUITO ANTIGO (&gt;1 ano)",IF(X66&gt;180,"ANTIGO (&gt;6 meses)",IF(X66&gt;90,"ATENÇÃO ANTIG. (&gt;3 meses)","OK"))))))</f>
        <v/>
      </c>
      <c r="AA66" s="86"/>
      <c r="AB66" s="69" t="str">
        <f aca="false">IF(AND(B66&lt;&gt;"",OR(T66="Pendente de Vistoria",T66="Não validada")),MAX($AB$1:$AB$65)+1,"")</f>
        <v/>
      </c>
      <c r="AC66" s="69" t="str">
        <f aca="false">IF(AND(B66&lt;&gt;"",OR(ISNUMBER(SEARCH("CTIN",P66)),U66="Alta",O66="07 - Relatório recebido — unidade apta",O66="11 - Orçamentos em análise técnica",O66="22 - Instalação/substituição autorizada")),MAX($AC$1:$AC$65)+1,"")</f>
        <v/>
      </c>
      <c r="AD66" s="69" t="str">
        <f aca="false">IF(AND(B66&lt;&gt;"",OR(ISNUMBER(SEARCH("CTO",P66)),LEFT(O66,2)="22",LEFT(O66,2)="23",LEFT(O66,2)="24",LEFT(O66,2)="25",LEFT(O66,2)="26",LEFT(O66,2)="27")),MAX($AD$1:$AD$65)+1,"")</f>
        <v/>
      </c>
      <c r="AE66" s="69" t="str">
        <f aca="false">IF(AND(B66&lt;&gt;"",D66=CONSULTA_UNIDADE!$B$4),MAX($AE$1:$AE$65)+1,"")</f>
        <v/>
      </c>
      <c r="AF66" s="69" t="str">
        <f aca="false">IF(AND(B66&lt;&gt;"",O66&lt;&gt;"27 - Instalação concluída",O66&lt;&gt;"28 - Encerrado",ISNUMBER(S66)),S66*1000+(1000-ROW()),"")</f>
        <v/>
      </c>
      <c r="AG66" s="69" t="str">
        <f aca="false">IF(AF66="","",RANK(AF66,$AF$2:$AF$500))</f>
        <v/>
      </c>
    </row>
    <row r="67" customFormat="false" ht="16.5" hidden="false" customHeight="true" outlineLevel="0" collapsed="false">
      <c r="A67" s="86"/>
      <c r="B67" s="86"/>
      <c r="C67" s="87" t="str">
        <f aca="false">IF(D67="","",IFERROR(INDEX(CADASTRO_VIVO_3CRE!$B$2:$B$150,MATCH(D67,CADASTRO_VIVO_3CRE!$E$2:$E$150,0)),""))</f>
        <v/>
      </c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8"/>
      <c r="S67" s="89" t="str">
        <f aca="true">IF(R67="","",TODAY()-INT(R67))</f>
        <v/>
      </c>
      <c r="T67" s="86"/>
      <c r="U67" s="86"/>
      <c r="V67" s="86"/>
      <c r="W67" s="88"/>
      <c r="X67" s="89" t="str">
        <f aca="true">IF(W67="","",IF(OR(O67="28 - Encerrado",O67="27 - Instalação concluída"),"Concluído",TODAY()-INT(W67)))</f>
        <v/>
      </c>
      <c r="Y67" s="90" t="str">
        <f aca="false">IF(OR(O67="28 - Encerrado",O67="27 - Instalação concluída"),"OK",IF(AND(B67&lt;&gt;"",S67=""),"ATENÇÃO (Sem data de atualização)",IF(S67="","",IF(S67&gt;30,"CRÍTICO (Sem Atualização &gt;30 dias)",IF(S67&gt;15,"ATENÇÃO (Sem Atualização &gt;15 dias)",IF(X67&gt;90,"CRÍTICO (Aberto &gt;90 dias)","OK"))))))</f>
        <v/>
      </c>
      <c r="Z67" s="90" t="str">
        <f aca="false">IF(B67="","",IF(OR(O67="27 - Instalação concluída",O67="28 - Encerrado"),"OK",IF(NOT(ISNUMBER(X67)),"",IF(X67&gt;365,"MUITO ANTIGO (&gt;1 ano)",IF(X67&gt;180,"ANTIGO (&gt;6 meses)",IF(X67&gt;90,"ATENÇÃO ANTIG. (&gt;3 meses)","OK"))))))</f>
        <v/>
      </c>
      <c r="AA67" s="86"/>
      <c r="AB67" s="69" t="str">
        <f aca="false">IF(AND(B67&lt;&gt;"",OR(T67="Pendente de Vistoria",T67="Não validada")),MAX($AB$1:$AB$66)+1,"")</f>
        <v/>
      </c>
      <c r="AC67" s="69" t="str">
        <f aca="false">IF(AND(B67&lt;&gt;"",OR(ISNUMBER(SEARCH("CTIN",P67)),U67="Alta",O67="07 - Relatório recebido — unidade apta",O67="11 - Orçamentos em análise técnica",O67="22 - Instalação/substituição autorizada")),MAX($AC$1:$AC$66)+1,"")</f>
        <v/>
      </c>
      <c r="AD67" s="69" t="str">
        <f aca="false">IF(AND(B67&lt;&gt;"",OR(ISNUMBER(SEARCH("CTO",P67)),LEFT(O67,2)="22",LEFT(O67,2)="23",LEFT(O67,2)="24",LEFT(O67,2)="25",LEFT(O67,2)="26",LEFT(O67,2)="27")),MAX($AD$1:$AD$66)+1,"")</f>
        <v/>
      </c>
      <c r="AE67" s="69" t="str">
        <f aca="false">IF(AND(B67&lt;&gt;"",D67=CONSULTA_UNIDADE!$B$4),MAX($AE$1:$AE$66)+1,"")</f>
        <v/>
      </c>
      <c r="AF67" s="69" t="str">
        <f aca="false">IF(AND(B67&lt;&gt;"",O67&lt;&gt;"27 - Instalação concluída",O67&lt;&gt;"28 - Encerrado",ISNUMBER(S67)),S67*1000+(1000-ROW()),"")</f>
        <v/>
      </c>
      <c r="AG67" s="69" t="str">
        <f aca="false">IF(AF67="","",RANK(AF67,$AF$2:$AF$500))</f>
        <v/>
      </c>
    </row>
    <row r="68" customFormat="false" ht="16.5" hidden="false" customHeight="true" outlineLevel="0" collapsed="false">
      <c r="A68" s="86"/>
      <c r="B68" s="86"/>
      <c r="C68" s="87" t="str">
        <f aca="false">IF(D68="","",IFERROR(INDEX(CADASTRO_VIVO_3CRE!$B$2:$B$150,MATCH(D68,CADASTRO_VIVO_3CRE!$E$2:$E$150,0)),""))</f>
        <v/>
      </c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8"/>
      <c r="S68" s="89" t="str">
        <f aca="true">IF(R68="","",TODAY()-INT(R68))</f>
        <v/>
      </c>
      <c r="T68" s="86"/>
      <c r="U68" s="86"/>
      <c r="V68" s="86"/>
      <c r="W68" s="88"/>
      <c r="X68" s="89" t="str">
        <f aca="true">IF(W68="","",IF(OR(O68="28 - Encerrado",O68="27 - Instalação concluída"),"Concluído",TODAY()-INT(W68)))</f>
        <v/>
      </c>
      <c r="Y68" s="90" t="str">
        <f aca="false">IF(OR(O68="28 - Encerrado",O68="27 - Instalação concluída"),"OK",IF(AND(B68&lt;&gt;"",S68=""),"ATENÇÃO (Sem data de atualização)",IF(S68="","",IF(S68&gt;30,"CRÍTICO (Sem Atualização &gt;30 dias)",IF(S68&gt;15,"ATENÇÃO (Sem Atualização &gt;15 dias)",IF(X68&gt;90,"CRÍTICO (Aberto &gt;90 dias)","OK"))))))</f>
        <v/>
      </c>
      <c r="Z68" s="90" t="str">
        <f aca="false">IF(B68="","",IF(OR(O68="27 - Instalação concluída",O68="28 - Encerrado"),"OK",IF(NOT(ISNUMBER(X68)),"",IF(X68&gt;365,"MUITO ANTIGO (&gt;1 ano)",IF(X68&gt;180,"ANTIGO (&gt;6 meses)",IF(X68&gt;90,"ATENÇÃO ANTIG. (&gt;3 meses)","OK"))))))</f>
        <v/>
      </c>
      <c r="AA68" s="86"/>
      <c r="AB68" s="69" t="str">
        <f aca="false">IF(AND(B68&lt;&gt;"",OR(T68="Pendente de Vistoria",T68="Não validada")),MAX($AB$1:$AB$67)+1,"")</f>
        <v/>
      </c>
      <c r="AC68" s="69" t="str">
        <f aca="false">IF(AND(B68&lt;&gt;"",OR(ISNUMBER(SEARCH("CTIN",P68)),U68="Alta",O68="07 - Relatório recebido — unidade apta",O68="11 - Orçamentos em análise técnica",O68="22 - Instalação/substituição autorizada")),MAX($AC$1:$AC$67)+1,"")</f>
        <v/>
      </c>
      <c r="AD68" s="69" t="str">
        <f aca="false">IF(AND(B68&lt;&gt;"",OR(ISNUMBER(SEARCH("CTO",P68)),LEFT(O68,2)="22",LEFT(O68,2)="23",LEFT(O68,2)="24",LEFT(O68,2)="25",LEFT(O68,2)="26",LEFT(O68,2)="27")),MAX($AD$1:$AD$67)+1,"")</f>
        <v/>
      </c>
      <c r="AE68" s="69" t="str">
        <f aca="false">IF(AND(B68&lt;&gt;"",D68=CONSULTA_UNIDADE!$B$4),MAX($AE$1:$AE$67)+1,"")</f>
        <v/>
      </c>
      <c r="AF68" s="69" t="str">
        <f aca="false">IF(AND(B68&lt;&gt;"",O68&lt;&gt;"27 - Instalação concluída",O68&lt;&gt;"28 - Encerrado",ISNUMBER(S68)),S68*1000+(1000-ROW()),"")</f>
        <v/>
      </c>
      <c r="AG68" s="69" t="str">
        <f aca="false">IF(AF68="","",RANK(AF68,$AF$2:$AF$500))</f>
        <v/>
      </c>
    </row>
    <row r="69" customFormat="false" ht="16.5" hidden="false" customHeight="true" outlineLevel="0" collapsed="false">
      <c r="A69" s="86"/>
      <c r="B69" s="86"/>
      <c r="C69" s="87" t="str">
        <f aca="false">IF(D69="","",IFERROR(INDEX(CADASTRO_VIVO_3CRE!$B$2:$B$150,MATCH(D69,CADASTRO_VIVO_3CRE!$E$2:$E$150,0)),""))</f>
        <v/>
      </c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8"/>
      <c r="S69" s="89" t="str">
        <f aca="true">IF(R69="","",TODAY()-INT(R69))</f>
        <v/>
      </c>
      <c r="T69" s="86"/>
      <c r="U69" s="86"/>
      <c r="V69" s="86"/>
      <c r="W69" s="88"/>
      <c r="X69" s="89" t="str">
        <f aca="true">IF(W69="","",IF(OR(O69="28 - Encerrado",O69="27 - Instalação concluída"),"Concluído",TODAY()-INT(W69)))</f>
        <v/>
      </c>
      <c r="Y69" s="90" t="str">
        <f aca="false">IF(OR(O69="28 - Encerrado",O69="27 - Instalação concluída"),"OK",IF(AND(B69&lt;&gt;"",S69=""),"ATENÇÃO (Sem data de atualização)",IF(S69="","",IF(S69&gt;30,"CRÍTICO (Sem Atualização &gt;30 dias)",IF(S69&gt;15,"ATENÇÃO (Sem Atualização &gt;15 dias)",IF(X69&gt;90,"CRÍTICO (Aberto &gt;90 dias)","OK"))))))</f>
        <v/>
      </c>
      <c r="Z69" s="90" t="str">
        <f aca="false">IF(B69="","",IF(OR(O69="27 - Instalação concluída",O69="28 - Encerrado"),"OK",IF(NOT(ISNUMBER(X69)),"",IF(X69&gt;365,"MUITO ANTIGO (&gt;1 ano)",IF(X69&gt;180,"ANTIGO (&gt;6 meses)",IF(X69&gt;90,"ATENÇÃO ANTIG. (&gt;3 meses)","OK"))))))</f>
        <v/>
      </c>
      <c r="AA69" s="86"/>
      <c r="AB69" s="69" t="str">
        <f aca="false">IF(AND(B69&lt;&gt;"",OR(T69="Pendente de Vistoria",T69="Não validada")),MAX($AB$1:$AB$68)+1,"")</f>
        <v/>
      </c>
      <c r="AC69" s="69" t="str">
        <f aca="false">IF(AND(B69&lt;&gt;"",OR(ISNUMBER(SEARCH("CTIN",P69)),U69="Alta",O69="07 - Relatório recebido — unidade apta",O69="11 - Orçamentos em análise técnica",O69="22 - Instalação/substituição autorizada")),MAX($AC$1:$AC$68)+1,"")</f>
        <v/>
      </c>
      <c r="AD69" s="69" t="str">
        <f aca="false">IF(AND(B69&lt;&gt;"",OR(ISNUMBER(SEARCH("CTO",P69)),LEFT(O69,2)="22",LEFT(O69,2)="23",LEFT(O69,2)="24",LEFT(O69,2)="25",LEFT(O69,2)="26",LEFT(O69,2)="27")),MAX($AD$1:$AD$68)+1,"")</f>
        <v/>
      </c>
      <c r="AE69" s="69" t="str">
        <f aca="false">IF(AND(B69&lt;&gt;"",D69=CONSULTA_UNIDADE!$B$4),MAX($AE$1:$AE$68)+1,"")</f>
        <v/>
      </c>
      <c r="AF69" s="69" t="str">
        <f aca="false">IF(AND(B69&lt;&gt;"",O69&lt;&gt;"27 - Instalação concluída",O69&lt;&gt;"28 - Encerrado",ISNUMBER(S69)),S69*1000+(1000-ROW()),"")</f>
        <v/>
      </c>
      <c r="AG69" s="69" t="str">
        <f aca="false">IF(AF69="","",RANK(AF69,$AF$2:$AF$500))</f>
        <v/>
      </c>
    </row>
    <row r="70" customFormat="false" ht="16.5" hidden="false" customHeight="true" outlineLevel="0" collapsed="false">
      <c r="A70" s="86"/>
      <c r="B70" s="86"/>
      <c r="C70" s="87" t="str">
        <f aca="false">IF(D70="","",IFERROR(INDEX(CADASTRO_VIVO_3CRE!$B$2:$B$150,MATCH(D70,CADASTRO_VIVO_3CRE!$E$2:$E$150,0)),""))</f>
        <v/>
      </c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8"/>
      <c r="S70" s="89" t="str">
        <f aca="true">IF(R70="","",TODAY()-INT(R70))</f>
        <v/>
      </c>
      <c r="T70" s="86"/>
      <c r="U70" s="86"/>
      <c r="V70" s="86"/>
      <c r="W70" s="88"/>
      <c r="X70" s="89" t="str">
        <f aca="true">IF(W70="","",IF(OR(O70="28 - Encerrado",O70="27 - Instalação concluída"),"Concluído",TODAY()-INT(W70)))</f>
        <v/>
      </c>
      <c r="Y70" s="90" t="str">
        <f aca="false">IF(OR(O70="28 - Encerrado",O70="27 - Instalação concluída"),"OK",IF(AND(B70&lt;&gt;"",S70=""),"ATENÇÃO (Sem data de atualização)",IF(S70="","",IF(S70&gt;30,"CRÍTICO (Sem Atualização &gt;30 dias)",IF(S70&gt;15,"ATENÇÃO (Sem Atualização &gt;15 dias)",IF(X70&gt;90,"CRÍTICO (Aberto &gt;90 dias)","OK"))))))</f>
        <v/>
      </c>
      <c r="Z70" s="90" t="str">
        <f aca="false">IF(B70="","",IF(OR(O70="27 - Instalação concluída",O70="28 - Encerrado"),"OK",IF(NOT(ISNUMBER(X70)),"",IF(X70&gt;365,"MUITO ANTIGO (&gt;1 ano)",IF(X70&gt;180,"ANTIGO (&gt;6 meses)",IF(X70&gt;90,"ATENÇÃO ANTIG. (&gt;3 meses)","OK"))))))</f>
        <v/>
      </c>
      <c r="AA70" s="86"/>
      <c r="AB70" s="69" t="str">
        <f aca="false">IF(AND(B70&lt;&gt;"",OR(T70="Pendente de Vistoria",T70="Não validada")),MAX($AB$1:$AB$69)+1,"")</f>
        <v/>
      </c>
      <c r="AC70" s="69" t="str">
        <f aca="false">IF(AND(B70&lt;&gt;"",OR(ISNUMBER(SEARCH("CTIN",P70)),U70="Alta",O70="07 - Relatório recebido — unidade apta",O70="11 - Orçamentos em análise técnica",O70="22 - Instalação/substituição autorizada")),MAX($AC$1:$AC$69)+1,"")</f>
        <v/>
      </c>
      <c r="AD70" s="69" t="str">
        <f aca="false">IF(AND(B70&lt;&gt;"",OR(ISNUMBER(SEARCH("CTO",P70)),LEFT(O70,2)="22",LEFT(O70,2)="23",LEFT(O70,2)="24",LEFT(O70,2)="25",LEFT(O70,2)="26",LEFT(O70,2)="27")),MAX($AD$1:$AD$69)+1,"")</f>
        <v/>
      </c>
      <c r="AE70" s="69" t="str">
        <f aca="false">IF(AND(B70&lt;&gt;"",D70=CONSULTA_UNIDADE!$B$4),MAX($AE$1:$AE$69)+1,"")</f>
        <v/>
      </c>
      <c r="AF70" s="69" t="str">
        <f aca="false">IF(AND(B70&lt;&gt;"",O70&lt;&gt;"27 - Instalação concluída",O70&lt;&gt;"28 - Encerrado",ISNUMBER(S70)),S70*1000+(1000-ROW()),"")</f>
        <v/>
      </c>
      <c r="AG70" s="69" t="str">
        <f aca="false">IF(AF70="","",RANK(AF70,$AF$2:$AF$500))</f>
        <v/>
      </c>
    </row>
    <row r="71" customFormat="false" ht="16.5" hidden="false" customHeight="true" outlineLevel="0" collapsed="false">
      <c r="A71" s="86"/>
      <c r="B71" s="86"/>
      <c r="C71" s="87" t="str">
        <f aca="false">IF(D71="","",IFERROR(INDEX(CADASTRO_VIVO_3CRE!$B$2:$B$150,MATCH(D71,CADASTRO_VIVO_3CRE!$E$2:$E$150,0)),""))</f>
        <v/>
      </c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8"/>
      <c r="S71" s="89" t="str">
        <f aca="true">IF(R71="","",TODAY()-INT(R71))</f>
        <v/>
      </c>
      <c r="T71" s="86"/>
      <c r="U71" s="86"/>
      <c r="V71" s="86"/>
      <c r="W71" s="88"/>
      <c r="X71" s="89" t="str">
        <f aca="true">IF(W71="","",IF(OR(O71="28 - Encerrado",O71="27 - Instalação concluída"),"Concluído",TODAY()-INT(W71)))</f>
        <v/>
      </c>
      <c r="Y71" s="90" t="str">
        <f aca="false">IF(OR(O71="28 - Encerrado",O71="27 - Instalação concluída"),"OK",IF(AND(B71&lt;&gt;"",S71=""),"ATENÇÃO (Sem data de atualização)",IF(S71="","",IF(S71&gt;30,"CRÍTICO (Sem Atualização &gt;30 dias)",IF(S71&gt;15,"ATENÇÃO (Sem Atualização &gt;15 dias)",IF(X71&gt;90,"CRÍTICO (Aberto &gt;90 dias)","OK"))))))</f>
        <v/>
      </c>
      <c r="Z71" s="90" t="str">
        <f aca="false">IF(B71="","",IF(OR(O71="27 - Instalação concluída",O71="28 - Encerrado"),"OK",IF(NOT(ISNUMBER(X71)),"",IF(X71&gt;365,"MUITO ANTIGO (&gt;1 ano)",IF(X71&gt;180,"ANTIGO (&gt;6 meses)",IF(X71&gt;90,"ATENÇÃO ANTIG. (&gt;3 meses)","OK"))))))</f>
        <v/>
      </c>
      <c r="AA71" s="86"/>
      <c r="AB71" s="69" t="str">
        <f aca="false">IF(AND(B71&lt;&gt;"",OR(T71="Pendente de Vistoria",T71="Não validada")),MAX($AB$1:$AB$70)+1,"")</f>
        <v/>
      </c>
      <c r="AC71" s="69" t="str">
        <f aca="false">IF(AND(B71&lt;&gt;"",OR(ISNUMBER(SEARCH("CTIN",P71)),U71="Alta",O71="07 - Relatório recebido — unidade apta",O71="11 - Orçamentos em análise técnica",O71="22 - Instalação/substituição autorizada")),MAX($AC$1:$AC$70)+1,"")</f>
        <v/>
      </c>
      <c r="AD71" s="69" t="str">
        <f aca="false">IF(AND(B71&lt;&gt;"",OR(ISNUMBER(SEARCH("CTO",P71)),LEFT(O71,2)="22",LEFT(O71,2)="23",LEFT(O71,2)="24",LEFT(O71,2)="25",LEFT(O71,2)="26",LEFT(O71,2)="27")),MAX($AD$1:$AD$70)+1,"")</f>
        <v/>
      </c>
      <c r="AE71" s="69" t="str">
        <f aca="false">IF(AND(B71&lt;&gt;"",D71=CONSULTA_UNIDADE!$B$4),MAX($AE$1:$AE$70)+1,"")</f>
        <v/>
      </c>
      <c r="AF71" s="69" t="str">
        <f aca="false">IF(AND(B71&lt;&gt;"",O71&lt;&gt;"27 - Instalação concluída",O71&lt;&gt;"28 - Encerrado",ISNUMBER(S71)),S71*1000+(1000-ROW()),"")</f>
        <v/>
      </c>
      <c r="AG71" s="69" t="str">
        <f aca="false">IF(AF71="","",RANK(AF71,$AF$2:$AF$500))</f>
        <v/>
      </c>
    </row>
    <row r="72" customFormat="false" ht="16.5" hidden="false" customHeight="true" outlineLevel="0" collapsed="false">
      <c r="A72" s="86"/>
      <c r="B72" s="86"/>
      <c r="C72" s="87" t="str">
        <f aca="false">IF(D72="","",IFERROR(INDEX(CADASTRO_VIVO_3CRE!$B$2:$B$150,MATCH(D72,CADASTRO_VIVO_3CRE!$E$2:$E$150,0)),""))</f>
        <v/>
      </c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8"/>
      <c r="S72" s="89" t="str">
        <f aca="true">IF(R72="","",TODAY()-INT(R72))</f>
        <v/>
      </c>
      <c r="T72" s="86"/>
      <c r="U72" s="86"/>
      <c r="V72" s="86"/>
      <c r="W72" s="88"/>
      <c r="X72" s="89" t="str">
        <f aca="true">IF(W72="","",IF(OR(O72="28 - Encerrado",O72="27 - Instalação concluída"),"Concluído",TODAY()-INT(W72)))</f>
        <v/>
      </c>
      <c r="Y72" s="90" t="str">
        <f aca="false">IF(OR(O72="28 - Encerrado",O72="27 - Instalação concluída"),"OK",IF(AND(B72&lt;&gt;"",S72=""),"ATENÇÃO (Sem data de atualização)",IF(S72="","",IF(S72&gt;30,"CRÍTICO (Sem Atualização &gt;30 dias)",IF(S72&gt;15,"ATENÇÃO (Sem Atualização &gt;15 dias)",IF(X72&gt;90,"CRÍTICO (Aberto &gt;90 dias)","OK"))))))</f>
        <v/>
      </c>
      <c r="Z72" s="90" t="str">
        <f aca="false">IF(B72="","",IF(OR(O72="27 - Instalação concluída",O72="28 - Encerrado"),"OK",IF(NOT(ISNUMBER(X72)),"",IF(X72&gt;365,"MUITO ANTIGO (&gt;1 ano)",IF(X72&gt;180,"ANTIGO (&gt;6 meses)",IF(X72&gt;90,"ATENÇÃO ANTIG. (&gt;3 meses)","OK"))))))</f>
        <v/>
      </c>
      <c r="AA72" s="86"/>
      <c r="AB72" s="69" t="str">
        <f aca="false">IF(AND(B72&lt;&gt;"",OR(T72="Pendente de Vistoria",T72="Não validada")),MAX($AB$1:$AB$71)+1,"")</f>
        <v/>
      </c>
      <c r="AC72" s="69" t="str">
        <f aca="false">IF(AND(B72&lt;&gt;"",OR(ISNUMBER(SEARCH("CTIN",P72)),U72="Alta",O72="07 - Relatório recebido — unidade apta",O72="11 - Orçamentos em análise técnica",O72="22 - Instalação/substituição autorizada")),MAX($AC$1:$AC$71)+1,"")</f>
        <v/>
      </c>
      <c r="AD72" s="69" t="str">
        <f aca="false">IF(AND(B72&lt;&gt;"",OR(ISNUMBER(SEARCH("CTO",P72)),LEFT(O72,2)="22",LEFT(O72,2)="23",LEFT(O72,2)="24",LEFT(O72,2)="25",LEFT(O72,2)="26",LEFT(O72,2)="27")),MAX($AD$1:$AD$71)+1,"")</f>
        <v/>
      </c>
      <c r="AE72" s="69" t="str">
        <f aca="false">IF(AND(B72&lt;&gt;"",D72=CONSULTA_UNIDADE!$B$4),MAX($AE$1:$AE$71)+1,"")</f>
        <v/>
      </c>
      <c r="AF72" s="69" t="str">
        <f aca="false">IF(AND(B72&lt;&gt;"",O72&lt;&gt;"27 - Instalação concluída",O72&lt;&gt;"28 - Encerrado",ISNUMBER(S72)),S72*1000+(1000-ROW()),"")</f>
        <v/>
      </c>
      <c r="AG72" s="69" t="str">
        <f aca="false">IF(AF72="","",RANK(AF72,$AF$2:$AF$500))</f>
        <v/>
      </c>
    </row>
    <row r="73" customFormat="false" ht="16.5" hidden="false" customHeight="true" outlineLevel="0" collapsed="false">
      <c r="A73" s="86"/>
      <c r="B73" s="86"/>
      <c r="C73" s="87" t="str">
        <f aca="false">IF(D73="","",IFERROR(INDEX(CADASTRO_VIVO_3CRE!$B$2:$B$150,MATCH(D73,CADASTRO_VIVO_3CRE!$E$2:$E$150,0)),""))</f>
        <v/>
      </c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8"/>
      <c r="S73" s="89" t="str">
        <f aca="true">IF(R73="","",TODAY()-INT(R73))</f>
        <v/>
      </c>
      <c r="T73" s="86"/>
      <c r="U73" s="86"/>
      <c r="V73" s="86"/>
      <c r="W73" s="88"/>
      <c r="X73" s="89" t="str">
        <f aca="true">IF(W73="","",IF(OR(O73="28 - Encerrado",O73="27 - Instalação concluída"),"Concluído",TODAY()-INT(W73)))</f>
        <v/>
      </c>
      <c r="Y73" s="90" t="str">
        <f aca="false">IF(OR(O73="28 - Encerrado",O73="27 - Instalação concluída"),"OK",IF(AND(B73&lt;&gt;"",S73=""),"ATENÇÃO (Sem data de atualização)",IF(S73="","",IF(S73&gt;30,"CRÍTICO (Sem Atualização &gt;30 dias)",IF(S73&gt;15,"ATENÇÃO (Sem Atualização &gt;15 dias)",IF(X73&gt;90,"CRÍTICO (Aberto &gt;90 dias)","OK"))))))</f>
        <v/>
      </c>
      <c r="Z73" s="90" t="str">
        <f aca="false">IF(B73="","",IF(OR(O73="27 - Instalação concluída",O73="28 - Encerrado"),"OK",IF(NOT(ISNUMBER(X73)),"",IF(X73&gt;365,"MUITO ANTIGO (&gt;1 ano)",IF(X73&gt;180,"ANTIGO (&gt;6 meses)",IF(X73&gt;90,"ATENÇÃO ANTIG. (&gt;3 meses)","OK"))))))</f>
        <v/>
      </c>
      <c r="AA73" s="86"/>
      <c r="AB73" s="69" t="str">
        <f aca="false">IF(AND(B73&lt;&gt;"",OR(T73="Pendente de Vistoria",T73="Não validada")),MAX($AB$1:$AB$72)+1,"")</f>
        <v/>
      </c>
      <c r="AC73" s="69" t="str">
        <f aca="false">IF(AND(B73&lt;&gt;"",OR(ISNUMBER(SEARCH("CTIN",P73)),U73="Alta",O73="07 - Relatório recebido — unidade apta",O73="11 - Orçamentos em análise técnica",O73="22 - Instalação/substituição autorizada")),MAX($AC$1:$AC$72)+1,"")</f>
        <v/>
      </c>
      <c r="AD73" s="69" t="str">
        <f aca="false">IF(AND(B73&lt;&gt;"",OR(ISNUMBER(SEARCH("CTO",P73)),LEFT(O73,2)="22",LEFT(O73,2)="23",LEFT(O73,2)="24",LEFT(O73,2)="25",LEFT(O73,2)="26",LEFT(O73,2)="27")),MAX($AD$1:$AD$72)+1,"")</f>
        <v/>
      </c>
      <c r="AE73" s="69" t="str">
        <f aca="false">IF(AND(B73&lt;&gt;"",D73=CONSULTA_UNIDADE!$B$4),MAX($AE$1:$AE$72)+1,"")</f>
        <v/>
      </c>
      <c r="AF73" s="69" t="str">
        <f aca="false">IF(AND(B73&lt;&gt;"",O73&lt;&gt;"27 - Instalação concluída",O73&lt;&gt;"28 - Encerrado",ISNUMBER(S73)),S73*1000+(1000-ROW()),"")</f>
        <v/>
      </c>
      <c r="AG73" s="69" t="str">
        <f aca="false">IF(AF73="","",RANK(AF73,$AF$2:$AF$500))</f>
        <v/>
      </c>
    </row>
    <row r="74" customFormat="false" ht="16.5" hidden="false" customHeight="true" outlineLevel="0" collapsed="false">
      <c r="A74" s="86"/>
      <c r="B74" s="86"/>
      <c r="C74" s="87" t="str">
        <f aca="false">IF(D74="","",IFERROR(INDEX(CADASTRO_VIVO_3CRE!$B$2:$B$150,MATCH(D74,CADASTRO_VIVO_3CRE!$E$2:$E$150,0)),""))</f>
        <v/>
      </c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8"/>
      <c r="S74" s="89" t="str">
        <f aca="true">IF(R74="","",TODAY()-INT(R74))</f>
        <v/>
      </c>
      <c r="T74" s="86"/>
      <c r="U74" s="86"/>
      <c r="V74" s="86"/>
      <c r="W74" s="88"/>
      <c r="X74" s="89" t="str">
        <f aca="true">IF(W74="","",IF(OR(O74="28 - Encerrado",O74="27 - Instalação concluída"),"Concluído",TODAY()-INT(W74)))</f>
        <v/>
      </c>
      <c r="Y74" s="90" t="str">
        <f aca="false">IF(OR(O74="28 - Encerrado",O74="27 - Instalação concluída"),"OK",IF(AND(B74&lt;&gt;"",S74=""),"ATENÇÃO (Sem data de atualização)",IF(S74="","",IF(S74&gt;30,"CRÍTICO (Sem Atualização &gt;30 dias)",IF(S74&gt;15,"ATENÇÃO (Sem Atualização &gt;15 dias)",IF(X74&gt;90,"CRÍTICO (Aberto &gt;90 dias)","OK"))))))</f>
        <v/>
      </c>
      <c r="Z74" s="90" t="str">
        <f aca="false">IF(B74="","",IF(OR(O74="27 - Instalação concluída",O74="28 - Encerrado"),"OK",IF(NOT(ISNUMBER(X74)),"",IF(X74&gt;365,"MUITO ANTIGO (&gt;1 ano)",IF(X74&gt;180,"ANTIGO (&gt;6 meses)",IF(X74&gt;90,"ATENÇÃO ANTIG. (&gt;3 meses)","OK"))))))</f>
        <v/>
      </c>
      <c r="AA74" s="86"/>
      <c r="AB74" s="69" t="str">
        <f aca="false">IF(AND(B74&lt;&gt;"",OR(T74="Pendente de Vistoria",T74="Não validada")),MAX($AB$1:$AB$73)+1,"")</f>
        <v/>
      </c>
      <c r="AC74" s="69" t="str">
        <f aca="false">IF(AND(B74&lt;&gt;"",OR(ISNUMBER(SEARCH("CTIN",P74)),U74="Alta",O74="07 - Relatório recebido — unidade apta",O74="11 - Orçamentos em análise técnica",O74="22 - Instalação/substituição autorizada")),MAX($AC$1:$AC$73)+1,"")</f>
        <v/>
      </c>
      <c r="AD74" s="69" t="str">
        <f aca="false">IF(AND(B74&lt;&gt;"",OR(ISNUMBER(SEARCH("CTO",P74)),LEFT(O74,2)="22",LEFT(O74,2)="23",LEFT(O74,2)="24",LEFT(O74,2)="25",LEFT(O74,2)="26",LEFT(O74,2)="27")),MAX($AD$1:$AD$73)+1,"")</f>
        <v/>
      </c>
      <c r="AE74" s="69" t="str">
        <f aca="false">IF(AND(B74&lt;&gt;"",D74=CONSULTA_UNIDADE!$B$4),MAX($AE$1:$AE$73)+1,"")</f>
        <v/>
      </c>
      <c r="AF74" s="69" t="str">
        <f aca="false">IF(AND(B74&lt;&gt;"",O74&lt;&gt;"27 - Instalação concluída",O74&lt;&gt;"28 - Encerrado",ISNUMBER(S74)),S74*1000+(1000-ROW()),"")</f>
        <v/>
      </c>
      <c r="AG74" s="69" t="str">
        <f aca="false">IF(AF74="","",RANK(AF74,$AF$2:$AF$500))</f>
        <v/>
      </c>
    </row>
    <row r="75" customFormat="false" ht="16.5" hidden="false" customHeight="true" outlineLevel="0" collapsed="false">
      <c r="A75" s="86"/>
      <c r="B75" s="86"/>
      <c r="C75" s="87" t="str">
        <f aca="false">IF(D75="","",IFERROR(INDEX(CADASTRO_VIVO_3CRE!$B$2:$B$150,MATCH(D75,CADASTRO_VIVO_3CRE!$E$2:$E$150,0)),""))</f>
        <v/>
      </c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8"/>
      <c r="S75" s="89" t="str">
        <f aca="true">IF(R75="","",TODAY()-INT(R75))</f>
        <v/>
      </c>
      <c r="T75" s="86"/>
      <c r="U75" s="86"/>
      <c r="V75" s="86"/>
      <c r="W75" s="88"/>
      <c r="X75" s="89" t="str">
        <f aca="true">IF(W75="","",IF(OR(O75="28 - Encerrado",O75="27 - Instalação concluída"),"Concluído",TODAY()-INT(W75)))</f>
        <v/>
      </c>
      <c r="Y75" s="90" t="str">
        <f aca="false">IF(OR(O75="28 - Encerrado",O75="27 - Instalação concluída"),"OK",IF(AND(B75&lt;&gt;"",S75=""),"ATENÇÃO (Sem data de atualização)",IF(S75="","",IF(S75&gt;30,"CRÍTICO (Sem Atualização &gt;30 dias)",IF(S75&gt;15,"ATENÇÃO (Sem Atualização &gt;15 dias)",IF(X75&gt;90,"CRÍTICO (Aberto &gt;90 dias)","OK"))))))</f>
        <v/>
      </c>
      <c r="Z75" s="90" t="str">
        <f aca="false">IF(B75="","",IF(OR(O75="27 - Instalação concluída",O75="28 - Encerrado"),"OK",IF(NOT(ISNUMBER(X75)),"",IF(X75&gt;365,"MUITO ANTIGO (&gt;1 ano)",IF(X75&gt;180,"ANTIGO (&gt;6 meses)",IF(X75&gt;90,"ATENÇÃO ANTIG. (&gt;3 meses)","OK"))))))</f>
        <v/>
      </c>
      <c r="AA75" s="86"/>
      <c r="AB75" s="69" t="str">
        <f aca="false">IF(AND(B75&lt;&gt;"",OR(T75="Pendente de Vistoria",T75="Não validada")),MAX($AB$1:$AB$74)+1,"")</f>
        <v/>
      </c>
      <c r="AC75" s="69" t="str">
        <f aca="false">IF(AND(B75&lt;&gt;"",OR(ISNUMBER(SEARCH("CTIN",P75)),U75="Alta",O75="07 - Relatório recebido — unidade apta",O75="11 - Orçamentos em análise técnica",O75="22 - Instalação/substituição autorizada")),MAX($AC$1:$AC$74)+1,"")</f>
        <v/>
      </c>
      <c r="AD75" s="69" t="str">
        <f aca="false">IF(AND(B75&lt;&gt;"",OR(ISNUMBER(SEARCH("CTO",P75)),LEFT(O75,2)="22",LEFT(O75,2)="23",LEFT(O75,2)="24",LEFT(O75,2)="25",LEFT(O75,2)="26",LEFT(O75,2)="27")),MAX($AD$1:$AD$74)+1,"")</f>
        <v/>
      </c>
      <c r="AE75" s="69" t="str">
        <f aca="false">IF(AND(B75&lt;&gt;"",D75=CONSULTA_UNIDADE!$B$4),MAX($AE$1:$AE$74)+1,"")</f>
        <v/>
      </c>
      <c r="AF75" s="69" t="str">
        <f aca="false">IF(AND(B75&lt;&gt;"",O75&lt;&gt;"27 - Instalação concluída",O75&lt;&gt;"28 - Encerrado",ISNUMBER(S75)),S75*1000+(1000-ROW()),"")</f>
        <v/>
      </c>
      <c r="AG75" s="69" t="str">
        <f aca="false">IF(AF75="","",RANK(AF75,$AF$2:$AF$500))</f>
        <v/>
      </c>
    </row>
    <row r="76" customFormat="false" ht="16.5" hidden="false" customHeight="true" outlineLevel="0" collapsed="false">
      <c r="A76" s="86"/>
      <c r="B76" s="86"/>
      <c r="C76" s="87" t="str">
        <f aca="false">IF(D76="","",IFERROR(INDEX(CADASTRO_VIVO_3CRE!$B$2:$B$150,MATCH(D76,CADASTRO_VIVO_3CRE!$E$2:$E$150,0)),""))</f>
        <v/>
      </c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8"/>
      <c r="S76" s="89" t="str">
        <f aca="true">IF(R76="","",TODAY()-INT(R76))</f>
        <v/>
      </c>
      <c r="T76" s="86"/>
      <c r="U76" s="86"/>
      <c r="V76" s="86"/>
      <c r="W76" s="88"/>
      <c r="X76" s="89" t="str">
        <f aca="true">IF(W76="","",IF(OR(O76="28 - Encerrado",O76="27 - Instalação concluída"),"Concluído",TODAY()-INT(W76)))</f>
        <v/>
      </c>
      <c r="Y76" s="90" t="str">
        <f aca="false">IF(OR(O76="28 - Encerrado",O76="27 - Instalação concluída"),"OK",IF(AND(B76&lt;&gt;"",S76=""),"ATENÇÃO (Sem data de atualização)",IF(S76="","",IF(S76&gt;30,"CRÍTICO (Sem Atualização &gt;30 dias)",IF(S76&gt;15,"ATENÇÃO (Sem Atualização &gt;15 dias)",IF(X76&gt;90,"CRÍTICO (Aberto &gt;90 dias)","OK"))))))</f>
        <v/>
      </c>
      <c r="Z76" s="90" t="str">
        <f aca="false">IF(B76="","",IF(OR(O76="27 - Instalação concluída",O76="28 - Encerrado"),"OK",IF(NOT(ISNUMBER(X76)),"",IF(X76&gt;365,"MUITO ANTIGO (&gt;1 ano)",IF(X76&gt;180,"ANTIGO (&gt;6 meses)",IF(X76&gt;90,"ATENÇÃO ANTIG. (&gt;3 meses)","OK"))))))</f>
        <v/>
      </c>
      <c r="AA76" s="86"/>
      <c r="AB76" s="69" t="str">
        <f aca="false">IF(AND(B76&lt;&gt;"",OR(T76="Pendente de Vistoria",T76="Não validada")),MAX($AB$1:$AB$75)+1,"")</f>
        <v/>
      </c>
      <c r="AC76" s="69" t="str">
        <f aca="false">IF(AND(B76&lt;&gt;"",OR(ISNUMBER(SEARCH("CTIN",P76)),U76="Alta",O76="07 - Relatório recebido — unidade apta",O76="11 - Orçamentos em análise técnica",O76="22 - Instalação/substituição autorizada")),MAX($AC$1:$AC$75)+1,"")</f>
        <v/>
      </c>
      <c r="AD76" s="69" t="str">
        <f aca="false">IF(AND(B76&lt;&gt;"",OR(ISNUMBER(SEARCH("CTO",P76)),LEFT(O76,2)="22",LEFT(O76,2)="23",LEFT(O76,2)="24",LEFT(O76,2)="25",LEFT(O76,2)="26",LEFT(O76,2)="27")),MAX($AD$1:$AD$75)+1,"")</f>
        <v/>
      </c>
      <c r="AE76" s="69" t="str">
        <f aca="false">IF(AND(B76&lt;&gt;"",D76=CONSULTA_UNIDADE!$B$4),MAX($AE$1:$AE$75)+1,"")</f>
        <v/>
      </c>
      <c r="AF76" s="69" t="str">
        <f aca="false">IF(AND(B76&lt;&gt;"",O76&lt;&gt;"27 - Instalação concluída",O76&lt;&gt;"28 - Encerrado",ISNUMBER(S76)),S76*1000+(1000-ROW()),"")</f>
        <v/>
      </c>
      <c r="AG76" s="69" t="str">
        <f aca="false">IF(AF76="","",RANK(AF76,$AF$2:$AF$500))</f>
        <v/>
      </c>
    </row>
    <row r="77" customFormat="false" ht="16.5" hidden="false" customHeight="true" outlineLevel="0" collapsed="false">
      <c r="A77" s="86"/>
      <c r="B77" s="86"/>
      <c r="C77" s="87" t="str">
        <f aca="false">IF(D77="","",IFERROR(INDEX(CADASTRO_VIVO_3CRE!$B$2:$B$150,MATCH(D77,CADASTRO_VIVO_3CRE!$E$2:$E$150,0)),""))</f>
        <v/>
      </c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8"/>
      <c r="S77" s="89" t="str">
        <f aca="true">IF(R77="","",TODAY()-INT(R77))</f>
        <v/>
      </c>
      <c r="T77" s="86"/>
      <c r="U77" s="86"/>
      <c r="V77" s="86"/>
      <c r="W77" s="88"/>
      <c r="X77" s="89" t="str">
        <f aca="true">IF(W77="","",IF(OR(O77="28 - Encerrado",O77="27 - Instalação concluída"),"Concluído",TODAY()-INT(W77)))</f>
        <v/>
      </c>
      <c r="Y77" s="90" t="str">
        <f aca="false">IF(OR(O77="28 - Encerrado",O77="27 - Instalação concluída"),"OK",IF(AND(B77&lt;&gt;"",S77=""),"ATENÇÃO (Sem data de atualização)",IF(S77="","",IF(S77&gt;30,"CRÍTICO (Sem Atualização &gt;30 dias)",IF(S77&gt;15,"ATENÇÃO (Sem Atualização &gt;15 dias)",IF(X77&gt;90,"CRÍTICO (Aberto &gt;90 dias)","OK"))))))</f>
        <v/>
      </c>
      <c r="Z77" s="90" t="str">
        <f aca="false">IF(B77="","",IF(OR(O77="27 - Instalação concluída",O77="28 - Encerrado"),"OK",IF(NOT(ISNUMBER(X77)),"",IF(X77&gt;365,"MUITO ANTIGO (&gt;1 ano)",IF(X77&gt;180,"ANTIGO (&gt;6 meses)",IF(X77&gt;90,"ATENÇÃO ANTIG. (&gt;3 meses)","OK"))))))</f>
        <v/>
      </c>
      <c r="AA77" s="86"/>
      <c r="AB77" s="69" t="str">
        <f aca="false">IF(AND(B77&lt;&gt;"",OR(T77="Pendente de Vistoria",T77="Não validada")),MAX($AB$1:$AB$76)+1,"")</f>
        <v/>
      </c>
      <c r="AC77" s="69" t="str">
        <f aca="false">IF(AND(B77&lt;&gt;"",OR(ISNUMBER(SEARCH("CTIN",P77)),U77="Alta",O77="07 - Relatório recebido — unidade apta",O77="11 - Orçamentos em análise técnica",O77="22 - Instalação/substituição autorizada")),MAX($AC$1:$AC$76)+1,"")</f>
        <v/>
      </c>
      <c r="AD77" s="69" t="str">
        <f aca="false">IF(AND(B77&lt;&gt;"",OR(ISNUMBER(SEARCH("CTO",P77)),LEFT(O77,2)="22",LEFT(O77,2)="23",LEFT(O77,2)="24",LEFT(O77,2)="25",LEFT(O77,2)="26",LEFT(O77,2)="27")),MAX($AD$1:$AD$76)+1,"")</f>
        <v/>
      </c>
      <c r="AE77" s="69" t="str">
        <f aca="false">IF(AND(B77&lt;&gt;"",D77=CONSULTA_UNIDADE!$B$4),MAX($AE$1:$AE$76)+1,"")</f>
        <v/>
      </c>
      <c r="AF77" s="69" t="str">
        <f aca="false">IF(AND(B77&lt;&gt;"",O77&lt;&gt;"27 - Instalação concluída",O77&lt;&gt;"28 - Encerrado",ISNUMBER(S77)),S77*1000+(1000-ROW()),"")</f>
        <v/>
      </c>
      <c r="AG77" s="69" t="str">
        <f aca="false">IF(AF77="","",RANK(AF77,$AF$2:$AF$500))</f>
        <v/>
      </c>
    </row>
    <row r="78" customFormat="false" ht="16.5" hidden="false" customHeight="true" outlineLevel="0" collapsed="false">
      <c r="A78" s="86"/>
      <c r="B78" s="86"/>
      <c r="C78" s="87" t="str">
        <f aca="false">IF(D78="","",IFERROR(INDEX(CADASTRO_VIVO_3CRE!$B$2:$B$150,MATCH(D78,CADASTRO_VIVO_3CRE!$E$2:$E$150,0)),""))</f>
        <v/>
      </c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8"/>
      <c r="S78" s="89" t="str">
        <f aca="true">IF(R78="","",TODAY()-INT(R78))</f>
        <v/>
      </c>
      <c r="T78" s="86"/>
      <c r="U78" s="86"/>
      <c r="V78" s="86"/>
      <c r="W78" s="88"/>
      <c r="X78" s="89" t="str">
        <f aca="true">IF(W78="","",IF(OR(O78="28 - Encerrado",O78="27 - Instalação concluída"),"Concluído",TODAY()-INT(W78)))</f>
        <v/>
      </c>
      <c r="Y78" s="90" t="str">
        <f aca="false">IF(OR(O78="28 - Encerrado",O78="27 - Instalação concluída"),"OK",IF(AND(B78&lt;&gt;"",S78=""),"ATENÇÃO (Sem data de atualização)",IF(S78="","",IF(S78&gt;30,"CRÍTICO (Sem Atualização &gt;30 dias)",IF(S78&gt;15,"ATENÇÃO (Sem Atualização &gt;15 dias)",IF(X78&gt;90,"CRÍTICO (Aberto &gt;90 dias)","OK"))))))</f>
        <v/>
      </c>
      <c r="Z78" s="90" t="str">
        <f aca="false">IF(B78="","",IF(OR(O78="27 - Instalação concluída",O78="28 - Encerrado"),"OK",IF(NOT(ISNUMBER(X78)),"",IF(X78&gt;365,"MUITO ANTIGO (&gt;1 ano)",IF(X78&gt;180,"ANTIGO (&gt;6 meses)",IF(X78&gt;90,"ATENÇÃO ANTIG. (&gt;3 meses)","OK"))))))</f>
        <v/>
      </c>
      <c r="AA78" s="86"/>
      <c r="AB78" s="69" t="str">
        <f aca="false">IF(AND(B78&lt;&gt;"",OR(T78="Pendente de Vistoria",T78="Não validada")),MAX($AB$1:$AB$77)+1,"")</f>
        <v/>
      </c>
      <c r="AC78" s="69" t="str">
        <f aca="false">IF(AND(B78&lt;&gt;"",OR(ISNUMBER(SEARCH("CTIN",P78)),U78="Alta",O78="07 - Relatório recebido — unidade apta",O78="11 - Orçamentos em análise técnica",O78="22 - Instalação/substituição autorizada")),MAX($AC$1:$AC$77)+1,"")</f>
        <v/>
      </c>
      <c r="AD78" s="69" t="str">
        <f aca="false">IF(AND(B78&lt;&gt;"",OR(ISNUMBER(SEARCH("CTO",P78)),LEFT(O78,2)="22",LEFT(O78,2)="23",LEFT(O78,2)="24",LEFT(O78,2)="25",LEFT(O78,2)="26",LEFT(O78,2)="27")),MAX($AD$1:$AD$77)+1,"")</f>
        <v/>
      </c>
      <c r="AE78" s="69" t="str">
        <f aca="false">IF(AND(B78&lt;&gt;"",D78=CONSULTA_UNIDADE!$B$4),MAX($AE$1:$AE$77)+1,"")</f>
        <v/>
      </c>
      <c r="AF78" s="69" t="str">
        <f aca="false">IF(AND(B78&lt;&gt;"",O78&lt;&gt;"27 - Instalação concluída",O78&lt;&gt;"28 - Encerrado",ISNUMBER(S78)),S78*1000+(1000-ROW()),"")</f>
        <v/>
      </c>
      <c r="AG78" s="69" t="str">
        <f aca="false">IF(AF78="","",RANK(AF78,$AF$2:$AF$500))</f>
        <v/>
      </c>
    </row>
    <row r="79" customFormat="false" ht="16.5" hidden="false" customHeight="true" outlineLevel="0" collapsed="false">
      <c r="A79" s="86"/>
      <c r="B79" s="86"/>
      <c r="C79" s="87" t="str">
        <f aca="false">IF(D79="","",IFERROR(INDEX(CADASTRO_VIVO_3CRE!$B$2:$B$150,MATCH(D79,CADASTRO_VIVO_3CRE!$E$2:$E$150,0)),""))</f>
        <v/>
      </c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8"/>
      <c r="S79" s="89" t="str">
        <f aca="true">IF(R79="","",TODAY()-INT(R79))</f>
        <v/>
      </c>
      <c r="T79" s="86"/>
      <c r="U79" s="86"/>
      <c r="V79" s="86"/>
      <c r="W79" s="88"/>
      <c r="X79" s="89" t="str">
        <f aca="true">IF(W79="","",IF(OR(O79="28 - Encerrado",O79="27 - Instalação concluída"),"Concluído",TODAY()-INT(W79)))</f>
        <v/>
      </c>
      <c r="Y79" s="90" t="str">
        <f aca="false">IF(OR(O79="28 - Encerrado",O79="27 - Instalação concluída"),"OK",IF(AND(B79&lt;&gt;"",S79=""),"ATENÇÃO (Sem data de atualização)",IF(S79="","",IF(S79&gt;30,"CRÍTICO (Sem Atualização &gt;30 dias)",IF(S79&gt;15,"ATENÇÃO (Sem Atualização &gt;15 dias)",IF(X79&gt;90,"CRÍTICO (Aberto &gt;90 dias)","OK"))))))</f>
        <v/>
      </c>
      <c r="Z79" s="90" t="str">
        <f aca="false">IF(B79="","",IF(OR(O79="27 - Instalação concluída",O79="28 - Encerrado"),"OK",IF(NOT(ISNUMBER(X79)),"",IF(X79&gt;365,"MUITO ANTIGO (&gt;1 ano)",IF(X79&gt;180,"ANTIGO (&gt;6 meses)",IF(X79&gt;90,"ATENÇÃO ANTIG. (&gt;3 meses)","OK"))))))</f>
        <v/>
      </c>
      <c r="AA79" s="86"/>
      <c r="AB79" s="69" t="str">
        <f aca="false">IF(AND(B79&lt;&gt;"",OR(T79="Pendente de Vistoria",T79="Não validada")),MAX($AB$1:$AB$78)+1,"")</f>
        <v/>
      </c>
      <c r="AC79" s="69" t="str">
        <f aca="false">IF(AND(B79&lt;&gt;"",OR(ISNUMBER(SEARCH("CTIN",P79)),U79="Alta",O79="07 - Relatório recebido — unidade apta",O79="11 - Orçamentos em análise técnica",O79="22 - Instalação/substituição autorizada")),MAX($AC$1:$AC$78)+1,"")</f>
        <v/>
      </c>
      <c r="AD79" s="69" t="str">
        <f aca="false">IF(AND(B79&lt;&gt;"",OR(ISNUMBER(SEARCH("CTO",P79)),LEFT(O79,2)="22",LEFT(O79,2)="23",LEFT(O79,2)="24",LEFT(O79,2)="25",LEFT(O79,2)="26",LEFT(O79,2)="27")),MAX($AD$1:$AD$78)+1,"")</f>
        <v/>
      </c>
      <c r="AE79" s="69" t="str">
        <f aca="false">IF(AND(B79&lt;&gt;"",D79=CONSULTA_UNIDADE!$B$4),MAX($AE$1:$AE$78)+1,"")</f>
        <v/>
      </c>
      <c r="AF79" s="69" t="str">
        <f aca="false">IF(AND(B79&lt;&gt;"",O79&lt;&gt;"27 - Instalação concluída",O79&lt;&gt;"28 - Encerrado",ISNUMBER(S79)),S79*1000+(1000-ROW()),"")</f>
        <v/>
      </c>
      <c r="AG79" s="69" t="str">
        <f aca="false">IF(AF79="","",RANK(AF79,$AF$2:$AF$500))</f>
        <v/>
      </c>
    </row>
    <row r="80" customFormat="false" ht="16.5" hidden="false" customHeight="true" outlineLevel="0" collapsed="false">
      <c r="A80" s="86"/>
      <c r="B80" s="86"/>
      <c r="C80" s="87" t="str">
        <f aca="false">IF(D80="","",IFERROR(INDEX(CADASTRO_VIVO_3CRE!$B$2:$B$150,MATCH(D80,CADASTRO_VIVO_3CRE!$E$2:$E$150,0)),""))</f>
        <v/>
      </c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8"/>
      <c r="S80" s="89" t="str">
        <f aca="true">IF(R80="","",TODAY()-INT(R80))</f>
        <v/>
      </c>
      <c r="T80" s="86"/>
      <c r="U80" s="86"/>
      <c r="V80" s="86"/>
      <c r="W80" s="88"/>
      <c r="X80" s="89" t="str">
        <f aca="true">IF(W80="","",IF(OR(O80="28 - Encerrado",O80="27 - Instalação concluída"),"Concluído",TODAY()-INT(W80)))</f>
        <v/>
      </c>
      <c r="Y80" s="90" t="str">
        <f aca="false">IF(OR(O80="28 - Encerrado",O80="27 - Instalação concluída"),"OK",IF(AND(B80&lt;&gt;"",S80=""),"ATENÇÃO (Sem data de atualização)",IF(S80="","",IF(S80&gt;30,"CRÍTICO (Sem Atualização &gt;30 dias)",IF(S80&gt;15,"ATENÇÃO (Sem Atualização &gt;15 dias)",IF(X80&gt;90,"CRÍTICO (Aberto &gt;90 dias)","OK"))))))</f>
        <v/>
      </c>
      <c r="Z80" s="90" t="str">
        <f aca="false">IF(B80="","",IF(OR(O80="27 - Instalação concluída",O80="28 - Encerrado"),"OK",IF(NOT(ISNUMBER(X80)),"",IF(X80&gt;365,"MUITO ANTIGO (&gt;1 ano)",IF(X80&gt;180,"ANTIGO (&gt;6 meses)",IF(X80&gt;90,"ATENÇÃO ANTIG. (&gt;3 meses)","OK"))))))</f>
        <v/>
      </c>
      <c r="AA80" s="86"/>
      <c r="AB80" s="69" t="str">
        <f aca="false">IF(AND(B80&lt;&gt;"",OR(T80="Pendente de Vistoria",T80="Não validada")),MAX($AB$1:$AB$79)+1,"")</f>
        <v/>
      </c>
      <c r="AC80" s="69" t="str">
        <f aca="false">IF(AND(B80&lt;&gt;"",OR(ISNUMBER(SEARCH("CTIN",P80)),U80="Alta",O80="07 - Relatório recebido — unidade apta",O80="11 - Orçamentos em análise técnica",O80="22 - Instalação/substituição autorizada")),MAX($AC$1:$AC$79)+1,"")</f>
        <v/>
      </c>
      <c r="AD80" s="69" t="str">
        <f aca="false">IF(AND(B80&lt;&gt;"",OR(ISNUMBER(SEARCH("CTO",P80)),LEFT(O80,2)="22",LEFT(O80,2)="23",LEFT(O80,2)="24",LEFT(O80,2)="25",LEFT(O80,2)="26",LEFT(O80,2)="27")),MAX($AD$1:$AD$79)+1,"")</f>
        <v/>
      </c>
      <c r="AE80" s="69" t="str">
        <f aca="false">IF(AND(B80&lt;&gt;"",D80=CONSULTA_UNIDADE!$B$4),MAX($AE$1:$AE$79)+1,"")</f>
        <v/>
      </c>
      <c r="AF80" s="69" t="str">
        <f aca="false">IF(AND(B80&lt;&gt;"",O80&lt;&gt;"27 - Instalação concluída",O80&lt;&gt;"28 - Encerrado",ISNUMBER(S80)),S80*1000+(1000-ROW()),"")</f>
        <v/>
      </c>
      <c r="AG80" s="69" t="str">
        <f aca="false">IF(AF80="","",RANK(AF80,$AF$2:$AF$500))</f>
        <v/>
      </c>
    </row>
    <row r="81" customFormat="false" ht="16.5" hidden="false" customHeight="true" outlineLevel="0" collapsed="false">
      <c r="A81" s="86"/>
      <c r="B81" s="86"/>
      <c r="C81" s="87" t="str">
        <f aca="false">IF(D81="","",IFERROR(INDEX(CADASTRO_VIVO_3CRE!$B$2:$B$150,MATCH(D81,CADASTRO_VIVO_3CRE!$E$2:$E$150,0)),""))</f>
        <v/>
      </c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8"/>
      <c r="S81" s="89" t="str">
        <f aca="true">IF(R81="","",TODAY()-INT(R81))</f>
        <v/>
      </c>
      <c r="T81" s="86"/>
      <c r="U81" s="86"/>
      <c r="V81" s="86"/>
      <c r="W81" s="88"/>
      <c r="X81" s="89" t="str">
        <f aca="true">IF(W81="","",IF(OR(O81="28 - Encerrado",O81="27 - Instalação concluída"),"Concluído",TODAY()-INT(W81)))</f>
        <v/>
      </c>
      <c r="Y81" s="90" t="str">
        <f aca="false">IF(OR(O81="28 - Encerrado",O81="27 - Instalação concluída"),"OK",IF(AND(B81&lt;&gt;"",S81=""),"ATENÇÃO (Sem data de atualização)",IF(S81="","",IF(S81&gt;30,"CRÍTICO (Sem Atualização &gt;30 dias)",IF(S81&gt;15,"ATENÇÃO (Sem Atualização &gt;15 dias)",IF(X81&gt;90,"CRÍTICO (Aberto &gt;90 dias)","OK"))))))</f>
        <v/>
      </c>
      <c r="Z81" s="90" t="str">
        <f aca="false">IF(B81="","",IF(OR(O81="27 - Instalação concluída",O81="28 - Encerrado"),"OK",IF(NOT(ISNUMBER(X81)),"",IF(X81&gt;365,"MUITO ANTIGO (&gt;1 ano)",IF(X81&gt;180,"ANTIGO (&gt;6 meses)",IF(X81&gt;90,"ATENÇÃO ANTIG. (&gt;3 meses)","OK"))))))</f>
        <v/>
      </c>
      <c r="AA81" s="86"/>
      <c r="AB81" s="69" t="str">
        <f aca="false">IF(AND(B81&lt;&gt;"",OR(T81="Pendente de Vistoria",T81="Não validada")),MAX($AB$1:$AB$80)+1,"")</f>
        <v/>
      </c>
      <c r="AC81" s="69" t="str">
        <f aca="false">IF(AND(B81&lt;&gt;"",OR(ISNUMBER(SEARCH("CTIN",P81)),U81="Alta",O81="07 - Relatório recebido — unidade apta",O81="11 - Orçamentos em análise técnica",O81="22 - Instalação/substituição autorizada")),MAX($AC$1:$AC$80)+1,"")</f>
        <v/>
      </c>
      <c r="AD81" s="69" t="str">
        <f aca="false">IF(AND(B81&lt;&gt;"",OR(ISNUMBER(SEARCH("CTO",P81)),LEFT(O81,2)="22",LEFT(O81,2)="23",LEFT(O81,2)="24",LEFT(O81,2)="25",LEFT(O81,2)="26",LEFT(O81,2)="27")),MAX($AD$1:$AD$80)+1,"")</f>
        <v/>
      </c>
      <c r="AE81" s="69" t="str">
        <f aca="false">IF(AND(B81&lt;&gt;"",D81=CONSULTA_UNIDADE!$B$4),MAX($AE$1:$AE$80)+1,"")</f>
        <v/>
      </c>
      <c r="AF81" s="69" t="str">
        <f aca="false">IF(AND(B81&lt;&gt;"",O81&lt;&gt;"27 - Instalação concluída",O81&lt;&gt;"28 - Encerrado",ISNUMBER(S81)),S81*1000+(1000-ROW()),"")</f>
        <v/>
      </c>
      <c r="AG81" s="69" t="str">
        <f aca="false">IF(AF81="","",RANK(AF81,$AF$2:$AF$500))</f>
        <v/>
      </c>
    </row>
    <row r="82" customFormat="false" ht="16.5" hidden="false" customHeight="true" outlineLevel="0" collapsed="false">
      <c r="A82" s="86"/>
      <c r="B82" s="86"/>
      <c r="C82" s="87" t="str">
        <f aca="false">IF(D82="","",IFERROR(INDEX(CADASTRO_VIVO_3CRE!$B$2:$B$150,MATCH(D82,CADASTRO_VIVO_3CRE!$E$2:$E$150,0)),""))</f>
        <v/>
      </c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8"/>
      <c r="S82" s="89" t="str">
        <f aca="true">IF(R82="","",TODAY()-INT(R82))</f>
        <v/>
      </c>
      <c r="T82" s="86"/>
      <c r="U82" s="86"/>
      <c r="V82" s="86"/>
      <c r="W82" s="88"/>
      <c r="X82" s="89" t="str">
        <f aca="true">IF(W82="","",IF(OR(O82="28 - Encerrado",O82="27 - Instalação concluída"),"Concluído",TODAY()-INT(W82)))</f>
        <v/>
      </c>
      <c r="Y82" s="90" t="str">
        <f aca="false">IF(OR(O82="28 - Encerrado",O82="27 - Instalação concluída"),"OK",IF(AND(B82&lt;&gt;"",S82=""),"ATENÇÃO (Sem data de atualização)",IF(S82="","",IF(S82&gt;30,"CRÍTICO (Sem Atualização &gt;30 dias)",IF(S82&gt;15,"ATENÇÃO (Sem Atualização &gt;15 dias)",IF(X82&gt;90,"CRÍTICO (Aberto &gt;90 dias)","OK"))))))</f>
        <v/>
      </c>
      <c r="Z82" s="90" t="str">
        <f aca="false">IF(B82="","",IF(OR(O82="27 - Instalação concluída",O82="28 - Encerrado"),"OK",IF(NOT(ISNUMBER(X82)),"",IF(X82&gt;365,"MUITO ANTIGO (&gt;1 ano)",IF(X82&gt;180,"ANTIGO (&gt;6 meses)",IF(X82&gt;90,"ATENÇÃO ANTIG. (&gt;3 meses)","OK"))))))</f>
        <v/>
      </c>
      <c r="AA82" s="86"/>
      <c r="AB82" s="69" t="str">
        <f aca="false">IF(AND(B82&lt;&gt;"",OR(T82="Pendente de Vistoria",T82="Não validada")),MAX($AB$1:$AB$81)+1,"")</f>
        <v/>
      </c>
      <c r="AC82" s="69" t="str">
        <f aca="false">IF(AND(B82&lt;&gt;"",OR(ISNUMBER(SEARCH("CTIN",P82)),U82="Alta",O82="07 - Relatório recebido — unidade apta",O82="11 - Orçamentos em análise técnica",O82="22 - Instalação/substituição autorizada")),MAX($AC$1:$AC$81)+1,"")</f>
        <v/>
      </c>
      <c r="AD82" s="69" t="str">
        <f aca="false">IF(AND(B82&lt;&gt;"",OR(ISNUMBER(SEARCH("CTO",P82)),LEFT(O82,2)="22",LEFT(O82,2)="23",LEFT(O82,2)="24",LEFT(O82,2)="25",LEFT(O82,2)="26",LEFT(O82,2)="27")),MAX($AD$1:$AD$81)+1,"")</f>
        <v/>
      </c>
      <c r="AE82" s="69" t="str">
        <f aca="false">IF(AND(B82&lt;&gt;"",D82=CONSULTA_UNIDADE!$B$4),MAX($AE$1:$AE$81)+1,"")</f>
        <v/>
      </c>
      <c r="AF82" s="69" t="str">
        <f aca="false">IF(AND(B82&lt;&gt;"",O82&lt;&gt;"27 - Instalação concluída",O82&lt;&gt;"28 - Encerrado",ISNUMBER(S82)),S82*1000+(1000-ROW()),"")</f>
        <v/>
      </c>
      <c r="AG82" s="69" t="str">
        <f aca="false">IF(AF82="","",RANK(AF82,$AF$2:$AF$500))</f>
        <v/>
      </c>
    </row>
    <row r="83" customFormat="false" ht="16.5" hidden="false" customHeight="true" outlineLevel="0" collapsed="false">
      <c r="A83" s="86"/>
      <c r="B83" s="86"/>
      <c r="C83" s="87" t="str">
        <f aca="false">IF(D83="","",IFERROR(INDEX(CADASTRO_VIVO_3CRE!$B$2:$B$150,MATCH(D83,CADASTRO_VIVO_3CRE!$E$2:$E$150,0)),""))</f>
        <v/>
      </c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8"/>
      <c r="S83" s="89" t="str">
        <f aca="true">IF(R83="","",TODAY()-INT(R83))</f>
        <v/>
      </c>
      <c r="T83" s="86"/>
      <c r="U83" s="86"/>
      <c r="V83" s="86"/>
      <c r="W83" s="88"/>
      <c r="X83" s="89" t="str">
        <f aca="true">IF(W83="","",IF(OR(O83="28 - Encerrado",O83="27 - Instalação concluída"),"Concluído",TODAY()-INT(W83)))</f>
        <v/>
      </c>
      <c r="Y83" s="90" t="str">
        <f aca="false">IF(OR(O83="28 - Encerrado",O83="27 - Instalação concluída"),"OK",IF(AND(B83&lt;&gt;"",S83=""),"ATENÇÃO (Sem data de atualização)",IF(S83="","",IF(S83&gt;30,"CRÍTICO (Sem Atualização &gt;30 dias)",IF(S83&gt;15,"ATENÇÃO (Sem Atualização &gt;15 dias)",IF(X83&gt;90,"CRÍTICO (Aberto &gt;90 dias)","OK"))))))</f>
        <v/>
      </c>
      <c r="Z83" s="90" t="str">
        <f aca="false">IF(B83="","",IF(OR(O83="27 - Instalação concluída",O83="28 - Encerrado"),"OK",IF(NOT(ISNUMBER(X83)),"",IF(X83&gt;365,"MUITO ANTIGO (&gt;1 ano)",IF(X83&gt;180,"ANTIGO (&gt;6 meses)",IF(X83&gt;90,"ATENÇÃO ANTIG. (&gt;3 meses)","OK"))))))</f>
        <v/>
      </c>
      <c r="AA83" s="86"/>
      <c r="AB83" s="69" t="str">
        <f aca="false">IF(AND(B83&lt;&gt;"",OR(T83="Pendente de Vistoria",T83="Não validada")),MAX($AB$1:$AB$82)+1,"")</f>
        <v/>
      </c>
      <c r="AC83" s="69" t="str">
        <f aca="false">IF(AND(B83&lt;&gt;"",OR(ISNUMBER(SEARCH("CTIN",P83)),U83="Alta",O83="07 - Relatório recebido — unidade apta",O83="11 - Orçamentos em análise técnica",O83="22 - Instalação/substituição autorizada")),MAX($AC$1:$AC$82)+1,"")</f>
        <v/>
      </c>
      <c r="AD83" s="69" t="str">
        <f aca="false">IF(AND(B83&lt;&gt;"",OR(ISNUMBER(SEARCH("CTO",P83)),LEFT(O83,2)="22",LEFT(O83,2)="23",LEFT(O83,2)="24",LEFT(O83,2)="25",LEFT(O83,2)="26",LEFT(O83,2)="27")),MAX($AD$1:$AD$82)+1,"")</f>
        <v/>
      </c>
      <c r="AE83" s="69" t="str">
        <f aca="false">IF(AND(B83&lt;&gt;"",D83=CONSULTA_UNIDADE!$B$4),MAX($AE$1:$AE$82)+1,"")</f>
        <v/>
      </c>
      <c r="AF83" s="69" t="str">
        <f aca="false">IF(AND(B83&lt;&gt;"",O83&lt;&gt;"27 - Instalação concluída",O83&lt;&gt;"28 - Encerrado",ISNUMBER(S83)),S83*1000+(1000-ROW()),"")</f>
        <v/>
      </c>
      <c r="AG83" s="69" t="str">
        <f aca="false">IF(AF83="","",RANK(AF83,$AF$2:$AF$500))</f>
        <v/>
      </c>
    </row>
    <row r="84" customFormat="false" ht="16.5" hidden="false" customHeight="true" outlineLevel="0" collapsed="false">
      <c r="A84" s="86"/>
      <c r="B84" s="86"/>
      <c r="C84" s="87" t="str">
        <f aca="false">IF(D84="","",IFERROR(INDEX(CADASTRO_VIVO_3CRE!$B$2:$B$150,MATCH(D84,CADASTRO_VIVO_3CRE!$E$2:$E$150,0)),""))</f>
        <v/>
      </c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8"/>
      <c r="S84" s="89" t="str">
        <f aca="true">IF(R84="","",TODAY()-INT(R84))</f>
        <v/>
      </c>
      <c r="T84" s="86"/>
      <c r="U84" s="86"/>
      <c r="V84" s="86"/>
      <c r="W84" s="88"/>
      <c r="X84" s="89" t="str">
        <f aca="true">IF(W84="","",IF(OR(O84="28 - Encerrado",O84="27 - Instalação concluída"),"Concluído",TODAY()-INT(W84)))</f>
        <v/>
      </c>
      <c r="Y84" s="90" t="str">
        <f aca="false">IF(OR(O84="28 - Encerrado",O84="27 - Instalação concluída"),"OK",IF(AND(B84&lt;&gt;"",S84=""),"ATENÇÃO (Sem data de atualização)",IF(S84="","",IF(S84&gt;30,"CRÍTICO (Sem Atualização &gt;30 dias)",IF(S84&gt;15,"ATENÇÃO (Sem Atualização &gt;15 dias)",IF(X84&gt;90,"CRÍTICO (Aberto &gt;90 dias)","OK"))))))</f>
        <v/>
      </c>
      <c r="Z84" s="90" t="str">
        <f aca="false">IF(B84="","",IF(OR(O84="27 - Instalação concluída",O84="28 - Encerrado"),"OK",IF(NOT(ISNUMBER(X84)),"",IF(X84&gt;365,"MUITO ANTIGO (&gt;1 ano)",IF(X84&gt;180,"ANTIGO (&gt;6 meses)",IF(X84&gt;90,"ATENÇÃO ANTIG. (&gt;3 meses)","OK"))))))</f>
        <v/>
      </c>
      <c r="AA84" s="86"/>
      <c r="AB84" s="69" t="str">
        <f aca="false">IF(AND(B84&lt;&gt;"",OR(T84="Pendente de Vistoria",T84="Não validada")),MAX($AB$1:$AB$83)+1,"")</f>
        <v/>
      </c>
      <c r="AC84" s="69" t="str">
        <f aca="false">IF(AND(B84&lt;&gt;"",OR(ISNUMBER(SEARCH("CTIN",P84)),U84="Alta",O84="07 - Relatório recebido — unidade apta",O84="11 - Orçamentos em análise técnica",O84="22 - Instalação/substituição autorizada")),MAX($AC$1:$AC$83)+1,"")</f>
        <v/>
      </c>
      <c r="AD84" s="69" t="str">
        <f aca="false">IF(AND(B84&lt;&gt;"",OR(ISNUMBER(SEARCH("CTO",P84)),LEFT(O84,2)="22",LEFT(O84,2)="23",LEFT(O84,2)="24",LEFT(O84,2)="25",LEFT(O84,2)="26",LEFT(O84,2)="27")),MAX($AD$1:$AD$83)+1,"")</f>
        <v/>
      </c>
      <c r="AE84" s="69" t="str">
        <f aca="false">IF(AND(B84&lt;&gt;"",D84=CONSULTA_UNIDADE!$B$4),MAX($AE$1:$AE$83)+1,"")</f>
        <v/>
      </c>
      <c r="AF84" s="69" t="str">
        <f aca="false">IF(AND(B84&lt;&gt;"",O84&lt;&gt;"27 - Instalação concluída",O84&lt;&gt;"28 - Encerrado",ISNUMBER(S84)),S84*1000+(1000-ROW()),"")</f>
        <v/>
      </c>
      <c r="AG84" s="69" t="str">
        <f aca="false">IF(AF84="","",RANK(AF84,$AF$2:$AF$500))</f>
        <v/>
      </c>
    </row>
    <row r="85" customFormat="false" ht="16.5" hidden="false" customHeight="true" outlineLevel="0" collapsed="false">
      <c r="A85" s="86"/>
      <c r="B85" s="86"/>
      <c r="C85" s="87" t="str">
        <f aca="false">IF(D85="","",IFERROR(INDEX(CADASTRO_VIVO_3CRE!$B$2:$B$150,MATCH(D85,CADASTRO_VIVO_3CRE!$E$2:$E$150,0)),""))</f>
        <v/>
      </c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8"/>
      <c r="S85" s="89" t="str">
        <f aca="true">IF(R85="","",TODAY()-INT(R85))</f>
        <v/>
      </c>
      <c r="T85" s="86"/>
      <c r="U85" s="86"/>
      <c r="V85" s="86"/>
      <c r="W85" s="88"/>
      <c r="X85" s="89" t="str">
        <f aca="true">IF(W85="","",IF(OR(O85="28 - Encerrado",O85="27 - Instalação concluída"),"Concluído",TODAY()-INT(W85)))</f>
        <v/>
      </c>
      <c r="Y85" s="90" t="str">
        <f aca="false">IF(OR(O85="28 - Encerrado",O85="27 - Instalação concluída"),"OK",IF(AND(B85&lt;&gt;"",S85=""),"ATENÇÃO (Sem data de atualização)",IF(S85="","",IF(S85&gt;30,"CRÍTICO (Sem Atualização &gt;30 dias)",IF(S85&gt;15,"ATENÇÃO (Sem Atualização &gt;15 dias)",IF(X85&gt;90,"CRÍTICO (Aberto &gt;90 dias)","OK"))))))</f>
        <v/>
      </c>
      <c r="Z85" s="90" t="str">
        <f aca="false">IF(B85="","",IF(OR(O85="27 - Instalação concluída",O85="28 - Encerrado"),"OK",IF(NOT(ISNUMBER(X85)),"",IF(X85&gt;365,"MUITO ANTIGO (&gt;1 ano)",IF(X85&gt;180,"ANTIGO (&gt;6 meses)",IF(X85&gt;90,"ATENÇÃO ANTIG. (&gt;3 meses)","OK"))))))</f>
        <v/>
      </c>
      <c r="AA85" s="86"/>
      <c r="AB85" s="69" t="str">
        <f aca="false">IF(AND(B85&lt;&gt;"",OR(T85="Pendente de Vistoria",T85="Não validada")),MAX($AB$1:$AB$84)+1,"")</f>
        <v/>
      </c>
      <c r="AC85" s="69" t="str">
        <f aca="false">IF(AND(B85&lt;&gt;"",OR(ISNUMBER(SEARCH("CTIN",P85)),U85="Alta",O85="07 - Relatório recebido — unidade apta",O85="11 - Orçamentos em análise técnica",O85="22 - Instalação/substituição autorizada")),MAX($AC$1:$AC$84)+1,"")</f>
        <v/>
      </c>
      <c r="AD85" s="69" t="str">
        <f aca="false">IF(AND(B85&lt;&gt;"",OR(ISNUMBER(SEARCH("CTO",P85)),LEFT(O85,2)="22",LEFT(O85,2)="23",LEFT(O85,2)="24",LEFT(O85,2)="25",LEFT(O85,2)="26",LEFT(O85,2)="27")),MAX($AD$1:$AD$84)+1,"")</f>
        <v/>
      </c>
      <c r="AE85" s="69" t="str">
        <f aca="false">IF(AND(B85&lt;&gt;"",D85=CONSULTA_UNIDADE!$B$4),MAX($AE$1:$AE$84)+1,"")</f>
        <v/>
      </c>
      <c r="AF85" s="69" t="str">
        <f aca="false">IF(AND(B85&lt;&gt;"",O85&lt;&gt;"27 - Instalação concluída",O85&lt;&gt;"28 - Encerrado",ISNUMBER(S85)),S85*1000+(1000-ROW()),"")</f>
        <v/>
      </c>
      <c r="AG85" s="69" t="str">
        <f aca="false">IF(AF85="","",RANK(AF85,$AF$2:$AF$500))</f>
        <v/>
      </c>
    </row>
    <row r="86" customFormat="false" ht="16.5" hidden="false" customHeight="true" outlineLevel="0" collapsed="false">
      <c r="A86" s="86"/>
      <c r="B86" s="86"/>
      <c r="C86" s="87" t="str">
        <f aca="false">IF(D86="","",IFERROR(INDEX(CADASTRO_VIVO_3CRE!$B$2:$B$150,MATCH(D86,CADASTRO_VIVO_3CRE!$E$2:$E$150,0)),""))</f>
        <v/>
      </c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8"/>
      <c r="S86" s="89" t="str">
        <f aca="true">IF(R86="","",TODAY()-INT(R86))</f>
        <v/>
      </c>
      <c r="T86" s="86"/>
      <c r="U86" s="86"/>
      <c r="V86" s="86"/>
      <c r="W86" s="88"/>
      <c r="X86" s="89" t="str">
        <f aca="true">IF(W86="","",IF(OR(O86="28 - Encerrado",O86="27 - Instalação concluída"),"Concluído",TODAY()-INT(W86)))</f>
        <v/>
      </c>
      <c r="Y86" s="90" t="str">
        <f aca="false">IF(OR(O86="28 - Encerrado",O86="27 - Instalação concluída"),"OK",IF(AND(B86&lt;&gt;"",S86=""),"ATENÇÃO (Sem data de atualização)",IF(S86="","",IF(S86&gt;30,"CRÍTICO (Sem Atualização &gt;30 dias)",IF(S86&gt;15,"ATENÇÃO (Sem Atualização &gt;15 dias)",IF(X86&gt;90,"CRÍTICO (Aberto &gt;90 dias)","OK"))))))</f>
        <v/>
      </c>
      <c r="Z86" s="90" t="str">
        <f aca="false">IF(B86="","",IF(OR(O86="27 - Instalação concluída",O86="28 - Encerrado"),"OK",IF(NOT(ISNUMBER(X86)),"",IF(X86&gt;365,"MUITO ANTIGO (&gt;1 ano)",IF(X86&gt;180,"ANTIGO (&gt;6 meses)",IF(X86&gt;90,"ATENÇÃO ANTIG. (&gt;3 meses)","OK"))))))</f>
        <v/>
      </c>
      <c r="AA86" s="86"/>
      <c r="AB86" s="69" t="str">
        <f aca="false">IF(AND(B86&lt;&gt;"",OR(T86="Pendente de Vistoria",T86="Não validada")),MAX($AB$1:$AB$85)+1,"")</f>
        <v/>
      </c>
      <c r="AC86" s="69" t="str">
        <f aca="false">IF(AND(B86&lt;&gt;"",OR(ISNUMBER(SEARCH("CTIN",P86)),U86="Alta",O86="07 - Relatório recebido — unidade apta",O86="11 - Orçamentos em análise técnica",O86="22 - Instalação/substituição autorizada")),MAX($AC$1:$AC$85)+1,"")</f>
        <v/>
      </c>
      <c r="AD86" s="69" t="str">
        <f aca="false">IF(AND(B86&lt;&gt;"",OR(ISNUMBER(SEARCH("CTO",P86)),LEFT(O86,2)="22",LEFT(O86,2)="23",LEFT(O86,2)="24",LEFT(O86,2)="25",LEFT(O86,2)="26",LEFT(O86,2)="27")),MAX($AD$1:$AD$85)+1,"")</f>
        <v/>
      </c>
      <c r="AE86" s="69" t="str">
        <f aca="false">IF(AND(B86&lt;&gt;"",D86=CONSULTA_UNIDADE!$B$4),MAX($AE$1:$AE$85)+1,"")</f>
        <v/>
      </c>
      <c r="AF86" s="69" t="str">
        <f aca="false">IF(AND(B86&lt;&gt;"",O86&lt;&gt;"27 - Instalação concluída",O86&lt;&gt;"28 - Encerrado",ISNUMBER(S86)),S86*1000+(1000-ROW()),"")</f>
        <v/>
      </c>
      <c r="AG86" s="69" t="str">
        <f aca="false">IF(AF86="","",RANK(AF86,$AF$2:$AF$500))</f>
        <v/>
      </c>
    </row>
    <row r="87" customFormat="false" ht="16.5" hidden="false" customHeight="true" outlineLevel="0" collapsed="false">
      <c r="A87" s="86"/>
      <c r="B87" s="86"/>
      <c r="C87" s="87" t="str">
        <f aca="false">IF(D87="","",IFERROR(INDEX(CADASTRO_VIVO_3CRE!$B$2:$B$150,MATCH(D87,CADASTRO_VIVO_3CRE!$E$2:$E$150,0)),""))</f>
        <v/>
      </c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8"/>
      <c r="S87" s="89" t="str">
        <f aca="true">IF(R87="","",TODAY()-INT(R87))</f>
        <v/>
      </c>
      <c r="T87" s="86"/>
      <c r="U87" s="86"/>
      <c r="V87" s="86"/>
      <c r="W87" s="88"/>
      <c r="X87" s="89" t="str">
        <f aca="true">IF(W87="","",IF(OR(O87="28 - Encerrado",O87="27 - Instalação concluída"),"Concluído",TODAY()-INT(W87)))</f>
        <v/>
      </c>
      <c r="Y87" s="90" t="str">
        <f aca="false">IF(OR(O87="28 - Encerrado",O87="27 - Instalação concluída"),"OK",IF(AND(B87&lt;&gt;"",S87=""),"ATENÇÃO (Sem data de atualização)",IF(S87="","",IF(S87&gt;30,"CRÍTICO (Sem Atualização &gt;30 dias)",IF(S87&gt;15,"ATENÇÃO (Sem Atualização &gt;15 dias)",IF(X87&gt;90,"CRÍTICO (Aberto &gt;90 dias)","OK"))))))</f>
        <v/>
      </c>
      <c r="Z87" s="90" t="str">
        <f aca="false">IF(B87="","",IF(OR(O87="27 - Instalação concluída",O87="28 - Encerrado"),"OK",IF(NOT(ISNUMBER(X87)),"",IF(X87&gt;365,"MUITO ANTIGO (&gt;1 ano)",IF(X87&gt;180,"ANTIGO (&gt;6 meses)",IF(X87&gt;90,"ATENÇÃO ANTIG. (&gt;3 meses)","OK"))))))</f>
        <v/>
      </c>
      <c r="AA87" s="86"/>
      <c r="AB87" s="69" t="str">
        <f aca="false">IF(AND(B87&lt;&gt;"",OR(T87="Pendente de Vistoria",T87="Não validada")),MAX($AB$1:$AB$86)+1,"")</f>
        <v/>
      </c>
      <c r="AC87" s="69" t="str">
        <f aca="false">IF(AND(B87&lt;&gt;"",OR(ISNUMBER(SEARCH("CTIN",P87)),U87="Alta",O87="07 - Relatório recebido — unidade apta",O87="11 - Orçamentos em análise técnica",O87="22 - Instalação/substituição autorizada")),MAX($AC$1:$AC$86)+1,"")</f>
        <v/>
      </c>
      <c r="AD87" s="69" t="str">
        <f aca="false">IF(AND(B87&lt;&gt;"",OR(ISNUMBER(SEARCH("CTO",P87)),LEFT(O87,2)="22",LEFT(O87,2)="23",LEFT(O87,2)="24",LEFT(O87,2)="25",LEFT(O87,2)="26",LEFT(O87,2)="27")),MAX($AD$1:$AD$86)+1,"")</f>
        <v/>
      </c>
      <c r="AE87" s="69" t="str">
        <f aca="false">IF(AND(B87&lt;&gt;"",D87=CONSULTA_UNIDADE!$B$4),MAX($AE$1:$AE$86)+1,"")</f>
        <v/>
      </c>
      <c r="AF87" s="69" t="str">
        <f aca="false">IF(AND(B87&lt;&gt;"",O87&lt;&gt;"27 - Instalação concluída",O87&lt;&gt;"28 - Encerrado",ISNUMBER(S87)),S87*1000+(1000-ROW()),"")</f>
        <v/>
      </c>
      <c r="AG87" s="69" t="str">
        <f aca="false">IF(AF87="","",RANK(AF87,$AF$2:$AF$500))</f>
        <v/>
      </c>
    </row>
    <row r="88" customFormat="false" ht="16.5" hidden="false" customHeight="true" outlineLevel="0" collapsed="false">
      <c r="A88" s="86"/>
      <c r="B88" s="86"/>
      <c r="C88" s="87" t="str">
        <f aca="false">IF(D88="","",IFERROR(INDEX(CADASTRO_VIVO_3CRE!$B$2:$B$150,MATCH(D88,CADASTRO_VIVO_3CRE!$E$2:$E$150,0)),""))</f>
        <v/>
      </c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8"/>
      <c r="S88" s="89" t="str">
        <f aca="true">IF(R88="","",TODAY()-INT(R88))</f>
        <v/>
      </c>
      <c r="T88" s="86"/>
      <c r="U88" s="86"/>
      <c r="V88" s="86"/>
      <c r="W88" s="88"/>
      <c r="X88" s="89" t="str">
        <f aca="true">IF(W88="","",IF(OR(O88="28 - Encerrado",O88="27 - Instalação concluída"),"Concluído",TODAY()-INT(W88)))</f>
        <v/>
      </c>
      <c r="Y88" s="90" t="str">
        <f aca="false">IF(OR(O88="28 - Encerrado",O88="27 - Instalação concluída"),"OK",IF(AND(B88&lt;&gt;"",S88=""),"ATENÇÃO (Sem data de atualização)",IF(S88="","",IF(S88&gt;30,"CRÍTICO (Sem Atualização &gt;30 dias)",IF(S88&gt;15,"ATENÇÃO (Sem Atualização &gt;15 dias)",IF(X88&gt;90,"CRÍTICO (Aberto &gt;90 dias)","OK"))))))</f>
        <v/>
      </c>
      <c r="Z88" s="90" t="str">
        <f aca="false">IF(B88="","",IF(OR(O88="27 - Instalação concluída",O88="28 - Encerrado"),"OK",IF(NOT(ISNUMBER(X88)),"",IF(X88&gt;365,"MUITO ANTIGO (&gt;1 ano)",IF(X88&gt;180,"ANTIGO (&gt;6 meses)",IF(X88&gt;90,"ATENÇÃO ANTIG. (&gt;3 meses)","OK"))))))</f>
        <v/>
      </c>
      <c r="AA88" s="86"/>
      <c r="AB88" s="69" t="str">
        <f aca="false">IF(AND(B88&lt;&gt;"",OR(T88="Pendente de Vistoria",T88="Não validada")),MAX($AB$1:$AB$87)+1,"")</f>
        <v/>
      </c>
      <c r="AC88" s="69" t="str">
        <f aca="false">IF(AND(B88&lt;&gt;"",OR(ISNUMBER(SEARCH("CTIN",P88)),U88="Alta",O88="07 - Relatório recebido — unidade apta",O88="11 - Orçamentos em análise técnica",O88="22 - Instalação/substituição autorizada")),MAX($AC$1:$AC$87)+1,"")</f>
        <v/>
      </c>
      <c r="AD88" s="69" t="str">
        <f aca="false">IF(AND(B88&lt;&gt;"",OR(ISNUMBER(SEARCH("CTO",P88)),LEFT(O88,2)="22",LEFT(O88,2)="23",LEFT(O88,2)="24",LEFT(O88,2)="25",LEFT(O88,2)="26",LEFT(O88,2)="27")),MAX($AD$1:$AD$87)+1,"")</f>
        <v/>
      </c>
      <c r="AE88" s="69" t="str">
        <f aca="false">IF(AND(B88&lt;&gt;"",D88=CONSULTA_UNIDADE!$B$4),MAX($AE$1:$AE$87)+1,"")</f>
        <v/>
      </c>
      <c r="AF88" s="69" t="str">
        <f aca="false">IF(AND(B88&lt;&gt;"",O88&lt;&gt;"27 - Instalação concluída",O88&lt;&gt;"28 - Encerrado",ISNUMBER(S88)),S88*1000+(1000-ROW()),"")</f>
        <v/>
      </c>
      <c r="AG88" s="69" t="str">
        <f aca="false">IF(AF88="","",RANK(AF88,$AF$2:$AF$500))</f>
        <v/>
      </c>
    </row>
    <row r="89" customFormat="false" ht="16.5" hidden="false" customHeight="true" outlineLevel="0" collapsed="false">
      <c r="A89" s="86"/>
      <c r="B89" s="86"/>
      <c r="C89" s="87" t="str">
        <f aca="false">IF(D89="","",IFERROR(INDEX(CADASTRO_VIVO_3CRE!$B$2:$B$150,MATCH(D89,CADASTRO_VIVO_3CRE!$E$2:$E$150,0)),""))</f>
        <v/>
      </c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8"/>
      <c r="S89" s="89" t="str">
        <f aca="true">IF(R89="","",TODAY()-INT(R89))</f>
        <v/>
      </c>
      <c r="T89" s="86"/>
      <c r="U89" s="86"/>
      <c r="V89" s="86"/>
      <c r="W89" s="88"/>
      <c r="X89" s="89" t="str">
        <f aca="true">IF(W89="","",IF(OR(O89="28 - Encerrado",O89="27 - Instalação concluída"),"Concluído",TODAY()-INT(W89)))</f>
        <v/>
      </c>
      <c r="Y89" s="90" t="str">
        <f aca="false">IF(OR(O89="28 - Encerrado",O89="27 - Instalação concluída"),"OK",IF(AND(B89&lt;&gt;"",S89=""),"ATENÇÃO (Sem data de atualização)",IF(S89="","",IF(S89&gt;30,"CRÍTICO (Sem Atualização &gt;30 dias)",IF(S89&gt;15,"ATENÇÃO (Sem Atualização &gt;15 dias)",IF(X89&gt;90,"CRÍTICO (Aberto &gt;90 dias)","OK"))))))</f>
        <v/>
      </c>
      <c r="Z89" s="90" t="str">
        <f aca="false">IF(B89="","",IF(OR(O89="27 - Instalação concluída",O89="28 - Encerrado"),"OK",IF(NOT(ISNUMBER(X89)),"",IF(X89&gt;365,"MUITO ANTIGO (&gt;1 ano)",IF(X89&gt;180,"ANTIGO (&gt;6 meses)",IF(X89&gt;90,"ATENÇÃO ANTIG. (&gt;3 meses)","OK"))))))</f>
        <v/>
      </c>
      <c r="AA89" s="86"/>
      <c r="AB89" s="69" t="str">
        <f aca="false">IF(AND(B89&lt;&gt;"",OR(T89="Pendente de Vistoria",T89="Não validada")),MAX($AB$1:$AB$88)+1,"")</f>
        <v/>
      </c>
      <c r="AC89" s="69" t="str">
        <f aca="false">IF(AND(B89&lt;&gt;"",OR(ISNUMBER(SEARCH("CTIN",P89)),U89="Alta",O89="07 - Relatório recebido — unidade apta",O89="11 - Orçamentos em análise técnica",O89="22 - Instalação/substituição autorizada")),MAX($AC$1:$AC$88)+1,"")</f>
        <v/>
      </c>
      <c r="AD89" s="69" t="str">
        <f aca="false">IF(AND(B89&lt;&gt;"",OR(ISNUMBER(SEARCH("CTO",P89)),LEFT(O89,2)="22",LEFT(O89,2)="23",LEFT(O89,2)="24",LEFT(O89,2)="25",LEFT(O89,2)="26",LEFT(O89,2)="27")),MAX($AD$1:$AD$88)+1,"")</f>
        <v/>
      </c>
      <c r="AE89" s="69" t="str">
        <f aca="false">IF(AND(B89&lt;&gt;"",D89=CONSULTA_UNIDADE!$B$4),MAX($AE$1:$AE$88)+1,"")</f>
        <v/>
      </c>
      <c r="AF89" s="69" t="str">
        <f aca="false">IF(AND(B89&lt;&gt;"",O89&lt;&gt;"27 - Instalação concluída",O89&lt;&gt;"28 - Encerrado",ISNUMBER(S89)),S89*1000+(1000-ROW()),"")</f>
        <v/>
      </c>
      <c r="AG89" s="69" t="str">
        <f aca="false">IF(AF89="","",RANK(AF89,$AF$2:$AF$500))</f>
        <v/>
      </c>
    </row>
    <row r="90" customFormat="false" ht="16.5" hidden="false" customHeight="true" outlineLevel="0" collapsed="false">
      <c r="A90" s="86"/>
      <c r="B90" s="86"/>
      <c r="C90" s="87" t="str">
        <f aca="false">IF(D90="","",IFERROR(INDEX(CADASTRO_VIVO_3CRE!$B$2:$B$150,MATCH(D90,CADASTRO_VIVO_3CRE!$E$2:$E$150,0)),""))</f>
        <v/>
      </c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8"/>
      <c r="S90" s="89" t="str">
        <f aca="true">IF(R90="","",TODAY()-INT(R90))</f>
        <v/>
      </c>
      <c r="T90" s="86"/>
      <c r="U90" s="86"/>
      <c r="V90" s="86"/>
      <c r="W90" s="88"/>
      <c r="X90" s="89" t="str">
        <f aca="true">IF(W90="","",IF(OR(O90="28 - Encerrado",O90="27 - Instalação concluída"),"Concluído",TODAY()-INT(W90)))</f>
        <v/>
      </c>
      <c r="Y90" s="90" t="str">
        <f aca="false">IF(OR(O90="28 - Encerrado",O90="27 - Instalação concluída"),"OK",IF(AND(B90&lt;&gt;"",S90=""),"ATENÇÃO (Sem data de atualização)",IF(S90="","",IF(S90&gt;30,"CRÍTICO (Sem Atualização &gt;30 dias)",IF(S90&gt;15,"ATENÇÃO (Sem Atualização &gt;15 dias)",IF(X90&gt;90,"CRÍTICO (Aberto &gt;90 dias)","OK"))))))</f>
        <v/>
      </c>
      <c r="Z90" s="90" t="str">
        <f aca="false">IF(B90="","",IF(OR(O90="27 - Instalação concluída",O90="28 - Encerrado"),"OK",IF(NOT(ISNUMBER(X90)),"",IF(X90&gt;365,"MUITO ANTIGO (&gt;1 ano)",IF(X90&gt;180,"ANTIGO (&gt;6 meses)",IF(X90&gt;90,"ATENÇÃO ANTIG. (&gt;3 meses)","OK"))))))</f>
        <v/>
      </c>
      <c r="AA90" s="86"/>
      <c r="AB90" s="69" t="str">
        <f aca="false">IF(AND(B90&lt;&gt;"",OR(T90="Pendente de Vistoria",T90="Não validada")),MAX($AB$1:$AB$89)+1,"")</f>
        <v/>
      </c>
      <c r="AC90" s="69" t="str">
        <f aca="false">IF(AND(B90&lt;&gt;"",OR(ISNUMBER(SEARCH("CTIN",P90)),U90="Alta",O90="07 - Relatório recebido — unidade apta",O90="11 - Orçamentos em análise técnica",O90="22 - Instalação/substituição autorizada")),MAX($AC$1:$AC$89)+1,"")</f>
        <v/>
      </c>
      <c r="AD90" s="69" t="str">
        <f aca="false">IF(AND(B90&lt;&gt;"",OR(ISNUMBER(SEARCH("CTO",P90)),LEFT(O90,2)="22",LEFT(O90,2)="23",LEFT(O90,2)="24",LEFT(O90,2)="25",LEFT(O90,2)="26",LEFT(O90,2)="27")),MAX($AD$1:$AD$89)+1,"")</f>
        <v/>
      </c>
      <c r="AE90" s="69" t="str">
        <f aca="false">IF(AND(B90&lt;&gt;"",D90=CONSULTA_UNIDADE!$B$4),MAX($AE$1:$AE$89)+1,"")</f>
        <v/>
      </c>
      <c r="AF90" s="69" t="str">
        <f aca="false">IF(AND(B90&lt;&gt;"",O90&lt;&gt;"27 - Instalação concluída",O90&lt;&gt;"28 - Encerrado",ISNUMBER(S90)),S90*1000+(1000-ROW()),"")</f>
        <v/>
      </c>
      <c r="AG90" s="69" t="str">
        <f aca="false">IF(AF90="","",RANK(AF90,$AF$2:$AF$500))</f>
        <v/>
      </c>
    </row>
    <row r="91" customFormat="false" ht="16.5" hidden="false" customHeight="true" outlineLevel="0" collapsed="false">
      <c r="A91" s="86"/>
      <c r="B91" s="86"/>
      <c r="C91" s="87" t="str">
        <f aca="false">IF(D91="","",IFERROR(INDEX(CADASTRO_VIVO_3CRE!$B$2:$B$150,MATCH(D91,CADASTRO_VIVO_3CRE!$E$2:$E$150,0)),""))</f>
        <v/>
      </c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8"/>
      <c r="S91" s="89" t="str">
        <f aca="true">IF(R91="","",TODAY()-INT(R91))</f>
        <v/>
      </c>
      <c r="T91" s="86"/>
      <c r="U91" s="86"/>
      <c r="V91" s="86"/>
      <c r="W91" s="88"/>
      <c r="X91" s="89" t="str">
        <f aca="true">IF(W91="","",IF(OR(O91="28 - Encerrado",O91="27 - Instalação concluída"),"Concluído",TODAY()-INT(W91)))</f>
        <v/>
      </c>
      <c r="Y91" s="90" t="str">
        <f aca="false">IF(OR(O91="28 - Encerrado",O91="27 - Instalação concluída"),"OK",IF(AND(B91&lt;&gt;"",S91=""),"ATENÇÃO (Sem data de atualização)",IF(S91="","",IF(S91&gt;30,"CRÍTICO (Sem Atualização &gt;30 dias)",IF(S91&gt;15,"ATENÇÃO (Sem Atualização &gt;15 dias)",IF(X91&gt;90,"CRÍTICO (Aberto &gt;90 dias)","OK"))))))</f>
        <v/>
      </c>
      <c r="Z91" s="90" t="str">
        <f aca="false">IF(B91="","",IF(OR(O91="27 - Instalação concluída",O91="28 - Encerrado"),"OK",IF(NOT(ISNUMBER(X91)),"",IF(X91&gt;365,"MUITO ANTIGO (&gt;1 ano)",IF(X91&gt;180,"ANTIGO (&gt;6 meses)",IF(X91&gt;90,"ATENÇÃO ANTIG. (&gt;3 meses)","OK"))))))</f>
        <v/>
      </c>
      <c r="AA91" s="86"/>
      <c r="AB91" s="69" t="str">
        <f aca="false">IF(AND(B91&lt;&gt;"",OR(T91="Pendente de Vistoria",T91="Não validada")),MAX($AB$1:$AB$90)+1,"")</f>
        <v/>
      </c>
      <c r="AC91" s="69" t="str">
        <f aca="false">IF(AND(B91&lt;&gt;"",OR(ISNUMBER(SEARCH("CTIN",P91)),U91="Alta",O91="07 - Relatório recebido — unidade apta",O91="11 - Orçamentos em análise técnica",O91="22 - Instalação/substituição autorizada")),MAX($AC$1:$AC$90)+1,"")</f>
        <v/>
      </c>
      <c r="AD91" s="69" t="str">
        <f aca="false">IF(AND(B91&lt;&gt;"",OR(ISNUMBER(SEARCH("CTO",P91)),LEFT(O91,2)="22",LEFT(O91,2)="23",LEFT(O91,2)="24",LEFT(O91,2)="25",LEFT(O91,2)="26",LEFT(O91,2)="27")),MAX($AD$1:$AD$90)+1,"")</f>
        <v/>
      </c>
      <c r="AE91" s="69" t="str">
        <f aca="false">IF(AND(B91&lt;&gt;"",D91=CONSULTA_UNIDADE!$B$4),MAX($AE$1:$AE$90)+1,"")</f>
        <v/>
      </c>
      <c r="AF91" s="69" t="str">
        <f aca="false">IF(AND(B91&lt;&gt;"",O91&lt;&gt;"27 - Instalação concluída",O91&lt;&gt;"28 - Encerrado",ISNUMBER(S91)),S91*1000+(1000-ROW()),"")</f>
        <v/>
      </c>
      <c r="AG91" s="69" t="str">
        <f aca="false">IF(AF91="","",RANK(AF91,$AF$2:$AF$500))</f>
        <v/>
      </c>
    </row>
    <row r="92" customFormat="false" ht="16.5" hidden="false" customHeight="true" outlineLevel="0" collapsed="false">
      <c r="A92" s="86"/>
      <c r="B92" s="86"/>
      <c r="C92" s="87" t="str">
        <f aca="false">IF(D92="","",IFERROR(INDEX(CADASTRO_VIVO_3CRE!$B$2:$B$150,MATCH(D92,CADASTRO_VIVO_3CRE!$E$2:$E$150,0)),""))</f>
        <v/>
      </c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8"/>
      <c r="S92" s="89" t="str">
        <f aca="true">IF(R92="","",TODAY()-INT(R92))</f>
        <v/>
      </c>
      <c r="T92" s="86"/>
      <c r="U92" s="86"/>
      <c r="V92" s="86"/>
      <c r="W92" s="88"/>
      <c r="X92" s="89" t="str">
        <f aca="true">IF(W92="","",IF(OR(O92="28 - Encerrado",O92="27 - Instalação concluída"),"Concluído",TODAY()-INT(W92)))</f>
        <v/>
      </c>
      <c r="Y92" s="90" t="str">
        <f aca="false">IF(OR(O92="28 - Encerrado",O92="27 - Instalação concluída"),"OK",IF(AND(B92&lt;&gt;"",S92=""),"ATENÇÃO (Sem data de atualização)",IF(S92="","",IF(S92&gt;30,"CRÍTICO (Sem Atualização &gt;30 dias)",IF(S92&gt;15,"ATENÇÃO (Sem Atualização &gt;15 dias)",IF(X92&gt;90,"CRÍTICO (Aberto &gt;90 dias)","OK"))))))</f>
        <v/>
      </c>
      <c r="Z92" s="90" t="str">
        <f aca="false">IF(B92="","",IF(OR(O92="27 - Instalação concluída",O92="28 - Encerrado"),"OK",IF(NOT(ISNUMBER(X92)),"",IF(X92&gt;365,"MUITO ANTIGO (&gt;1 ano)",IF(X92&gt;180,"ANTIGO (&gt;6 meses)",IF(X92&gt;90,"ATENÇÃO ANTIG. (&gt;3 meses)","OK"))))))</f>
        <v/>
      </c>
      <c r="AA92" s="86"/>
      <c r="AB92" s="69" t="str">
        <f aca="false">IF(AND(B92&lt;&gt;"",OR(T92="Pendente de Vistoria",T92="Não validada")),MAX($AB$1:$AB$91)+1,"")</f>
        <v/>
      </c>
      <c r="AC92" s="69" t="str">
        <f aca="false">IF(AND(B92&lt;&gt;"",OR(ISNUMBER(SEARCH("CTIN",P92)),U92="Alta",O92="07 - Relatório recebido — unidade apta",O92="11 - Orçamentos em análise técnica",O92="22 - Instalação/substituição autorizada")),MAX($AC$1:$AC$91)+1,"")</f>
        <v/>
      </c>
      <c r="AD92" s="69" t="str">
        <f aca="false">IF(AND(B92&lt;&gt;"",OR(ISNUMBER(SEARCH("CTO",P92)),LEFT(O92,2)="22",LEFT(O92,2)="23",LEFT(O92,2)="24",LEFT(O92,2)="25",LEFT(O92,2)="26",LEFT(O92,2)="27")),MAX($AD$1:$AD$91)+1,"")</f>
        <v/>
      </c>
      <c r="AE92" s="69" t="str">
        <f aca="false">IF(AND(B92&lt;&gt;"",D92=CONSULTA_UNIDADE!$B$4),MAX($AE$1:$AE$91)+1,"")</f>
        <v/>
      </c>
      <c r="AF92" s="69" t="str">
        <f aca="false">IF(AND(B92&lt;&gt;"",O92&lt;&gt;"27 - Instalação concluída",O92&lt;&gt;"28 - Encerrado",ISNUMBER(S92)),S92*1000+(1000-ROW()),"")</f>
        <v/>
      </c>
      <c r="AG92" s="69" t="str">
        <f aca="false">IF(AF92="","",RANK(AF92,$AF$2:$AF$500))</f>
        <v/>
      </c>
    </row>
    <row r="93" customFormat="false" ht="16.5" hidden="false" customHeight="true" outlineLevel="0" collapsed="false">
      <c r="A93" s="86"/>
      <c r="B93" s="86"/>
      <c r="C93" s="87" t="str">
        <f aca="false">IF(D93="","",IFERROR(INDEX(CADASTRO_VIVO_3CRE!$B$2:$B$150,MATCH(D93,CADASTRO_VIVO_3CRE!$E$2:$E$150,0)),""))</f>
        <v/>
      </c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8"/>
      <c r="S93" s="89" t="str">
        <f aca="true">IF(R93="","",TODAY()-INT(R93))</f>
        <v/>
      </c>
      <c r="T93" s="86"/>
      <c r="U93" s="86"/>
      <c r="V93" s="86"/>
      <c r="W93" s="88"/>
      <c r="X93" s="89" t="str">
        <f aca="true">IF(W93="","",IF(OR(O93="28 - Encerrado",O93="27 - Instalação concluída"),"Concluído",TODAY()-INT(W93)))</f>
        <v/>
      </c>
      <c r="Y93" s="90" t="str">
        <f aca="false">IF(OR(O93="28 - Encerrado",O93="27 - Instalação concluída"),"OK",IF(AND(B93&lt;&gt;"",S93=""),"ATENÇÃO (Sem data de atualização)",IF(S93="","",IF(S93&gt;30,"CRÍTICO (Sem Atualização &gt;30 dias)",IF(S93&gt;15,"ATENÇÃO (Sem Atualização &gt;15 dias)",IF(X93&gt;90,"CRÍTICO (Aberto &gt;90 dias)","OK"))))))</f>
        <v/>
      </c>
      <c r="Z93" s="90" t="str">
        <f aca="false">IF(B93="","",IF(OR(O93="27 - Instalação concluída",O93="28 - Encerrado"),"OK",IF(NOT(ISNUMBER(X93)),"",IF(X93&gt;365,"MUITO ANTIGO (&gt;1 ano)",IF(X93&gt;180,"ANTIGO (&gt;6 meses)",IF(X93&gt;90,"ATENÇÃO ANTIG. (&gt;3 meses)","OK"))))))</f>
        <v/>
      </c>
      <c r="AA93" s="86"/>
      <c r="AB93" s="69" t="str">
        <f aca="false">IF(AND(B93&lt;&gt;"",OR(T93="Pendente de Vistoria",T93="Não validada")),MAX($AB$1:$AB$92)+1,"")</f>
        <v/>
      </c>
      <c r="AC93" s="69" t="str">
        <f aca="false">IF(AND(B93&lt;&gt;"",OR(ISNUMBER(SEARCH("CTIN",P93)),U93="Alta",O93="07 - Relatório recebido — unidade apta",O93="11 - Orçamentos em análise técnica",O93="22 - Instalação/substituição autorizada")),MAX($AC$1:$AC$92)+1,"")</f>
        <v/>
      </c>
      <c r="AD93" s="69" t="str">
        <f aca="false">IF(AND(B93&lt;&gt;"",OR(ISNUMBER(SEARCH("CTO",P93)),LEFT(O93,2)="22",LEFT(O93,2)="23",LEFT(O93,2)="24",LEFT(O93,2)="25",LEFT(O93,2)="26",LEFT(O93,2)="27")),MAX($AD$1:$AD$92)+1,"")</f>
        <v/>
      </c>
      <c r="AE93" s="69" t="str">
        <f aca="false">IF(AND(B93&lt;&gt;"",D93=CONSULTA_UNIDADE!$B$4),MAX($AE$1:$AE$92)+1,"")</f>
        <v/>
      </c>
      <c r="AF93" s="69" t="str">
        <f aca="false">IF(AND(B93&lt;&gt;"",O93&lt;&gt;"27 - Instalação concluída",O93&lt;&gt;"28 - Encerrado",ISNUMBER(S93)),S93*1000+(1000-ROW()),"")</f>
        <v/>
      </c>
      <c r="AG93" s="69" t="str">
        <f aca="false">IF(AF93="","",RANK(AF93,$AF$2:$AF$500))</f>
        <v/>
      </c>
    </row>
    <row r="94" customFormat="false" ht="16.5" hidden="false" customHeight="true" outlineLevel="0" collapsed="false">
      <c r="A94" s="86"/>
      <c r="B94" s="86"/>
      <c r="C94" s="87" t="str">
        <f aca="false">IF(D94="","",IFERROR(INDEX(CADASTRO_VIVO_3CRE!$B$2:$B$150,MATCH(D94,CADASTRO_VIVO_3CRE!$E$2:$E$150,0)),""))</f>
        <v/>
      </c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8"/>
      <c r="S94" s="89" t="str">
        <f aca="true">IF(R94="","",TODAY()-INT(R94))</f>
        <v/>
      </c>
      <c r="T94" s="86"/>
      <c r="U94" s="86"/>
      <c r="V94" s="86"/>
      <c r="W94" s="88"/>
      <c r="X94" s="89" t="str">
        <f aca="true">IF(W94="","",IF(OR(O94="28 - Encerrado",O94="27 - Instalação concluída"),"Concluído",TODAY()-INT(W94)))</f>
        <v/>
      </c>
      <c r="Y94" s="90" t="str">
        <f aca="false">IF(OR(O94="28 - Encerrado",O94="27 - Instalação concluída"),"OK",IF(AND(B94&lt;&gt;"",S94=""),"ATENÇÃO (Sem data de atualização)",IF(S94="","",IF(S94&gt;30,"CRÍTICO (Sem Atualização &gt;30 dias)",IF(S94&gt;15,"ATENÇÃO (Sem Atualização &gt;15 dias)",IF(X94&gt;90,"CRÍTICO (Aberto &gt;90 dias)","OK"))))))</f>
        <v/>
      </c>
      <c r="Z94" s="90" t="str">
        <f aca="false">IF(B94="","",IF(OR(O94="27 - Instalação concluída",O94="28 - Encerrado"),"OK",IF(NOT(ISNUMBER(X94)),"",IF(X94&gt;365,"MUITO ANTIGO (&gt;1 ano)",IF(X94&gt;180,"ANTIGO (&gt;6 meses)",IF(X94&gt;90,"ATENÇÃO ANTIG. (&gt;3 meses)","OK"))))))</f>
        <v/>
      </c>
      <c r="AA94" s="86"/>
      <c r="AB94" s="69" t="str">
        <f aca="false">IF(AND(B94&lt;&gt;"",OR(T94="Pendente de Vistoria",T94="Não validada")),MAX($AB$1:$AB$93)+1,"")</f>
        <v/>
      </c>
      <c r="AC94" s="69" t="str">
        <f aca="false">IF(AND(B94&lt;&gt;"",OR(ISNUMBER(SEARCH("CTIN",P94)),U94="Alta",O94="07 - Relatório recebido — unidade apta",O94="11 - Orçamentos em análise técnica",O94="22 - Instalação/substituição autorizada")),MAX($AC$1:$AC$93)+1,"")</f>
        <v/>
      </c>
      <c r="AD94" s="69" t="str">
        <f aca="false">IF(AND(B94&lt;&gt;"",OR(ISNUMBER(SEARCH("CTO",P94)),LEFT(O94,2)="22",LEFT(O94,2)="23",LEFT(O94,2)="24",LEFT(O94,2)="25",LEFT(O94,2)="26",LEFT(O94,2)="27")),MAX($AD$1:$AD$93)+1,"")</f>
        <v/>
      </c>
      <c r="AE94" s="69" t="str">
        <f aca="false">IF(AND(B94&lt;&gt;"",D94=CONSULTA_UNIDADE!$B$4),MAX($AE$1:$AE$93)+1,"")</f>
        <v/>
      </c>
      <c r="AF94" s="69" t="str">
        <f aca="false">IF(AND(B94&lt;&gt;"",O94&lt;&gt;"27 - Instalação concluída",O94&lt;&gt;"28 - Encerrado",ISNUMBER(S94)),S94*1000+(1000-ROW()),"")</f>
        <v/>
      </c>
      <c r="AG94" s="69" t="str">
        <f aca="false">IF(AF94="","",RANK(AF94,$AF$2:$AF$500))</f>
        <v/>
      </c>
    </row>
    <row r="95" customFormat="false" ht="16.5" hidden="false" customHeight="true" outlineLevel="0" collapsed="false">
      <c r="A95" s="86"/>
      <c r="B95" s="86"/>
      <c r="C95" s="87" t="str">
        <f aca="false">IF(D95="","",IFERROR(INDEX(CADASTRO_VIVO_3CRE!$B$2:$B$150,MATCH(D95,CADASTRO_VIVO_3CRE!$E$2:$E$150,0)),""))</f>
        <v/>
      </c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8"/>
      <c r="S95" s="89" t="str">
        <f aca="true">IF(R95="","",TODAY()-INT(R95))</f>
        <v/>
      </c>
      <c r="T95" s="86"/>
      <c r="U95" s="86"/>
      <c r="V95" s="86"/>
      <c r="W95" s="88"/>
      <c r="X95" s="89" t="str">
        <f aca="true">IF(W95="","",IF(OR(O95="28 - Encerrado",O95="27 - Instalação concluída"),"Concluído",TODAY()-INT(W95)))</f>
        <v/>
      </c>
      <c r="Y95" s="90" t="str">
        <f aca="false">IF(OR(O95="28 - Encerrado",O95="27 - Instalação concluída"),"OK",IF(AND(B95&lt;&gt;"",S95=""),"ATENÇÃO (Sem data de atualização)",IF(S95="","",IF(S95&gt;30,"CRÍTICO (Sem Atualização &gt;30 dias)",IF(S95&gt;15,"ATENÇÃO (Sem Atualização &gt;15 dias)",IF(X95&gt;90,"CRÍTICO (Aberto &gt;90 dias)","OK"))))))</f>
        <v/>
      </c>
      <c r="Z95" s="90" t="str">
        <f aca="false">IF(B95="","",IF(OR(O95="27 - Instalação concluída",O95="28 - Encerrado"),"OK",IF(NOT(ISNUMBER(X95)),"",IF(X95&gt;365,"MUITO ANTIGO (&gt;1 ano)",IF(X95&gt;180,"ANTIGO (&gt;6 meses)",IF(X95&gt;90,"ATENÇÃO ANTIG. (&gt;3 meses)","OK"))))))</f>
        <v/>
      </c>
      <c r="AA95" s="86"/>
      <c r="AB95" s="69" t="str">
        <f aca="false">IF(AND(B95&lt;&gt;"",OR(T95="Pendente de Vistoria",T95="Não validada")),MAX($AB$1:$AB$94)+1,"")</f>
        <v/>
      </c>
      <c r="AC95" s="69" t="str">
        <f aca="false">IF(AND(B95&lt;&gt;"",OR(ISNUMBER(SEARCH("CTIN",P95)),U95="Alta",O95="07 - Relatório recebido — unidade apta",O95="11 - Orçamentos em análise técnica",O95="22 - Instalação/substituição autorizada")),MAX($AC$1:$AC$94)+1,"")</f>
        <v/>
      </c>
      <c r="AD95" s="69" t="str">
        <f aca="false">IF(AND(B95&lt;&gt;"",OR(ISNUMBER(SEARCH("CTO",P95)),LEFT(O95,2)="22",LEFT(O95,2)="23",LEFT(O95,2)="24",LEFT(O95,2)="25",LEFT(O95,2)="26",LEFT(O95,2)="27")),MAX($AD$1:$AD$94)+1,"")</f>
        <v/>
      </c>
      <c r="AE95" s="69" t="str">
        <f aca="false">IF(AND(B95&lt;&gt;"",D95=CONSULTA_UNIDADE!$B$4),MAX($AE$1:$AE$94)+1,"")</f>
        <v/>
      </c>
      <c r="AF95" s="69" t="str">
        <f aca="false">IF(AND(B95&lt;&gt;"",O95&lt;&gt;"27 - Instalação concluída",O95&lt;&gt;"28 - Encerrado",ISNUMBER(S95)),S95*1000+(1000-ROW()),"")</f>
        <v/>
      </c>
      <c r="AG95" s="69" t="str">
        <f aca="false">IF(AF95="","",RANK(AF95,$AF$2:$AF$500))</f>
        <v/>
      </c>
    </row>
    <row r="96" customFormat="false" ht="16.5" hidden="false" customHeight="true" outlineLevel="0" collapsed="false">
      <c r="A96" s="86"/>
      <c r="B96" s="86"/>
      <c r="C96" s="87" t="str">
        <f aca="false">IF(D96="","",IFERROR(INDEX(CADASTRO_VIVO_3CRE!$B$2:$B$150,MATCH(D96,CADASTRO_VIVO_3CRE!$E$2:$E$150,0)),""))</f>
        <v/>
      </c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8"/>
      <c r="S96" s="89" t="str">
        <f aca="true">IF(R96="","",TODAY()-INT(R96))</f>
        <v/>
      </c>
      <c r="T96" s="86"/>
      <c r="U96" s="86"/>
      <c r="V96" s="86"/>
      <c r="W96" s="88"/>
      <c r="X96" s="89" t="str">
        <f aca="true">IF(W96="","",IF(OR(O96="28 - Encerrado",O96="27 - Instalação concluída"),"Concluído",TODAY()-INT(W96)))</f>
        <v/>
      </c>
      <c r="Y96" s="90" t="str">
        <f aca="false">IF(OR(O96="28 - Encerrado",O96="27 - Instalação concluída"),"OK",IF(AND(B96&lt;&gt;"",S96=""),"ATENÇÃO (Sem data de atualização)",IF(S96="","",IF(S96&gt;30,"CRÍTICO (Sem Atualização &gt;30 dias)",IF(S96&gt;15,"ATENÇÃO (Sem Atualização &gt;15 dias)",IF(X96&gt;90,"CRÍTICO (Aberto &gt;90 dias)","OK"))))))</f>
        <v/>
      </c>
      <c r="Z96" s="90" t="str">
        <f aca="false">IF(B96="","",IF(OR(O96="27 - Instalação concluída",O96="28 - Encerrado"),"OK",IF(NOT(ISNUMBER(X96)),"",IF(X96&gt;365,"MUITO ANTIGO (&gt;1 ano)",IF(X96&gt;180,"ANTIGO (&gt;6 meses)",IF(X96&gt;90,"ATENÇÃO ANTIG. (&gt;3 meses)","OK"))))))</f>
        <v/>
      </c>
      <c r="AA96" s="86"/>
      <c r="AB96" s="69" t="str">
        <f aca="false">IF(AND(B96&lt;&gt;"",OR(T96="Pendente de Vistoria",T96="Não validada")),MAX($AB$1:$AB$95)+1,"")</f>
        <v/>
      </c>
      <c r="AC96" s="69" t="str">
        <f aca="false">IF(AND(B96&lt;&gt;"",OR(ISNUMBER(SEARCH("CTIN",P96)),U96="Alta",O96="07 - Relatório recebido — unidade apta",O96="11 - Orçamentos em análise técnica",O96="22 - Instalação/substituição autorizada")),MAX($AC$1:$AC$95)+1,"")</f>
        <v/>
      </c>
      <c r="AD96" s="69" t="str">
        <f aca="false">IF(AND(B96&lt;&gt;"",OR(ISNUMBER(SEARCH("CTO",P96)),LEFT(O96,2)="22",LEFT(O96,2)="23",LEFT(O96,2)="24",LEFT(O96,2)="25",LEFT(O96,2)="26",LEFT(O96,2)="27")),MAX($AD$1:$AD$95)+1,"")</f>
        <v/>
      </c>
      <c r="AE96" s="69" t="str">
        <f aca="false">IF(AND(B96&lt;&gt;"",D96=CONSULTA_UNIDADE!$B$4),MAX($AE$1:$AE$95)+1,"")</f>
        <v/>
      </c>
      <c r="AF96" s="69" t="str">
        <f aca="false">IF(AND(B96&lt;&gt;"",O96&lt;&gt;"27 - Instalação concluída",O96&lt;&gt;"28 - Encerrado",ISNUMBER(S96)),S96*1000+(1000-ROW()),"")</f>
        <v/>
      </c>
      <c r="AG96" s="69" t="str">
        <f aca="false">IF(AF96="","",RANK(AF96,$AF$2:$AF$500))</f>
        <v/>
      </c>
    </row>
    <row r="97" customFormat="false" ht="16.5" hidden="false" customHeight="true" outlineLevel="0" collapsed="false">
      <c r="A97" s="86"/>
      <c r="B97" s="86"/>
      <c r="C97" s="87" t="str">
        <f aca="false">IF(D97="","",IFERROR(INDEX(CADASTRO_VIVO_3CRE!$B$2:$B$150,MATCH(D97,CADASTRO_VIVO_3CRE!$E$2:$E$150,0)),""))</f>
        <v/>
      </c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8"/>
      <c r="S97" s="89" t="str">
        <f aca="true">IF(R97="","",TODAY()-INT(R97))</f>
        <v/>
      </c>
      <c r="T97" s="86"/>
      <c r="U97" s="86"/>
      <c r="V97" s="86"/>
      <c r="W97" s="88"/>
      <c r="X97" s="89" t="str">
        <f aca="true">IF(W97="","",IF(OR(O97="28 - Encerrado",O97="27 - Instalação concluída"),"Concluído",TODAY()-INT(W97)))</f>
        <v/>
      </c>
      <c r="Y97" s="90" t="str">
        <f aca="false">IF(OR(O97="28 - Encerrado",O97="27 - Instalação concluída"),"OK",IF(AND(B97&lt;&gt;"",S97=""),"ATENÇÃO (Sem data de atualização)",IF(S97="","",IF(S97&gt;30,"CRÍTICO (Sem Atualização &gt;30 dias)",IF(S97&gt;15,"ATENÇÃO (Sem Atualização &gt;15 dias)",IF(X97&gt;90,"CRÍTICO (Aberto &gt;90 dias)","OK"))))))</f>
        <v/>
      </c>
      <c r="Z97" s="90" t="str">
        <f aca="false">IF(B97="","",IF(OR(O97="27 - Instalação concluída",O97="28 - Encerrado"),"OK",IF(NOT(ISNUMBER(X97)),"",IF(X97&gt;365,"MUITO ANTIGO (&gt;1 ano)",IF(X97&gt;180,"ANTIGO (&gt;6 meses)",IF(X97&gt;90,"ATENÇÃO ANTIG. (&gt;3 meses)","OK"))))))</f>
        <v/>
      </c>
      <c r="AA97" s="86"/>
      <c r="AB97" s="69" t="str">
        <f aca="false">IF(AND(B97&lt;&gt;"",OR(T97="Pendente de Vistoria",T97="Não validada")),MAX($AB$1:$AB$96)+1,"")</f>
        <v/>
      </c>
      <c r="AC97" s="69" t="str">
        <f aca="false">IF(AND(B97&lt;&gt;"",OR(ISNUMBER(SEARCH("CTIN",P97)),U97="Alta",O97="07 - Relatório recebido — unidade apta",O97="11 - Orçamentos em análise técnica",O97="22 - Instalação/substituição autorizada")),MAX($AC$1:$AC$96)+1,"")</f>
        <v/>
      </c>
      <c r="AD97" s="69" t="str">
        <f aca="false">IF(AND(B97&lt;&gt;"",OR(ISNUMBER(SEARCH("CTO",P97)),LEFT(O97,2)="22",LEFT(O97,2)="23",LEFT(O97,2)="24",LEFT(O97,2)="25",LEFT(O97,2)="26",LEFT(O97,2)="27")),MAX($AD$1:$AD$96)+1,"")</f>
        <v/>
      </c>
      <c r="AE97" s="69" t="str">
        <f aca="false">IF(AND(B97&lt;&gt;"",D97=CONSULTA_UNIDADE!$B$4),MAX($AE$1:$AE$96)+1,"")</f>
        <v/>
      </c>
      <c r="AF97" s="69" t="str">
        <f aca="false">IF(AND(B97&lt;&gt;"",O97&lt;&gt;"27 - Instalação concluída",O97&lt;&gt;"28 - Encerrado",ISNUMBER(S97)),S97*1000+(1000-ROW()),"")</f>
        <v/>
      </c>
      <c r="AG97" s="69" t="str">
        <f aca="false">IF(AF97="","",RANK(AF97,$AF$2:$AF$500))</f>
        <v/>
      </c>
    </row>
    <row r="98" customFormat="false" ht="16.5" hidden="false" customHeight="true" outlineLevel="0" collapsed="false">
      <c r="A98" s="86"/>
      <c r="B98" s="86"/>
      <c r="C98" s="87" t="str">
        <f aca="false">IF(D98="","",IFERROR(INDEX(CADASTRO_VIVO_3CRE!$B$2:$B$150,MATCH(D98,CADASTRO_VIVO_3CRE!$E$2:$E$150,0)),""))</f>
        <v/>
      </c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8"/>
      <c r="S98" s="89" t="str">
        <f aca="true">IF(R98="","",TODAY()-INT(R98))</f>
        <v/>
      </c>
      <c r="T98" s="86"/>
      <c r="U98" s="86"/>
      <c r="V98" s="86"/>
      <c r="W98" s="88"/>
      <c r="X98" s="89" t="str">
        <f aca="true">IF(W98="","",IF(OR(O98="28 - Encerrado",O98="27 - Instalação concluída"),"Concluído",TODAY()-INT(W98)))</f>
        <v/>
      </c>
      <c r="Y98" s="90" t="str">
        <f aca="false">IF(OR(O98="28 - Encerrado",O98="27 - Instalação concluída"),"OK",IF(AND(B98&lt;&gt;"",S98=""),"ATENÇÃO (Sem data de atualização)",IF(S98="","",IF(S98&gt;30,"CRÍTICO (Sem Atualização &gt;30 dias)",IF(S98&gt;15,"ATENÇÃO (Sem Atualização &gt;15 dias)",IF(X98&gt;90,"CRÍTICO (Aberto &gt;90 dias)","OK"))))))</f>
        <v/>
      </c>
      <c r="Z98" s="90" t="str">
        <f aca="false">IF(B98="","",IF(OR(O98="27 - Instalação concluída",O98="28 - Encerrado"),"OK",IF(NOT(ISNUMBER(X98)),"",IF(X98&gt;365,"MUITO ANTIGO (&gt;1 ano)",IF(X98&gt;180,"ANTIGO (&gt;6 meses)",IF(X98&gt;90,"ATENÇÃO ANTIG. (&gt;3 meses)","OK"))))))</f>
        <v/>
      </c>
      <c r="AA98" s="86"/>
      <c r="AB98" s="69" t="str">
        <f aca="false">IF(AND(B98&lt;&gt;"",OR(T98="Pendente de Vistoria",T98="Não validada")),MAX($AB$1:$AB$97)+1,"")</f>
        <v/>
      </c>
      <c r="AC98" s="69" t="str">
        <f aca="false">IF(AND(B98&lt;&gt;"",OR(ISNUMBER(SEARCH("CTIN",P98)),U98="Alta",O98="07 - Relatório recebido — unidade apta",O98="11 - Orçamentos em análise técnica",O98="22 - Instalação/substituição autorizada")),MAX($AC$1:$AC$97)+1,"")</f>
        <v/>
      </c>
      <c r="AD98" s="69" t="str">
        <f aca="false">IF(AND(B98&lt;&gt;"",OR(ISNUMBER(SEARCH("CTO",P98)),LEFT(O98,2)="22",LEFT(O98,2)="23",LEFT(O98,2)="24",LEFT(O98,2)="25",LEFT(O98,2)="26",LEFT(O98,2)="27")),MAX($AD$1:$AD$97)+1,"")</f>
        <v/>
      </c>
      <c r="AE98" s="69" t="str">
        <f aca="false">IF(AND(B98&lt;&gt;"",D98=CONSULTA_UNIDADE!$B$4),MAX($AE$1:$AE$97)+1,"")</f>
        <v/>
      </c>
      <c r="AF98" s="69" t="str">
        <f aca="false">IF(AND(B98&lt;&gt;"",O98&lt;&gt;"27 - Instalação concluída",O98&lt;&gt;"28 - Encerrado",ISNUMBER(S98)),S98*1000+(1000-ROW()),"")</f>
        <v/>
      </c>
      <c r="AG98" s="69" t="str">
        <f aca="false">IF(AF98="","",RANK(AF98,$AF$2:$AF$500))</f>
        <v/>
      </c>
    </row>
    <row r="99" customFormat="false" ht="16.5" hidden="false" customHeight="true" outlineLevel="0" collapsed="false">
      <c r="A99" s="86"/>
      <c r="B99" s="86"/>
      <c r="C99" s="87" t="str">
        <f aca="false">IF(D99="","",IFERROR(INDEX(CADASTRO_VIVO_3CRE!$B$2:$B$150,MATCH(D99,CADASTRO_VIVO_3CRE!$E$2:$E$150,0)),""))</f>
        <v/>
      </c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8"/>
      <c r="S99" s="89" t="str">
        <f aca="true">IF(R99="","",TODAY()-INT(R99))</f>
        <v/>
      </c>
      <c r="T99" s="86"/>
      <c r="U99" s="86"/>
      <c r="V99" s="86"/>
      <c r="W99" s="88"/>
      <c r="X99" s="89" t="str">
        <f aca="true">IF(W99="","",IF(OR(O99="28 - Encerrado",O99="27 - Instalação concluída"),"Concluído",TODAY()-INT(W99)))</f>
        <v/>
      </c>
      <c r="Y99" s="90" t="str">
        <f aca="false">IF(OR(O99="28 - Encerrado",O99="27 - Instalação concluída"),"OK",IF(AND(B99&lt;&gt;"",S99=""),"ATENÇÃO (Sem data de atualização)",IF(S99="","",IF(S99&gt;30,"CRÍTICO (Sem Atualização &gt;30 dias)",IF(S99&gt;15,"ATENÇÃO (Sem Atualização &gt;15 dias)",IF(X99&gt;90,"CRÍTICO (Aberto &gt;90 dias)","OK"))))))</f>
        <v/>
      </c>
      <c r="Z99" s="90" t="str">
        <f aca="false">IF(B99="","",IF(OR(O99="27 - Instalação concluída",O99="28 - Encerrado"),"OK",IF(NOT(ISNUMBER(X99)),"",IF(X99&gt;365,"MUITO ANTIGO (&gt;1 ano)",IF(X99&gt;180,"ANTIGO (&gt;6 meses)",IF(X99&gt;90,"ATENÇÃO ANTIG. (&gt;3 meses)","OK"))))))</f>
        <v/>
      </c>
      <c r="AA99" s="86"/>
      <c r="AB99" s="69" t="str">
        <f aca="false">IF(AND(B99&lt;&gt;"",OR(T99="Pendente de Vistoria",T99="Não validada")),MAX($AB$1:$AB$98)+1,"")</f>
        <v/>
      </c>
      <c r="AC99" s="69" t="str">
        <f aca="false">IF(AND(B99&lt;&gt;"",OR(ISNUMBER(SEARCH("CTIN",P99)),U99="Alta",O99="07 - Relatório recebido — unidade apta",O99="11 - Orçamentos em análise técnica",O99="22 - Instalação/substituição autorizada")),MAX($AC$1:$AC$98)+1,"")</f>
        <v/>
      </c>
      <c r="AD99" s="69" t="str">
        <f aca="false">IF(AND(B99&lt;&gt;"",OR(ISNUMBER(SEARCH("CTO",P99)),LEFT(O99,2)="22",LEFT(O99,2)="23",LEFT(O99,2)="24",LEFT(O99,2)="25",LEFT(O99,2)="26",LEFT(O99,2)="27")),MAX($AD$1:$AD$98)+1,"")</f>
        <v/>
      </c>
      <c r="AE99" s="69" t="str">
        <f aca="false">IF(AND(B99&lt;&gt;"",D99=CONSULTA_UNIDADE!$B$4),MAX($AE$1:$AE$98)+1,"")</f>
        <v/>
      </c>
      <c r="AF99" s="69" t="str">
        <f aca="false">IF(AND(B99&lt;&gt;"",O99&lt;&gt;"27 - Instalação concluída",O99&lt;&gt;"28 - Encerrado",ISNUMBER(S99)),S99*1000+(1000-ROW()),"")</f>
        <v/>
      </c>
      <c r="AG99" s="69" t="str">
        <f aca="false">IF(AF99="","",RANK(AF99,$AF$2:$AF$500))</f>
        <v/>
      </c>
    </row>
    <row r="100" customFormat="false" ht="16.5" hidden="false" customHeight="true" outlineLevel="0" collapsed="false">
      <c r="A100" s="86"/>
      <c r="B100" s="86"/>
      <c r="C100" s="87" t="str">
        <f aca="false">IF(D100="","",IFERROR(INDEX(CADASTRO_VIVO_3CRE!$B$2:$B$150,MATCH(D100,CADASTRO_VIVO_3CRE!$E$2:$E$150,0)),""))</f>
        <v/>
      </c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8"/>
      <c r="S100" s="89" t="str">
        <f aca="true">IF(R100="","",TODAY()-INT(R100))</f>
        <v/>
      </c>
      <c r="T100" s="86"/>
      <c r="U100" s="86"/>
      <c r="V100" s="86"/>
      <c r="W100" s="88"/>
      <c r="X100" s="89" t="str">
        <f aca="true">IF(W100="","",IF(OR(O100="28 - Encerrado",O100="27 - Instalação concluída"),"Concluído",TODAY()-INT(W100)))</f>
        <v/>
      </c>
      <c r="Y100" s="90" t="str">
        <f aca="false">IF(OR(O100="28 - Encerrado",O100="27 - Instalação concluída"),"OK",IF(AND(B100&lt;&gt;"",S100=""),"ATENÇÃO (Sem data de atualização)",IF(S100="","",IF(S100&gt;30,"CRÍTICO (Sem Atualização &gt;30 dias)",IF(S100&gt;15,"ATENÇÃO (Sem Atualização &gt;15 dias)",IF(X100&gt;90,"CRÍTICO (Aberto &gt;90 dias)","OK"))))))</f>
        <v/>
      </c>
      <c r="Z100" s="90" t="str">
        <f aca="false">IF(B100="","",IF(OR(O100="27 - Instalação concluída",O100="28 - Encerrado"),"OK",IF(NOT(ISNUMBER(X100)),"",IF(X100&gt;365,"MUITO ANTIGO (&gt;1 ano)",IF(X100&gt;180,"ANTIGO (&gt;6 meses)",IF(X100&gt;90,"ATENÇÃO ANTIG. (&gt;3 meses)","OK"))))))</f>
        <v/>
      </c>
      <c r="AA100" s="86"/>
      <c r="AB100" s="69" t="str">
        <f aca="false">IF(AND(B100&lt;&gt;"",OR(T100="Pendente de Vistoria",T100="Não validada")),MAX($AB$1:$AB$99)+1,"")</f>
        <v/>
      </c>
      <c r="AC100" s="69" t="str">
        <f aca="false">IF(AND(B100&lt;&gt;"",OR(ISNUMBER(SEARCH("CTIN",P100)),U100="Alta",O100="07 - Relatório recebido — unidade apta",O100="11 - Orçamentos em análise técnica",O100="22 - Instalação/substituição autorizada")),MAX($AC$1:$AC$99)+1,"")</f>
        <v/>
      </c>
      <c r="AD100" s="69" t="str">
        <f aca="false">IF(AND(B100&lt;&gt;"",OR(ISNUMBER(SEARCH("CTO",P100)),LEFT(O100,2)="22",LEFT(O100,2)="23",LEFT(O100,2)="24",LEFT(O100,2)="25",LEFT(O100,2)="26",LEFT(O100,2)="27")),MAX($AD$1:$AD$99)+1,"")</f>
        <v/>
      </c>
      <c r="AE100" s="69" t="str">
        <f aca="false">IF(AND(B100&lt;&gt;"",D100=CONSULTA_UNIDADE!$B$4),MAX($AE$1:$AE$99)+1,"")</f>
        <v/>
      </c>
      <c r="AF100" s="69" t="str">
        <f aca="false">IF(AND(B100&lt;&gt;"",O100&lt;&gt;"27 - Instalação concluída",O100&lt;&gt;"28 - Encerrado",ISNUMBER(S100)),S100*1000+(1000-ROW()),"")</f>
        <v/>
      </c>
      <c r="AG100" s="69" t="str">
        <f aca="false">IF(AF100="","",RANK(AF100,$AF$2:$AF$500))</f>
        <v/>
      </c>
    </row>
    <row r="101" customFormat="false" ht="16.5" hidden="false" customHeight="true" outlineLevel="0" collapsed="false">
      <c r="A101" s="86"/>
      <c r="B101" s="86"/>
      <c r="C101" s="87" t="str">
        <f aca="false">IF(D101="","",IFERROR(INDEX(CADASTRO_VIVO_3CRE!$B$2:$B$150,MATCH(D101,CADASTRO_VIVO_3CRE!$E$2:$E$150,0)),""))</f>
        <v/>
      </c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8"/>
      <c r="S101" s="89" t="str">
        <f aca="true">IF(R101="","",TODAY()-INT(R101))</f>
        <v/>
      </c>
      <c r="T101" s="86"/>
      <c r="U101" s="86"/>
      <c r="V101" s="86"/>
      <c r="W101" s="88"/>
      <c r="X101" s="89" t="str">
        <f aca="true">IF(W101="","",IF(OR(O101="28 - Encerrado",O101="27 - Instalação concluída"),"Concluído",TODAY()-INT(W101)))</f>
        <v/>
      </c>
      <c r="Y101" s="90" t="str">
        <f aca="false">IF(OR(O101="28 - Encerrado",O101="27 - Instalação concluída"),"OK",IF(AND(B101&lt;&gt;"",S101=""),"ATENÇÃO (Sem data de atualização)",IF(S101="","",IF(S101&gt;30,"CRÍTICO (Sem Atualização &gt;30 dias)",IF(S101&gt;15,"ATENÇÃO (Sem Atualização &gt;15 dias)",IF(X101&gt;90,"CRÍTICO (Aberto &gt;90 dias)","OK"))))))</f>
        <v/>
      </c>
      <c r="Z101" s="90" t="str">
        <f aca="false">IF(B101="","",IF(OR(O101="27 - Instalação concluída",O101="28 - Encerrado"),"OK",IF(NOT(ISNUMBER(X101)),"",IF(X101&gt;365,"MUITO ANTIGO (&gt;1 ano)",IF(X101&gt;180,"ANTIGO (&gt;6 meses)",IF(X101&gt;90,"ATENÇÃO ANTIG. (&gt;3 meses)","OK"))))))</f>
        <v/>
      </c>
      <c r="AA101" s="86"/>
      <c r="AB101" s="69" t="str">
        <f aca="false">IF(AND(B101&lt;&gt;"",OR(T101="Pendente de Vistoria",T101="Não validada")),MAX($AB$1:$AB$100)+1,"")</f>
        <v/>
      </c>
      <c r="AC101" s="69" t="str">
        <f aca="false">IF(AND(B101&lt;&gt;"",OR(ISNUMBER(SEARCH("CTIN",P101)),U101="Alta",O101="07 - Relatório recebido — unidade apta",O101="11 - Orçamentos em análise técnica",O101="22 - Instalação/substituição autorizada")),MAX($AC$1:$AC$100)+1,"")</f>
        <v/>
      </c>
      <c r="AD101" s="69" t="str">
        <f aca="false">IF(AND(B101&lt;&gt;"",OR(ISNUMBER(SEARCH("CTO",P101)),LEFT(O101,2)="22",LEFT(O101,2)="23",LEFT(O101,2)="24",LEFT(O101,2)="25",LEFT(O101,2)="26",LEFT(O101,2)="27")),MAX($AD$1:$AD$100)+1,"")</f>
        <v/>
      </c>
      <c r="AE101" s="69" t="str">
        <f aca="false">IF(AND(B101&lt;&gt;"",D101=CONSULTA_UNIDADE!$B$4),MAX($AE$1:$AE$100)+1,"")</f>
        <v/>
      </c>
      <c r="AF101" s="69" t="str">
        <f aca="false">IF(AND(B101&lt;&gt;"",O101&lt;&gt;"27 - Instalação concluída",O101&lt;&gt;"28 - Encerrado",ISNUMBER(S101)),S101*1000+(1000-ROW()),"")</f>
        <v/>
      </c>
      <c r="AG101" s="69" t="str">
        <f aca="false">IF(AF101="","",RANK(AF101,$AF$2:$AF$500))</f>
        <v/>
      </c>
    </row>
    <row r="102" customFormat="false" ht="16.5" hidden="false" customHeight="true" outlineLevel="0" collapsed="false">
      <c r="A102" s="86"/>
      <c r="B102" s="86"/>
      <c r="C102" s="87" t="str">
        <f aca="false">IF(D102="","",IFERROR(INDEX(CADASTRO_VIVO_3CRE!$B$2:$B$150,MATCH(D102,CADASTRO_VIVO_3CRE!$E$2:$E$150,0)),""))</f>
        <v/>
      </c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8"/>
      <c r="S102" s="89" t="str">
        <f aca="true">IF(R102="","",TODAY()-INT(R102))</f>
        <v/>
      </c>
      <c r="T102" s="86"/>
      <c r="U102" s="86"/>
      <c r="V102" s="86"/>
      <c r="W102" s="88"/>
      <c r="X102" s="89" t="str">
        <f aca="true">IF(W102="","",IF(OR(O102="28 - Encerrado",O102="27 - Instalação concluída"),"Concluído",TODAY()-INT(W102)))</f>
        <v/>
      </c>
      <c r="Y102" s="90" t="str">
        <f aca="false">IF(OR(O102="28 - Encerrado",O102="27 - Instalação concluída"),"OK",IF(AND(B102&lt;&gt;"",S102=""),"ATENÇÃO (Sem data de atualização)",IF(S102="","",IF(S102&gt;30,"CRÍTICO (Sem Atualização &gt;30 dias)",IF(S102&gt;15,"ATENÇÃO (Sem Atualização &gt;15 dias)",IF(X102&gt;90,"CRÍTICO (Aberto &gt;90 dias)","OK"))))))</f>
        <v/>
      </c>
      <c r="Z102" s="90" t="str">
        <f aca="false">IF(B102="","",IF(OR(O102="27 - Instalação concluída",O102="28 - Encerrado"),"OK",IF(NOT(ISNUMBER(X102)),"",IF(X102&gt;365,"MUITO ANTIGO (&gt;1 ano)",IF(X102&gt;180,"ANTIGO (&gt;6 meses)",IF(X102&gt;90,"ATENÇÃO ANTIG. (&gt;3 meses)","OK"))))))</f>
        <v/>
      </c>
      <c r="AA102" s="86"/>
      <c r="AB102" s="69" t="str">
        <f aca="false">IF(AND(B102&lt;&gt;"",OR(T102="Pendente de Vistoria",T102="Não validada")),MAX($AB$1:$AB$101)+1,"")</f>
        <v/>
      </c>
      <c r="AC102" s="69" t="str">
        <f aca="false">IF(AND(B102&lt;&gt;"",OR(ISNUMBER(SEARCH("CTIN",P102)),U102="Alta",O102="07 - Relatório recebido — unidade apta",O102="11 - Orçamentos em análise técnica",O102="22 - Instalação/substituição autorizada")),MAX($AC$1:$AC$101)+1,"")</f>
        <v/>
      </c>
      <c r="AD102" s="69" t="str">
        <f aca="false">IF(AND(B102&lt;&gt;"",OR(ISNUMBER(SEARCH("CTO",P102)),LEFT(O102,2)="22",LEFT(O102,2)="23",LEFT(O102,2)="24",LEFT(O102,2)="25",LEFT(O102,2)="26",LEFT(O102,2)="27")),MAX($AD$1:$AD$101)+1,"")</f>
        <v/>
      </c>
      <c r="AE102" s="69" t="str">
        <f aca="false">IF(AND(B102&lt;&gt;"",D102=CONSULTA_UNIDADE!$B$4),MAX($AE$1:$AE$101)+1,"")</f>
        <v/>
      </c>
      <c r="AF102" s="69" t="str">
        <f aca="false">IF(AND(B102&lt;&gt;"",O102&lt;&gt;"27 - Instalação concluída",O102&lt;&gt;"28 - Encerrado",ISNUMBER(S102)),S102*1000+(1000-ROW()),"")</f>
        <v/>
      </c>
      <c r="AG102" s="69" t="str">
        <f aca="false">IF(AF102="","",RANK(AF102,$AF$2:$AF$500))</f>
        <v/>
      </c>
    </row>
    <row r="103" customFormat="false" ht="16.5" hidden="false" customHeight="true" outlineLevel="0" collapsed="false">
      <c r="A103" s="86"/>
      <c r="B103" s="86"/>
      <c r="C103" s="87" t="str">
        <f aca="false">IF(D103="","",IFERROR(INDEX(CADASTRO_VIVO_3CRE!$B$2:$B$150,MATCH(D103,CADASTRO_VIVO_3CRE!$E$2:$E$150,0)),""))</f>
        <v/>
      </c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8"/>
      <c r="S103" s="89" t="str">
        <f aca="true">IF(R103="","",TODAY()-INT(R103))</f>
        <v/>
      </c>
      <c r="T103" s="86"/>
      <c r="U103" s="86"/>
      <c r="V103" s="86"/>
      <c r="W103" s="88"/>
      <c r="X103" s="89" t="str">
        <f aca="true">IF(W103="","",IF(OR(O103="28 - Encerrado",O103="27 - Instalação concluída"),"Concluído",TODAY()-INT(W103)))</f>
        <v/>
      </c>
      <c r="Y103" s="90" t="str">
        <f aca="false">IF(OR(O103="28 - Encerrado",O103="27 - Instalação concluída"),"OK",IF(AND(B103&lt;&gt;"",S103=""),"ATENÇÃO (Sem data de atualização)",IF(S103="","",IF(S103&gt;30,"CRÍTICO (Sem Atualização &gt;30 dias)",IF(S103&gt;15,"ATENÇÃO (Sem Atualização &gt;15 dias)",IF(X103&gt;90,"CRÍTICO (Aberto &gt;90 dias)","OK"))))))</f>
        <v/>
      </c>
      <c r="Z103" s="90" t="str">
        <f aca="false">IF(B103="","",IF(OR(O103="27 - Instalação concluída",O103="28 - Encerrado"),"OK",IF(NOT(ISNUMBER(X103)),"",IF(X103&gt;365,"MUITO ANTIGO (&gt;1 ano)",IF(X103&gt;180,"ANTIGO (&gt;6 meses)",IF(X103&gt;90,"ATENÇÃO ANTIG. (&gt;3 meses)","OK"))))))</f>
        <v/>
      </c>
      <c r="AA103" s="86"/>
      <c r="AB103" s="69" t="str">
        <f aca="false">IF(AND(B103&lt;&gt;"",OR(T103="Pendente de Vistoria",T103="Não validada")),MAX($AB$1:$AB$102)+1,"")</f>
        <v/>
      </c>
      <c r="AC103" s="69" t="str">
        <f aca="false">IF(AND(B103&lt;&gt;"",OR(ISNUMBER(SEARCH("CTIN",P103)),U103="Alta",O103="07 - Relatório recebido — unidade apta",O103="11 - Orçamentos em análise técnica",O103="22 - Instalação/substituição autorizada")),MAX($AC$1:$AC$102)+1,"")</f>
        <v/>
      </c>
      <c r="AD103" s="69" t="str">
        <f aca="false">IF(AND(B103&lt;&gt;"",OR(ISNUMBER(SEARCH("CTO",P103)),LEFT(O103,2)="22",LEFT(O103,2)="23",LEFT(O103,2)="24",LEFT(O103,2)="25",LEFT(O103,2)="26",LEFT(O103,2)="27")),MAX($AD$1:$AD$102)+1,"")</f>
        <v/>
      </c>
      <c r="AE103" s="69" t="str">
        <f aca="false">IF(AND(B103&lt;&gt;"",D103=CONSULTA_UNIDADE!$B$4),MAX($AE$1:$AE$102)+1,"")</f>
        <v/>
      </c>
      <c r="AF103" s="69" t="str">
        <f aca="false">IF(AND(B103&lt;&gt;"",O103&lt;&gt;"27 - Instalação concluída",O103&lt;&gt;"28 - Encerrado",ISNUMBER(S103)),S103*1000+(1000-ROW()),"")</f>
        <v/>
      </c>
      <c r="AG103" s="69" t="str">
        <f aca="false">IF(AF103="","",RANK(AF103,$AF$2:$AF$500))</f>
        <v/>
      </c>
    </row>
    <row r="104" customFormat="false" ht="16.5" hidden="false" customHeight="true" outlineLevel="0" collapsed="false">
      <c r="A104" s="86"/>
      <c r="B104" s="86"/>
      <c r="C104" s="87" t="str">
        <f aca="false">IF(D104="","",IFERROR(INDEX(CADASTRO_VIVO_3CRE!$B$2:$B$150,MATCH(D104,CADASTRO_VIVO_3CRE!$E$2:$E$150,0)),""))</f>
        <v/>
      </c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8"/>
      <c r="S104" s="89" t="str">
        <f aca="true">IF(R104="","",TODAY()-INT(R104))</f>
        <v/>
      </c>
      <c r="T104" s="86"/>
      <c r="U104" s="86"/>
      <c r="V104" s="86"/>
      <c r="W104" s="88"/>
      <c r="X104" s="89" t="str">
        <f aca="true">IF(W104="","",IF(OR(O104="28 - Encerrado",O104="27 - Instalação concluída"),"Concluído",TODAY()-INT(W104)))</f>
        <v/>
      </c>
      <c r="Y104" s="90" t="str">
        <f aca="false">IF(OR(O104="28 - Encerrado",O104="27 - Instalação concluída"),"OK",IF(AND(B104&lt;&gt;"",S104=""),"ATENÇÃO (Sem data de atualização)",IF(S104="","",IF(S104&gt;30,"CRÍTICO (Sem Atualização &gt;30 dias)",IF(S104&gt;15,"ATENÇÃO (Sem Atualização &gt;15 dias)",IF(X104&gt;90,"CRÍTICO (Aberto &gt;90 dias)","OK"))))))</f>
        <v/>
      </c>
      <c r="Z104" s="90" t="str">
        <f aca="false">IF(B104="","",IF(OR(O104="27 - Instalação concluída",O104="28 - Encerrado"),"OK",IF(NOT(ISNUMBER(X104)),"",IF(X104&gt;365,"MUITO ANTIGO (&gt;1 ano)",IF(X104&gt;180,"ANTIGO (&gt;6 meses)",IF(X104&gt;90,"ATENÇÃO ANTIG. (&gt;3 meses)","OK"))))))</f>
        <v/>
      </c>
      <c r="AA104" s="86"/>
      <c r="AB104" s="69" t="str">
        <f aca="false">IF(AND(B104&lt;&gt;"",OR(T104="Pendente de Vistoria",T104="Não validada")),MAX($AB$1:$AB$103)+1,"")</f>
        <v/>
      </c>
      <c r="AC104" s="69" t="str">
        <f aca="false">IF(AND(B104&lt;&gt;"",OR(ISNUMBER(SEARCH("CTIN",P104)),U104="Alta",O104="07 - Relatório recebido — unidade apta",O104="11 - Orçamentos em análise técnica",O104="22 - Instalação/substituição autorizada")),MAX($AC$1:$AC$103)+1,"")</f>
        <v/>
      </c>
      <c r="AD104" s="69" t="str">
        <f aca="false">IF(AND(B104&lt;&gt;"",OR(ISNUMBER(SEARCH("CTO",P104)),LEFT(O104,2)="22",LEFT(O104,2)="23",LEFT(O104,2)="24",LEFT(O104,2)="25",LEFT(O104,2)="26",LEFT(O104,2)="27")),MAX($AD$1:$AD$103)+1,"")</f>
        <v/>
      </c>
      <c r="AE104" s="69" t="str">
        <f aca="false">IF(AND(B104&lt;&gt;"",D104=CONSULTA_UNIDADE!$B$4),MAX($AE$1:$AE$103)+1,"")</f>
        <v/>
      </c>
      <c r="AF104" s="69" t="str">
        <f aca="false">IF(AND(B104&lt;&gt;"",O104&lt;&gt;"27 - Instalação concluída",O104&lt;&gt;"28 - Encerrado",ISNUMBER(S104)),S104*1000+(1000-ROW()),"")</f>
        <v/>
      </c>
      <c r="AG104" s="69" t="str">
        <f aca="false">IF(AF104="","",RANK(AF104,$AF$2:$AF$500))</f>
        <v/>
      </c>
    </row>
    <row r="105" customFormat="false" ht="16.5" hidden="false" customHeight="true" outlineLevel="0" collapsed="false">
      <c r="A105" s="86"/>
      <c r="B105" s="86"/>
      <c r="C105" s="87" t="str">
        <f aca="false">IF(D105="","",IFERROR(INDEX(CADASTRO_VIVO_3CRE!$B$2:$B$150,MATCH(D105,CADASTRO_VIVO_3CRE!$E$2:$E$150,0)),""))</f>
        <v/>
      </c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8"/>
      <c r="S105" s="89" t="str">
        <f aca="true">IF(R105="","",TODAY()-INT(R105))</f>
        <v/>
      </c>
      <c r="T105" s="86"/>
      <c r="U105" s="86"/>
      <c r="V105" s="86"/>
      <c r="W105" s="88"/>
      <c r="X105" s="89" t="str">
        <f aca="true">IF(W105="","",IF(OR(O105="28 - Encerrado",O105="27 - Instalação concluída"),"Concluído",TODAY()-INT(W105)))</f>
        <v/>
      </c>
      <c r="Y105" s="90" t="str">
        <f aca="false">IF(OR(O105="28 - Encerrado",O105="27 - Instalação concluída"),"OK",IF(AND(B105&lt;&gt;"",S105=""),"ATENÇÃO (Sem data de atualização)",IF(S105="","",IF(S105&gt;30,"CRÍTICO (Sem Atualização &gt;30 dias)",IF(S105&gt;15,"ATENÇÃO (Sem Atualização &gt;15 dias)",IF(X105&gt;90,"CRÍTICO (Aberto &gt;90 dias)","OK"))))))</f>
        <v/>
      </c>
      <c r="Z105" s="90" t="str">
        <f aca="false">IF(B105="","",IF(OR(O105="27 - Instalação concluída",O105="28 - Encerrado"),"OK",IF(NOT(ISNUMBER(X105)),"",IF(X105&gt;365,"MUITO ANTIGO (&gt;1 ano)",IF(X105&gt;180,"ANTIGO (&gt;6 meses)",IF(X105&gt;90,"ATENÇÃO ANTIG. (&gt;3 meses)","OK"))))))</f>
        <v/>
      </c>
      <c r="AA105" s="86"/>
      <c r="AB105" s="69" t="str">
        <f aca="false">IF(AND(B105&lt;&gt;"",OR(T105="Pendente de Vistoria",T105="Não validada")),MAX($AB$1:$AB$104)+1,"")</f>
        <v/>
      </c>
      <c r="AC105" s="69" t="str">
        <f aca="false">IF(AND(B105&lt;&gt;"",OR(ISNUMBER(SEARCH("CTIN",P105)),U105="Alta",O105="07 - Relatório recebido — unidade apta",O105="11 - Orçamentos em análise técnica",O105="22 - Instalação/substituição autorizada")),MAX($AC$1:$AC$104)+1,"")</f>
        <v/>
      </c>
      <c r="AD105" s="69" t="str">
        <f aca="false">IF(AND(B105&lt;&gt;"",OR(ISNUMBER(SEARCH("CTO",P105)),LEFT(O105,2)="22",LEFT(O105,2)="23",LEFT(O105,2)="24",LEFT(O105,2)="25",LEFT(O105,2)="26",LEFT(O105,2)="27")),MAX($AD$1:$AD$104)+1,"")</f>
        <v/>
      </c>
      <c r="AE105" s="69" t="str">
        <f aca="false">IF(AND(B105&lt;&gt;"",D105=CONSULTA_UNIDADE!$B$4),MAX($AE$1:$AE$104)+1,"")</f>
        <v/>
      </c>
      <c r="AF105" s="69" t="str">
        <f aca="false">IF(AND(B105&lt;&gt;"",O105&lt;&gt;"27 - Instalação concluída",O105&lt;&gt;"28 - Encerrado",ISNUMBER(S105)),S105*1000+(1000-ROW()),"")</f>
        <v/>
      </c>
      <c r="AG105" s="69" t="str">
        <f aca="false">IF(AF105="","",RANK(AF105,$AF$2:$AF$500))</f>
        <v/>
      </c>
    </row>
    <row r="106" customFormat="false" ht="16.5" hidden="false" customHeight="true" outlineLevel="0" collapsed="false">
      <c r="A106" s="86"/>
      <c r="B106" s="86"/>
      <c r="C106" s="87" t="str">
        <f aca="false">IF(D106="","",IFERROR(INDEX(CADASTRO_VIVO_3CRE!$B$2:$B$150,MATCH(D106,CADASTRO_VIVO_3CRE!$E$2:$E$150,0)),""))</f>
        <v/>
      </c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8"/>
      <c r="S106" s="89" t="str">
        <f aca="true">IF(R106="","",TODAY()-INT(R106))</f>
        <v/>
      </c>
      <c r="T106" s="86"/>
      <c r="U106" s="86"/>
      <c r="V106" s="86"/>
      <c r="W106" s="88"/>
      <c r="X106" s="89" t="str">
        <f aca="true">IF(W106="","",IF(OR(O106="28 - Encerrado",O106="27 - Instalação concluída"),"Concluído",TODAY()-INT(W106)))</f>
        <v/>
      </c>
      <c r="Y106" s="90" t="str">
        <f aca="false">IF(OR(O106="28 - Encerrado",O106="27 - Instalação concluída"),"OK",IF(AND(B106&lt;&gt;"",S106=""),"ATENÇÃO (Sem data de atualização)",IF(S106="","",IF(S106&gt;30,"CRÍTICO (Sem Atualização &gt;30 dias)",IF(S106&gt;15,"ATENÇÃO (Sem Atualização &gt;15 dias)",IF(X106&gt;90,"CRÍTICO (Aberto &gt;90 dias)","OK"))))))</f>
        <v/>
      </c>
      <c r="Z106" s="90" t="str">
        <f aca="false">IF(B106="","",IF(OR(O106="27 - Instalação concluída",O106="28 - Encerrado"),"OK",IF(NOT(ISNUMBER(X106)),"",IF(X106&gt;365,"MUITO ANTIGO (&gt;1 ano)",IF(X106&gt;180,"ANTIGO (&gt;6 meses)",IF(X106&gt;90,"ATENÇÃO ANTIG. (&gt;3 meses)","OK"))))))</f>
        <v/>
      </c>
      <c r="AA106" s="86"/>
      <c r="AB106" s="69" t="str">
        <f aca="false">IF(AND(B106&lt;&gt;"",OR(T106="Pendente de Vistoria",T106="Não validada")),MAX($AB$1:$AB$105)+1,"")</f>
        <v/>
      </c>
      <c r="AC106" s="69" t="str">
        <f aca="false">IF(AND(B106&lt;&gt;"",OR(ISNUMBER(SEARCH("CTIN",P106)),U106="Alta",O106="07 - Relatório recebido — unidade apta",O106="11 - Orçamentos em análise técnica",O106="22 - Instalação/substituição autorizada")),MAX($AC$1:$AC$105)+1,"")</f>
        <v/>
      </c>
      <c r="AD106" s="69" t="str">
        <f aca="false">IF(AND(B106&lt;&gt;"",OR(ISNUMBER(SEARCH("CTO",P106)),LEFT(O106,2)="22",LEFT(O106,2)="23",LEFT(O106,2)="24",LEFT(O106,2)="25",LEFT(O106,2)="26",LEFT(O106,2)="27")),MAX($AD$1:$AD$105)+1,"")</f>
        <v/>
      </c>
      <c r="AE106" s="69" t="str">
        <f aca="false">IF(AND(B106&lt;&gt;"",D106=CONSULTA_UNIDADE!$B$4),MAX($AE$1:$AE$105)+1,"")</f>
        <v/>
      </c>
      <c r="AF106" s="69" t="str">
        <f aca="false">IF(AND(B106&lt;&gt;"",O106&lt;&gt;"27 - Instalação concluída",O106&lt;&gt;"28 - Encerrado",ISNUMBER(S106)),S106*1000+(1000-ROW()),"")</f>
        <v/>
      </c>
      <c r="AG106" s="69" t="str">
        <f aca="false">IF(AF106="","",RANK(AF106,$AF$2:$AF$500))</f>
        <v/>
      </c>
    </row>
    <row r="107" customFormat="false" ht="16.5" hidden="false" customHeight="true" outlineLevel="0" collapsed="false">
      <c r="A107" s="86"/>
      <c r="B107" s="86"/>
      <c r="C107" s="87" t="str">
        <f aca="false">IF(D107="","",IFERROR(INDEX(CADASTRO_VIVO_3CRE!$B$2:$B$150,MATCH(D107,CADASTRO_VIVO_3CRE!$E$2:$E$150,0)),""))</f>
        <v/>
      </c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8"/>
      <c r="S107" s="89" t="str">
        <f aca="true">IF(R107="","",TODAY()-INT(R107))</f>
        <v/>
      </c>
      <c r="T107" s="86"/>
      <c r="U107" s="86"/>
      <c r="V107" s="86"/>
      <c r="W107" s="88"/>
      <c r="X107" s="89" t="str">
        <f aca="true">IF(W107="","",IF(OR(O107="28 - Encerrado",O107="27 - Instalação concluída"),"Concluído",TODAY()-INT(W107)))</f>
        <v/>
      </c>
      <c r="Y107" s="90" t="str">
        <f aca="false">IF(OR(O107="28 - Encerrado",O107="27 - Instalação concluída"),"OK",IF(AND(B107&lt;&gt;"",S107=""),"ATENÇÃO (Sem data de atualização)",IF(S107="","",IF(S107&gt;30,"CRÍTICO (Sem Atualização &gt;30 dias)",IF(S107&gt;15,"ATENÇÃO (Sem Atualização &gt;15 dias)",IF(X107&gt;90,"CRÍTICO (Aberto &gt;90 dias)","OK"))))))</f>
        <v/>
      </c>
      <c r="Z107" s="90" t="str">
        <f aca="false">IF(B107="","",IF(OR(O107="27 - Instalação concluída",O107="28 - Encerrado"),"OK",IF(NOT(ISNUMBER(X107)),"",IF(X107&gt;365,"MUITO ANTIGO (&gt;1 ano)",IF(X107&gt;180,"ANTIGO (&gt;6 meses)",IF(X107&gt;90,"ATENÇÃO ANTIG. (&gt;3 meses)","OK"))))))</f>
        <v/>
      </c>
      <c r="AA107" s="86"/>
      <c r="AB107" s="69" t="str">
        <f aca="false">IF(AND(B107&lt;&gt;"",OR(T107="Pendente de Vistoria",T107="Não validada")),MAX($AB$1:$AB$106)+1,"")</f>
        <v/>
      </c>
      <c r="AC107" s="69" t="str">
        <f aca="false">IF(AND(B107&lt;&gt;"",OR(ISNUMBER(SEARCH("CTIN",P107)),U107="Alta",O107="07 - Relatório recebido — unidade apta",O107="11 - Orçamentos em análise técnica",O107="22 - Instalação/substituição autorizada")),MAX($AC$1:$AC$106)+1,"")</f>
        <v/>
      </c>
      <c r="AD107" s="69" t="str">
        <f aca="false">IF(AND(B107&lt;&gt;"",OR(ISNUMBER(SEARCH("CTO",P107)),LEFT(O107,2)="22",LEFT(O107,2)="23",LEFT(O107,2)="24",LEFT(O107,2)="25",LEFT(O107,2)="26",LEFT(O107,2)="27")),MAX($AD$1:$AD$106)+1,"")</f>
        <v/>
      </c>
      <c r="AE107" s="69" t="str">
        <f aca="false">IF(AND(B107&lt;&gt;"",D107=CONSULTA_UNIDADE!$B$4),MAX($AE$1:$AE$106)+1,"")</f>
        <v/>
      </c>
      <c r="AF107" s="69" t="str">
        <f aca="false">IF(AND(B107&lt;&gt;"",O107&lt;&gt;"27 - Instalação concluída",O107&lt;&gt;"28 - Encerrado",ISNUMBER(S107)),S107*1000+(1000-ROW()),"")</f>
        <v/>
      </c>
      <c r="AG107" s="69" t="str">
        <f aca="false">IF(AF107="","",RANK(AF107,$AF$2:$AF$500))</f>
        <v/>
      </c>
    </row>
    <row r="108" customFormat="false" ht="16.5" hidden="false" customHeight="true" outlineLevel="0" collapsed="false">
      <c r="A108" s="86"/>
      <c r="B108" s="86"/>
      <c r="C108" s="87" t="str">
        <f aca="false">IF(D108="","",IFERROR(INDEX(CADASTRO_VIVO_3CRE!$B$2:$B$150,MATCH(D108,CADASTRO_VIVO_3CRE!$E$2:$E$150,0)),""))</f>
        <v/>
      </c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8"/>
      <c r="S108" s="89" t="str">
        <f aca="true">IF(R108="","",TODAY()-INT(R108))</f>
        <v/>
      </c>
      <c r="T108" s="86"/>
      <c r="U108" s="86"/>
      <c r="V108" s="86"/>
      <c r="W108" s="88"/>
      <c r="X108" s="89" t="str">
        <f aca="true">IF(W108="","",IF(OR(O108="28 - Encerrado",O108="27 - Instalação concluída"),"Concluído",TODAY()-INT(W108)))</f>
        <v/>
      </c>
      <c r="Y108" s="90" t="str">
        <f aca="false">IF(OR(O108="28 - Encerrado",O108="27 - Instalação concluída"),"OK",IF(AND(B108&lt;&gt;"",S108=""),"ATENÇÃO (Sem data de atualização)",IF(S108="","",IF(S108&gt;30,"CRÍTICO (Sem Atualização &gt;30 dias)",IF(S108&gt;15,"ATENÇÃO (Sem Atualização &gt;15 dias)",IF(X108&gt;90,"CRÍTICO (Aberto &gt;90 dias)","OK"))))))</f>
        <v/>
      </c>
      <c r="Z108" s="90" t="str">
        <f aca="false">IF(B108="","",IF(OR(O108="27 - Instalação concluída",O108="28 - Encerrado"),"OK",IF(NOT(ISNUMBER(X108)),"",IF(X108&gt;365,"MUITO ANTIGO (&gt;1 ano)",IF(X108&gt;180,"ANTIGO (&gt;6 meses)",IF(X108&gt;90,"ATENÇÃO ANTIG. (&gt;3 meses)","OK"))))))</f>
        <v/>
      </c>
      <c r="AA108" s="86"/>
      <c r="AB108" s="69" t="str">
        <f aca="false">IF(AND(B108&lt;&gt;"",OR(T108="Pendente de Vistoria",T108="Não validada")),MAX($AB$1:$AB$107)+1,"")</f>
        <v/>
      </c>
      <c r="AC108" s="69" t="str">
        <f aca="false">IF(AND(B108&lt;&gt;"",OR(ISNUMBER(SEARCH("CTIN",P108)),U108="Alta",O108="07 - Relatório recebido — unidade apta",O108="11 - Orçamentos em análise técnica",O108="22 - Instalação/substituição autorizada")),MAX($AC$1:$AC$107)+1,"")</f>
        <v/>
      </c>
      <c r="AD108" s="69" t="str">
        <f aca="false">IF(AND(B108&lt;&gt;"",OR(ISNUMBER(SEARCH("CTO",P108)),LEFT(O108,2)="22",LEFT(O108,2)="23",LEFT(O108,2)="24",LEFT(O108,2)="25",LEFT(O108,2)="26",LEFT(O108,2)="27")),MAX($AD$1:$AD$107)+1,"")</f>
        <v/>
      </c>
      <c r="AE108" s="69" t="str">
        <f aca="false">IF(AND(B108&lt;&gt;"",D108=CONSULTA_UNIDADE!$B$4),MAX($AE$1:$AE$107)+1,"")</f>
        <v/>
      </c>
      <c r="AF108" s="69" t="str">
        <f aca="false">IF(AND(B108&lt;&gt;"",O108&lt;&gt;"27 - Instalação concluída",O108&lt;&gt;"28 - Encerrado",ISNUMBER(S108)),S108*1000+(1000-ROW()),"")</f>
        <v/>
      </c>
      <c r="AG108" s="69" t="str">
        <f aca="false">IF(AF108="","",RANK(AF108,$AF$2:$AF$500))</f>
        <v/>
      </c>
    </row>
    <row r="109" customFormat="false" ht="16.5" hidden="false" customHeight="true" outlineLevel="0" collapsed="false">
      <c r="A109" s="86"/>
      <c r="B109" s="86"/>
      <c r="C109" s="87" t="str">
        <f aca="false">IF(D109="","",IFERROR(INDEX(CADASTRO_VIVO_3CRE!$B$2:$B$150,MATCH(D109,CADASTRO_VIVO_3CRE!$E$2:$E$150,0)),""))</f>
        <v/>
      </c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8"/>
      <c r="S109" s="89" t="str">
        <f aca="true">IF(R109="","",TODAY()-INT(R109))</f>
        <v/>
      </c>
      <c r="T109" s="86"/>
      <c r="U109" s="86"/>
      <c r="V109" s="86"/>
      <c r="W109" s="88"/>
      <c r="X109" s="89" t="str">
        <f aca="true">IF(W109="","",IF(OR(O109="28 - Encerrado",O109="27 - Instalação concluída"),"Concluído",TODAY()-INT(W109)))</f>
        <v/>
      </c>
      <c r="Y109" s="90" t="str">
        <f aca="false">IF(OR(O109="28 - Encerrado",O109="27 - Instalação concluída"),"OK",IF(AND(B109&lt;&gt;"",S109=""),"ATENÇÃO (Sem data de atualização)",IF(S109="","",IF(S109&gt;30,"CRÍTICO (Sem Atualização &gt;30 dias)",IF(S109&gt;15,"ATENÇÃO (Sem Atualização &gt;15 dias)",IF(X109&gt;90,"CRÍTICO (Aberto &gt;90 dias)","OK"))))))</f>
        <v/>
      </c>
      <c r="Z109" s="90" t="str">
        <f aca="false">IF(B109="","",IF(OR(O109="27 - Instalação concluída",O109="28 - Encerrado"),"OK",IF(NOT(ISNUMBER(X109)),"",IF(X109&gt;365,"MUITO ANTIGO (&gt;1 ano)",IF(X109&gt;180,"ANTIGO (&gt;6 meses)",IF(X109&gt;90,"ATENÇÃO ANTIG. (&gt;3 meses)","OK"))))))</f>
        <v/>
      </c>
      <c r="AA109" s="86"/>
      <c r="AB109" s="69" t="str">
        <f aca="false">IF(AND(B109&lt;&gt;"",OR(T109="Pendente de Vistoria",T109="Não validada")),MAX($AB$1:$AB$108)+1,"")</f>
        <v/>
      </c>
      <c r="AC109" s="69" t="str">
        <f aca="false">IF(AND(B109&lt;&gt;"",OR(ISNUMBER(SEARCH("CTIN",P109)),U109="Alta",O109="07 - Relatório recebido — unidade apta",O109="11 - Orçamentos em análise técnica",O109="22 - Instalação/substituição autorizada")),MAX($AC$1:$AC$108)+1,"")</f>
        <v/>
      </c>
      <c r="AD109" s="69" t="str">
        <f aca="false">IF(AND(B109&lt;&gt;"",OR(ISNUMBER(SEARCH("CTO",P109)),LEFT(O109,2)="22",LEFT(O109,2)="23",LEFT(O109,2)="24",LEFT(O109,2)="25",LEFT(O109,2)="26",LEFT(O109,2)="27")),MAX($AD$1:$AD$108)+1,"")</f>
        <v/>
      </c>
      <c r="AE109" s="69" t="str">
        <f aca="false">IF(AND(B109&lt;&gt;"",D109=CONSULTA_UNIDADE!$B$4),MAX($AE$1:$AE$108)+1,"")</f>
        <v/>
      </c>
      <c r="AF109" s="69" t="str">
        <f aca="false">IF(AND(B109&lt;&gt;"",O109&lt;&gt;"27 - Instalação concluída",O109&lt;&gt;"28 - Encerrado",ISNUMBER(S109)),S109*1000+(1000-ROW()),"")</f>
        <v/>
      </c>
      <c r="AG109" s="69" t="str">
        <f aca="false">IF(AF109="","",RANK(AF109,$AF$2:$AF$500))</f>
        <v/>
      </c>
    </row>
    <row r="110" customFormat="false" ht="16.5" hidden="false" customHeight="true" outlineLevel="0" collapsed="false">
      <c r="A110" s="86"/>
      <c r="B110" s="86"/>
      <c r="C110" s="87" t="str">
        <f aca="false">IF(D110="","",IFERROR(INDEX(CADASTRO_VIVO_3CRE!$B$2:$B$150,MATCH(D110,CADASTRO_VIVO_3CRE!$E$2:$E$150,0)),""))</f>
        <v/>
      </c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8"/>
      <c r="S110" s="89" t="str">
        <f aca="true">IF(R110="","",TODAY()-INT(R110))</f>
        <v/>
      </c>
      <c r="T110" s="86"/>
      <c r="U110" s="86"/>
      <c r="V110" s="86"/>
      <c r="W110" s="88"/>
      <c r="X110" s="89" t="str">
        <f aca="true">IF(W110="","",IF(OR(O110="28 - Encerrado",O110="27 - Instalação concluída"),"Concluído",TODAY()-INT(W110)))</f>
        <v/>
      </c>
      <c r="Y110" s="90" t="str">
        <f aca="false">IF(OR(O110="28 - Encerrado",O110="27 - Instalação concluída"),"OK",IF(AND(B110&lt;&gt;"",S110=""),"ATENÇÃO (Sem data de atualização)",IF(S110="","",IF(S110&gt;30,"CRÍTICO (Sem Atualização &gt;30 dias)",IF(S110&gt;15,"ATENÇÃO (Sem Atualização &gt;15 dias)",IF(X110&gt;90,"CRÍTICO (Aberto &gt;90 dias)","OK"))))))</f>
        <v/>
      </c>
      <c r="Z110" s="90" t="str">
        <f aca="false">IF(B110="","",IF(OR(O110="27 - Instalação concluída",O110="28 - Encerrado"),"OK",IF(NOT(ISNUMBER(X110)),"",IF(X110&gt;365,"MUITO ANTIGO (&gt;1 ano)",IF(X110&gt;180,"ANTIGO (&gt;6 meses)",IF(X110&gt;90,"ATENÇÃO ANTIG. (&gt;3 meses)","OK"))))))</f>
        <v/>
      </c>
      <c r="AA110" s="86"/>
      <c r="AB110" s="69" t="str">
        <f aca="false">IF(AND(B110&lt;&gt;"",OR(T110="Pendente de Vistoria",T110="Não validada")),MAX($AB$1:$AB$109)+1,"")</f>
        <v/>
      </c>
      <c r="AC110" s="69" t="str">
        <f aca="false">IF(AND(B110&lt;&gt;"",OR(ISNUMBER(SEARCH("CTIN",P110)),U110="Alta",O110="07 - Relatório recebido — unidade apta",O110="11 - Orçamentos em análise técnica",O110="22 - Instalação/substituição autorizada")),MAX($AC$1:$AC$109)+1,"")</f>
        <v/>
      </c>
      <c r="AD110" s="69" t="str">
        <f aca="false">IF(AND(B110&lt;&gt;"",OR(ISNUMBER(SEARCH("CTO",P110)),LEFT(O110,2)="22",LEFT(O110,2)="23",LEFT(O110,2)="24",LEFT(O110,2)="25",LEFT(O110,2)="26",LEFT(O110,2)="27")),MAX($AD$1:$AD$109)+1,"")</f>
        <v/>
      </c>
      <c r="AE110" s="69" t="str">
        <f aca="false">IF(AND(B110&lt;&gt;"",D110=CONSULTA_UNIDADE!$B$4),MAX($AE$1:$AE$109)+1,"")</f>
        <v/>
      </c>
      <c r="AF110" s="69" t="str">
        <f aca="false">IF(AND(B110&lt;&gt;"",O110&lt;&gt;"27 - Instalação concluída",O110&lt;&gt;"28 - Encerrado",ISNUMBER(S110)),S110*1000+(1000-ROW()),"")</f>
        <v/>
      </c>
      <c r="AG110" s="69" t="str">
        <f aca="false">IF(AF110="","",RANK(AF110,$AF$2:$AF$500))</f>
        <v/>
      </c>
    </row>
    <row r="111" customFormat="false" ht="16.5" hidden="false" customHeight="true" outlineLevel="0" collapsed="false">
      <c r="A111" s="86"/>
      <c r="B111" s="86"/>
      <c r="C111" s="87" t="str">
        <f aca="false">IF(D111="","",IFERROR(INDEX(CADASTRO_VIVO_3CRE!$B$2:$B$150,MATCH(D111,CADASTRO_VIVO_3CRE!$E$2:$E$150,0)),""))</f>
        <v/>
      </c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8"/>
      <c r="S111" s="89" t="str">
        <f aca="true">IF(R111="","",TODAY()-INT(R111))</f>
        <v/>
      </c>
      <c r="T111" s="86"/>
      <c r="U111" s="86"/>
      <c r="V111" s="86"/>
      <c r="W111" s="88"/>
      <c r="X111" s="89" t="str">
        <f aca="true">IF(W111="","",IF(OR(O111="28 - Encerrado",O111="27 - Instalação concluída"),"Concluído",TODAY()-INT(W111)))</f>
        <v/>
      </c>
      <c r="Y111" s="90" t="str">
        <f aca="false">IF(OR(O111="28 - Encerrado",O111="27 - Instalação concluída"),"OK",IF(AND(B111&lt;&gt;"",S111=""),"ATENÇÃO (Sem data de atualização)",IF(S111="","",IF(S111&gt;30,"CRÍTICO (Sem Atualização &gt;30 dias)",IF(S111&gt;15,"ATENÇÃO (Sem Atualização &gt;15 dias)",IF(X111&gt;90,"CRÍTICO (Aberto &gt;90 dias)","OK"))))))</f>
        <v/>
      </c>
      <c r="Z111" s="90" t="str">
        <f aca="false">IF(B111="","",IF(OR(O111="27 - Instalação concluída",O111="28 - Encerrado"),"OK",IF(NOT(ISNUMBER(X111)),"",IF(X111&gt;365,"MUITO ANTIGO (&gt;1 ano)",IF(X111&gt;180,"ANTIGO (&gt;6 meses)",IF(X111&gt;90,"ATENÇÃO ANTIG. (&gt;3 meses)","OK"))))))</f>
        <v/>
      </c>
      <c r="AA111" s="86"/>
      <c r="AB111" s="69" t="str">
        <f aca="false">IF(AND(B111&lt;&gt;"",OR(T111="Pendente de Vistoria",T111="Não validada")),MAX($AB$1:$AB$110)+1,"")</f>
        <v/>
      </c>
      <c r="AC111" s="69" t="str">
        <f aca="false">IF(AND(B111&lt;&gt;"",OR(ISNUMBER(SEARCH("CTIN",P111)),U111="Alta",O111="07 - Relatório recebido — unidade apta",O111="11 - Orçamentos em análise técnica",O111="22 - Instalação/substituição autorizada")),MAX($AC$1:$AC$110)+1,"")</f>
        <v/>
      </c>
      <c r="AD111" s="69" t="str">
        <f aca="false">IF(AND(B111&lt;&gt;"",OR(ISNUMBER(SEARCH("CTO",P111)),LEFT(O111,2)="22",LEFT(O111,2)="23",LEFT(O111,2)="24",LEFT(O111,2)="25",LEFT(O111,2)="26",LEFT(O111,2)="27")),MAX($AD$1:$AD$110)+1,"")</f>
        <v/>
      </c>
      <c r="AE111" s="69" t="str">
        <f aca="false">IF(AND(B111&lt;&gt;"",D111=CONSULTA_UNIDADE!$B$4),MAX($AE$1:$AE$110)+1,"")</f>
        <v/>
      </c>
      <c r="AF111" s="69" t="str">
        <f aca="false">IF(AND(B111&lt;&gt;"",O111&lt;&gt;"27 - Instalação concluída",O111&lt;&gt;"28 - Encerrado",ISNUMBER(S111)),S111*1000+(1000-ROW()),"")</f>
        <v/>
      </c>
      <c r="AG111" s="69" t="str">
        <f aca="false">IF(AF111="","",RANK(AF111,$AF$2:$AF$500))</f>
        <v/>
      </c>
    </row>
    <row r="112" customFormat="false" ht="16.5" hidden="false" customHeight="true" outlineLevel="0" collapsed="false">
      <c r="A112" s="86"/>
      <c r="B112" s="86"/>
      <c r="C112" s="87" t="str">
        <f aca="false">IF(D112="","",IFERROR(INDEX(CADASTRO_VIVO_3CRE!$B$2:$B$150,MATCH(D112,CADASTRO_VIVO_3CRE!$E$2:$E$150,0)),""))</f>
        <v/>
      </c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8"/>
      <c r="S112" s="89" t="str">
        <f aca="true">IF(R112="","",TODAY()-INT(R112))</f>
        <v/>
      </c>
      <c r="T112" s="86"/>
      <c r="U112" s="86"/>
      <c r="V112" s="86"/>
      <c r="W112" s="88"/>
      <c r="X112" s="89" t="str">
        <f aca="true">IF(W112="","",IF(OR(O112="28 - Encerrado",O112="27 - Instalação concluída"),"Concluído",TODAY()-INT(W112)))</f>
        <v/>
      </c>
      <c r="Y112" s="90" t="str">
        <f aca="false">IF(OR(O112="28 - Encerrado",O112="27 - Instalação concluída"),"OK",IF(AND(B112&lt;&gt;"",S112=""),"ATENÇÃO (Sem data de atualização)",IF(S112="","",IF(S112&gt;30,"CRÍTICO (Sem Atualização &gt;30 dias)",IF(S112&gt;15,"ATENÇÃO (Sem Atualização &gt;15 dias)",IF(X112&gt;90,"CRÍTICO (Aberto &gt;90 dias)","OK"))))))</f>
        <v/>
      </c>
      <c r="Z112" s="90" t="str">
        <f aca="false">IF(B112="","",IF(OR(O112="27 - Instalação concluída",O112="28 - Encerrado"),"OK",IF(NOT(ISNUMBER(X112)),"",IF(X112&gt;365,"MUITO ANTIGO (&gt;1 ano)",IF(X112&gt;180,"ANTIGO (&gt;6 meses)",IF(X112&gt;90,"ATENÇÃO ANTIG. (&gt;3 meses)","OK"))))))</f>
        <v/>
      </c>
      <c r="AA112" s="86"/>
      <c r="AB112" s="69" t="str">
        <f aca="false">IF(AND(B112&lt;&gt;"",OR(T112="Pendente de Vistoria",T112="Não validada")),MAX($AB$1:$AB$111)+1,"")</f>
        <v/>
      </c>
      <c r="AC112" s="69" t="str">
        <f aca="false">IF(AND(B112&lt;&gt;"",OR(ISNUMBER(SEARCH("CTIN",P112)),U112="Alta",O112="07 - Relatório recebido — unidade apta",O112="11 - Orçamentos em análise técnica",O112="22 - Instalação/substituição autorizada")),MAX($AC$1:$AC$111)+1,"")</f>
        <v/>
      </c>
      <c r="AD112" s="69" t="str">
        <f aca="false">IF(AND(B112&lt;&gt;"",OR(ISNUMBER(SEARCH("CTO",P112)),LEFT(O112,2)="22",LEFT(O112,2)="23",LEFT(O112,2)="24",LEFT(O112,2)="25",LEFT(O112,2)="26",LEFT(O112,2)="27")),MAX($AD$1:$AD$111)+1,"")</f>
        <v/>
      </c>
      <c r="AE112" s="69" t="str">
        <f aca="false">IF(AND(B112&lt;&gt;"",D112=CONSULTA_UNIDADE!$B$4),MAX($AE$1:$AE$111)+1,"")</f>
        <v/>
      </c>
      <c r="AF112" s="69" t="str">
        <f aca="false">IF(AND(B112&lt;&gt;"",O112&lt;&gt;"27 - Instalação concluída",O112&lt;&gt;"28 - Encerrado",ISNUMBER(S112)),S112*1000+(1000-ROW()),"")</f>
        <v/>
      </c>
      <c r="AG112" s="69" t="str">
        <f aca="false">IF(AF112="","",RANK(AF112,$AF$2:$AF$500))</f>
        <v/>
      </c>
    </row>
    <row r="113" customFormat="false" ht="16.5" hidden="false" customHeight="true" outlineLevel="0" collapsed="false">
      <c r="A113" s="86"/>
      <c r="B113" s="86"/>
      <c r="C113" s="87" t="str">
        <f aca="false">IF(D113="","",IFERROR(INDEX(CADASTRO_VIVO_3CRE!$B$2:$B$150,MATCH(D113,CADASTRO_VIVO_3CRE!$E$2:$E$150,0)),""))</f>
        <v/>
      </c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8"/>
      <c r="S113" s="89" t="str">
        <f aca="true">IF(R113="","",TODAY()-INT(R113))</f>
        <v/>
      </c>
      <c r="T113" s="86"/>
      <c r="U113" s="86"/>
      <c r="V113" s="86"/>
      <c r="W113" s="88"/>
      <c r="X113" s="89" t="str">
        <f aca="true">IF(W113="","",IF(OR(O113="28 - Encerrado",O113="27 - Instalação concluída"),"Concluído",TODAY()-INT(W113)))</f>
        <v/>
      </c>
      <c r="Y113" s="90" t="str">
        <f aca="false">IF(OR(O113="28 - Encerrado",O113="27 - Instalação concluída"),"OK",IF(AND(B113&lt;&gt;"",S113=""),"ATENÇÃO (Sem data de atualização)",IF(S113="","",IF(S113&gt;30,"CRÍTICO (Sem Atualização &gt;30 dias)",IF(S113&gt;15,"ATENÇÃO (Sem Atualização &gt;15 dias)",IF(X113&gt;90,"CRÍTICO (Aberto &gt;90 dias)","OK"))))))</f>
        <v/>
      </c>
      <c r="Z113" s="90" t="str">
        <f aca="false">IF(B113="","",IF(OR(O113="27 - Instalação concluída",O113="28 - Encerrado"),"OK",IF(NOT(ISNUMBER(X113)),"",IF(X113&gt;365,"MUITO ANTIGO (&gt;1 ano)",IF(X113&gt;180,"ANTIGO (&gt;6 meses)",IF(X113&gt;90,"ATENÇÃO ANTIG. (&gt;3 meses)","OK"))))))</f>
        <v/>
      </c>
      <c r="AA113" s="86"/>
      <c r="AB113" s="69" t="str">
        <f aca="false">IF(AND(B113&lt;&gt;"",OR(T113="Pendente de Vistoria",T113="Não validada")),MAX($AB$1:$AB$112)+1,"")</f>
        <v/>
      </c>
      <c r="AC113" s="69" t="str">
        <f aca="false">IF(AND(B113&lt;&gt;"",OR(ISNUMBER(SEARCH("CTIN",P113)),U113="Alta",O113="07 - Relatório recebido — unidade apta",O113="11 - Orçamentos em análise técnica",O113="22 - Instalação/substituição autorizada")),MAX($AC$1:$AC$112)+1,"")</f>
        <v/>
      </c>
      <c r="AD113" s="69" t="str">
        <f aca="false">IF(AND(B113&lt;&gt;"",OR(ISNUMBER(SEARCH("CTO",P113)),LEFT(O113,2)="22",LEFT(O113,2)="23",LEFT(O113,2)="24",LEFT(O113,2)="25",LEFT(O113,2)="26",LEFT(O113,2)="27")),MAX($AD$1:$AD$112)+1,"")</f>
        <v/>
      </c>
      <c r="AE113" s="69" t="str">
        <f aca="false">IF(AND(B113&lt;&gt;"",D113=CONSULTA_UNIDADE!$B$4),MAX($AE$1:$AE$112)+1,"")</f>
        <v/>
      </c>
      <c r="AF113" s="69" t="str">
        <f aca="false">IF(AND(B113&lt;&gt;"",O113&lt;&gt;"27 - Instalação concluída",O113&lt;&gt;"28 - Encerrado",ISNUMBER(S113)),S113*1000+(1000-ROW()),"")</f>
        <v/>
      </c>
      <c r="AG113" s="69" t="str">
        <f aca="false">IF(AF113="","",RANK(AF113,$AF$2:$AF$500))</f>
        <v/>
      </c>
    </row>
    <row r="114" customFormat="false" ht="16.5" hidden="false" customHeight="true" outlineLevel="0" collapsed="false">
      <c r="A114" s="86"/>
      <c r="B114" s="86"/>
      <c r="C114" s="87" t="str">
        <f aca="false">IF(D114="","",IFERROR(INDEX(CADASTRO_VIVO_3CRE!$B$2:$B$150,MATCH(D114,CADASTRO_VIVO_3CRE!$E$2:$E$150,0)),""))</f>
        <v/>
      </c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8"/>
      <c r="S114" s="89" t="str">
        <f aca="true">IF(R114="","",TODAY()-INT(R114))</f>
        <v/>
      </c>
      <c r="T114" s="86"/>
      <c r="U114" s="86"/>
      <c r="V114" s="86"/>
      <c r="W114" s="88"/>
      <c r="X114" s="89" t="str">
        <f aca="true">IF(W114="","",IF(OR(O114="28 - Encerrado",O114="27 - Instalação concluída"),"Concluído",TODAY()-INT(W114)))</f>
        <v/>
      </c>
      <c r="Y114" s="90" t="str">
        <f aca="false">IF(OR(O114="28 - Encerrado",O114="27 - Instalação concluída"),"OK",IF(AND(B114&lt;&gt;"",S114=""),"ATENÇÃO (Sem data de atualização)",IF(S114="","",IF(S114&gt;30,"CRÍTICO (Sem Atualização &gt;30 dias)",IF(S114&gt;15,"ATENÇÃO (Sem Atualização &gt;15 dias)",IF(X114&gt;90,"CRÍTICO (Aberto &gt;90 dias)","OK"))))))</f>
        <v/>
      </c>
      <c r="Z114" s="90" t="str">
        <f aca="false">IF(B114="","",IF(OR(O114="27 - Instalação concluída",O114="28 - Encerrado"),"OK",IF(NOT(ISNUMBER(X114)),"",IF(X114&gt;365,"MUITO ANTIGO (&gt;1 ano)",IF(X114&gt;180,"ANTIGO (&gt;6 meses)",IF(X114&gt;90,"ATENÇÃO ANTIG. (&gt;3 meses)","OK"))))))</f>
        <v/>
      </c>
      <c r="AA114" s="86"/>
      <c r="AB114" s="69" t="str">
        <f aca="false">IF(AND(B114&lt;&gt;"",OR(T114="Pendente de Vistoria",T114="Não validada")),MAX($AB$1:$AB$113)+1,"")</f>
        <v/>
      </c>
      <c r="AC114" s="69" t="str">
        <f aca="false">IF(AND(B114&lt;&gt;"",OR(ISNUMBER(SEARCH("CTIN",P114)),U114="Alta",O114="07 - Relatório recebido — unidade apta",O114="11 - Orçamentos em análise técnica",O114="22 - Instalação/substituição autorizada")),MAX($AC$1:$AC$113)+1,"")</f>
        <v/>
      </c>
      <c r="AD114" s="69" t="str">
        <f aca="false">IF(AND(B114&lt;&gt;"",OR(ISNUMBER(SEARCH("CTO",P114)),LEFT(O114,2)="22",LEFT(O114,2)="23",LEFT(O114,2)="24",LEFT(O114,2)="25",LEFT(O114,2)="26",LEFT(O114,2)="27")),MAX($AD$1:$AD$113)+1,"")</f>
        <v/>
      </c>
      <c r="AE114" s="69" t="str">
        <f aca="false">IF(AND(B114&lt;&gt;"",D114=CONSULTA_UNIDADE!$B$4),MAX($AE$1:$AE$113)+1,"")</f>
        <v/>
      </c>
      <c r="AF114" s="69" t="str">
        <f aca="false">IF(AND(B114&lt;&gt;"",O114&lt;&gt;"27 - Instalação concluída",O114&lt;&gt;"28 - Encerrado",ISNUMBER(S114)),S114*1000+(1000-ROW()),"")</f>
        <v/>
      </c>
      <c r="AG114" s="69" t="str">
        <f aca="false">IF(AF114="","",RANK(AF114,$AF$2:$AF$500))</f>
        <v/>
      </c>
    </row>
    <row r="115" customFormat="false" ht="16.5" hidden="false" customHeight="true" outlineLevel="0" collapsed="false">
      <c r="A115" s="86"/>
      <c r="B115" s="86"/>
      <c r="C115" s="87" t="str">
        <f aca="false">IF(D115="","",IFERROR(INDEX(CADASTRO_VIVO_3CRE!$B$2:$B$150,MATCH(D115,CADASTRO_VIVO_3CRE!$E$2:$E$150,0)),""))</f>
        <v/>
      </c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8"/>
      <c r="S115" s="89" t="str">
        <f aca="true">IF(R115="","",TODAY()-INT(R115))</f>
        <v/>
      </c>
      <c r="T115" s="86"/>
      <c r="U115" s="86"/>
      <c r="V115" s="86"/>
      <c r="W115" s="88"/>
      <c r="X115" s="89" t="str">
        <f aca="true">IF(W115="","",IF(OR(O115="28 - Encerrado",O115="27 - Instalação concluída"),"Concluído",TODAY()-INT(W115)))</f>
        <v/>
      </c>
      <c r="Y115" s="90" t="str">
        <f aca="false">IF(OR(O115="28 - Encerrado",O115="27 - Instalação concluída"),"OK",IF(AND(B115&lt;&gt;"",S115=""),"ATENÇÃO (Sem data de atualização)",IF(S115="","",IF(S115&gt;30,"CRÍTICO (Sem Atualização &gt;30 dias)",IF(S115&gt;15,"ATENÇÃO (Sem Atualização &gt;15 dias)",IF(X115&gt;90,"CRÍTICO (Aberto &gt;90 dias)","OK"))))))</f>
        <v/>
      </c>
      <c r="Z115" s="90" t="str">
        <f aca="false">IF(B115="","",IF(OR(O115="27 - Instalação concluída",O115="28 - Encerrado"),"OK",IF(NOT(ISNUMBER(X115)),"",IF(X115&gt;365,"MUITO ANTIGO (&gt;1 ano)",IF(X115&gt;180,"ANTIGO (&gt;6 meses)",IF(X115&gt;90,"ATENÇÃO ANTIG. (&gt;3 meses)","OK"))))))</f>
        <v/>
      </c>
      <c r="AA115" s="86"/>
      <c r="AB115" s="69" t="str">
        <f aca="false">IF(AND(B115&lt;&gt;"",OR(T115="Pendente de Vistoria",T115="Não validada")),MAX($AB$1:$AB$114)+1,"")</f>
        <v/>
      </c>
      <c r="AC115" s="69" t="str">
        <f aca="false">IF(AND(B115&lt;&gt;"",OR(ISNUMBER(SEARCH("CTIN",P115)),U115="Alta",O115="07 - Relatório recebido — unidade apta",O115="11 - Orçamentos em análise técnica",O115="22 - Instalação/substituição autorizada")),MAX($AC$1:$AC$114)+1,"")</f>
        <v/>
      </c>
      <c r="AD115" s="69" t="str">
        <f aca="false">IF(AND(B115&lt;&gt;"",OR(ISNUMBER(SEARCH("CTO",P115)),LEFT(O115,2)="22",LEFT(O115,2)="23",LEFT(O115,2)="24",LEFT(O115,2)="25",LEFT(O115,2)="26",LEFT(O115,2)="27")),MAX($AD$1:$AD$114)+1,"")</f>
        <v/>
      </c>
      <c r="AE115" s="69" t="str">
        <f aca="false">IF(AND(B115&lt;&gt;"",D115=CONSULTA_UNIDADE!$B$4),MAX($AE$1:$AE$114)+1,"")</f>
        <v/>
      </c>
      <c r="AF115" s="69" t="str">
        <f aca="false">IF(AND(B115&lt;&gt;"",O115&lt;&gt;"27 - Instalação concluída",O115&lt;&gt;"28 - Encerrado",ISNUMBER(S115)),S115*1000+(1000-ROW()),"")</f>
        <v/>
      </c>
      <c r="AG115" s="69" t="str">
        <f aca="false">IF(AF115="","",RANK(AF115,$AF$2:$AF$500))</f>
        <v/>
      </c>
    </row>
    <row r="116" customFormat="false" ht="16.5" hidden="false" customHeight="true" outlineLevel="0" collapsed="false">
      <c r="A116" s="86"/>
      <c r="B116" s="86"/>
      <c r="C116" s="87" t="str">
        <f aca="false">IF(D116="","",IFERROR(INDEX(CADASTRO_VIVO_3CRE!$B$2:$B$150,MATCH(D116,CADASTRO_VIVO_3CRE!$E$2:$E$150,0)),""))</f>
        <v/>
      </c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8"/>
      <c r="S116" s="89" t="str">
        <f aca="true">IF(R116="","",TODAY()-INT(R116))</f>
        <v/>
      </c>
      <c r="T116" s="86"/>
      <c r="U116" s="86"/>
      <c r="V116" s="86"/>
      <c r="W116" s="88"/>
      <c r="X116" s="89" t="str">
        <f aca="true">IF(W116="","",IF(OR(O116="28 - Encerrado",O116="27 - Instalação concluída"),"Concluído",TODAY()-INT(W116)))</f>
        <v/>
      </c>
      <c r="Y116" s="90" t="str">
        <f aca="false">IF(OR(O116="28 - Encerrado",O116="27 - Instalação concluída"),"OK",IF(AND(B116&lt;&gt;"",S116=""),"ATENÇÃO (Sem data de atualização)",IF(S116="","",IF(S116&gt;30,"CRÍTICO (Sem Atualização &gt;30 dias)",IF(S116&gt;15,"ATENÇÃO (Sem Atualização &gt;15 dias)",IF(X116&gt;90,"CRÍTICO (Aberto &gt;90 dias)","OK"))))))</f>
        <v/>
      </c>
      <c r="Z116" s="90" t="str">
        <f aca="false">IF(B116="","",IF(OR(O116="27 - Instalação concluída",O116="28 - Encerrado"),"OK",IF(NOT(ISNUMBER(X116)),"",IF(X116&gt;365,"MUITO ANTIGO (&gt;1 ano)",IF(X116&gt;180,"ANTIGO (&gt;6 meses)",IF(X116&gt;90,"ATENÇÃO ANTIG. (&gt;3 meses)","OK"))))))</f>
        <v/>
      </c>
      <c r="AA116" s="86"/>
      <c r="AB116" s="69" t="str">
        <f aca="false">IF(AND(B116&lt;&gt;"",OR(T116="Pendente de Vistoria",T116="Não validada")),MAX($AB$1:$AB$115)+1,"")</f>
        <v/>
      </c>
      <c r="AC116" s="69" t="str">
        <f aca="false">IF(AND(B116&lt;&gt;"",OR(ISNUMBER(SEARCH("CTIN",P116)),U116="Alta",O116="07 - Relatório recebido — unidade apta",O116="11 - Orçamentos em análise técnica",O116="22 - Instalação/substituição autorizada")),MAX($AC$1:$AC$115)+1,"")</f>
        <v/>
      </c>
      <c r="AD116" s="69" t="str">
        <f aca="false">IF(AND(B116&lt;&gt;"",OR(ISNUMBER(SEARCH("CTO",P116)),LEFT(O116,2)="22",LEFT(O116,2)="23",LEFT(O116,2)="24",LEFT(O116,2)="25",LEFT(O116,2)="26",LEFT(O116,2)="27")),MAX($AD$1:$AD$115)+1,"")</f>
        <v/>
      </c>
      <c r="AE116" s="69" t="str">
        <f aca="false">IF(AND(B116&lt;&gt;"",D116=CONSULTA_UNIDADE!$B$4),MAX($AE$1:$AE$115)+1,"")</f>
        <v/>
      </c>
      <c r="AF116" s="69" t="str">
        <f aca="false">IF(AND(B116&lt;&gt;"",O116&lt;&gt;"27 - Instalação concluída",O116&lt;&gt;"28 - Encerrado",ISNUMBER(S116)),S116*1000+(1000-ROW()),"")</f>
        <v/>
      </c>
      <c r="AG116" s="69" t="str">
        <f aca="false">IF(AF116="","",RANK(AF116,$AF$2:$AF$500))</f>
        <v/>
      </c>
    </row>
    <row r="117" customFormat="false" ht="16.5" hidden="false" customHeight="true" outlineLevel="0" collapsed="false">
      <c r="A117" s="86"/>
      <c r="B117" s="86"/>
      <c r="C117" s="87" t="str">
        <f aca="false">IF(D117="","",IFERROR(INDEX(CADASTRO_VIVO_3CRE!$B$2:$B$150,MATCH(D117,CADASTRO_VIVO_3CRE!$E$2:$E$150,0)),""))</f>
        <v/>
      </c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8"/>
      <c r="S117" s="89" t="str">
        <f aca="true">IF(R117="","",TODAY()-INT(R117))</f>
        <v/>
      </c>
      <c r="T117" s="86"/>
      <c r="U117" s="86"/>
      <c r="V117" s="86"/>
      <c r="W117" s="88"/>
      <c r="X117" s="89" t="str">
        <f aca="true">IF(W117="","",IF(OR(O117="28 - Encerrado",O117="27 - Instalação concluída"),"Concluído",TODAY()-INT(W117)))</f>
        <v/>
      </c>
      <c r="Y117" s="90" t="str">
        <f aca="false">IF(OR(O117="28 - Encerrado",O117="27 - Instalação concluída"),"OK",IF(AND(B117&lt;&gt;"",S117=""),"ATENÇÃO (Sem data de atualização)",IF(S117="","",IF(S117&gt;30,"CRÍTICO (Sem Atualização &gt;30 dias)",IF(S117&gt;15,"ATENÇÃO (Sem Atualização &gt;15 dias)",IF(X117&gt;90,"CRÍTICO (Aberto &gt;90 dias)","OK"))))))</f>
        <v/>
      </c>
      <c r="Z117" s="90" t="str">
        <f aca="false">IF(B117="","",IF(OR(O117="27 - Instalação concluída",O117="28 - Encerrado"),"OK",IF(NOT(ISNUMBER(X117)),"",IF(X117&gt;365,"MUITO ANTIGO (&gt;1 ano)",IF(X117&gt;180,"ANTIGO (&gt;6 meses)",IF(X117&gt;90,"ATENÇÃO ANTIG. (&gt;3 meses)","OK"))))))</f>
        <v/>
      </c>
      <c r="AA117" s="86"/>
      <c r="AB117" s="69" t="str">
        <f aca="false">IF(AND(B117&lt;&gt;"",OR(T117="Pendente de Vistoria",T117="Não validada")),MAX($AB$1:$AB$116)+1,"")</f>
        <v/>
      </c>
      <c r="AC117" s="69" t="str">
        <f aca="false">IF(AND(B117&lt;&gt;"",OR(ISNUMBER(SEARCH("CTIN",P117)),U117="Alta",O117="07 - Relatório recebido — unidade apta",O117="11 - Orçamentos em análise técnica",O117="22 - Instalação/substituição autorizada")),MAX($AC$1:$AC$116)+1,"")</f>
        <v/>
      </c>
      <c r="AD117" s="69" t="str">
        <f aca="false">IF(AND(B117&lt;&gt;"",OR(ISNUMBER(SEARCH("CTO",P117)),LEFT(O117,2)="22",LEFT(O117,2)="23",LEFT(O117,2)="24",LEFT(O117,2)="25",LEFT(O117,2)="26",LEFT(O117,2)="27")),MAX($AD$1:$AD$116)+1,"")</f>
        <v/>
      </c>
      <c r="AE117" s="69" t="str">
        <f aca="false">IF(AND(B117&lt;&gt;"",D117=CONSULTA_UNIDADE!$B$4),MAX($AE$1:$AE$116)+1,"")</f>
        <v/>
      </c>
      <c r="AF117" s="69" t="str">
        <f aca="false">IF(AND(B117&lt;&gt;"",O117&lt;&gt;"27 - Instalação concluída",O117&lt;&gt;"28 - Encerrado",ISNUMBER(S117)),S117*1000+(1000-ROW()),"")</f>
        <v/>
      </c>
      <c r="AG117" s="69" t="str">
        <f aca="false">IF(AF117="","",RANK(AF117,$AF$2:$AF$500))</f>
        <v/>
      </c>
    </row>
    <row r="118" customFormat="false" ht="16.5" hidden="false" customHeight="true" outlineLevel="0" collapsed="false">
      <c r="A118" s="86"/>
      <c r="B118" s="86"/>
      <c r="C118" s="87" t="str">
        <f aca="false">IF(D118="","",IFERROR(INDEX(CADASTRO_VIVO_3CRE!$B$2:$B$150,MATCH(D118,CADASTRO_VIVO_3CRE!$E$2:$E$150,0)),""))</f>
        <v/>
      </c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8"/>
      <c r="S118" s="89" t="str">
        <f aca="true">IF(R118="","",TODAY()-INT(R118))</f>
        <v/>
      </c>
      <c r="T118" s="86"/>
      <c r="U118" s="86"/>
      <c r="V118" s="86"/>
      <c r="W118" s="88"/>
      <c r="X118" s="89" t="str">
        <f aca="true">IF(W118="","",IF(OR(O118="28 - Encerrado",O118="27 - Instalação concluída"),"Concluído",TODAY()-INT(W118)))</f>
        <v/>
      </c>
      <c r="Y118" s="90" t="str">
        <f aca="false">IF(OR(O118="28 - Encerrado",O118="27 - Instalação concluída"),"OK",IF(AND(B118&lt;&gt;"",S118=""),"ATENÇÃO (Sem data de atualização)",IF(S118="","",IF(S118&gt;30,"CRÍTICO (Sem Atualização &gt;30 dias)",IF(S118&gt;15,"ATENÇÃO (Sem Atualização &gt;15 dias)",IF(X118&gt;90,"CRÍTICO (Aberto &gt;90 dias)","OK"))))))</f>
        <v/>
      </c>
      <c r="Z118" s="90" t="str">
        <f aca="false">IF(B118="","",IF(OR(O118="27 - Instalação concluída",O118="28 - Encerrado"),"OK",IF(NOT(ISNUMBER(X118)),"",IF(X118&gt;365,"MUITO ANTIGO (&gt;1 ano)",IF(X118&gt;180,"ANTIGO (&gt;6 meses)",IF(X118&gt;90,"ATENÇÃO ANTIG. (&gt;3 meses)","OK"))))))</f>
        <v/>
      </c>
      <c r="AA118" s="86"/>
      <c r="AB118" s="69" t="str">
        <f aca="false">IF(AND(B118&lt;&gt;"",OR(T118="Pendente de Vistoria",T118="Não validada")),MAX($AB$1:$AB$117)+1,"")</f>
        <v/>
      </c>
      <c r="AC118" s="69" t="str">
        <f aca="false">IF(AND(B118&lt;&gt;"",OR(ISNUMBER(SEARCH("CTIN",P118)),U118="Alta",O118="07 - Relatório recebido — unidade apta",O118="11 - Orçamentos em análise técnica",O118="22 - Instalação/substituição autorizada")),MAX($AC$1:$AC$117)+1,"")</f>
        <v/>
      </c>
      <c r="AD118" s="69" t="str">
        <f aca="false">IF(AND(B118&lt;&gt;"",OR(ISNUMBER(SEARCH("CTO",P118)),LEFT(O118,2)="22",LEFT(O118,2)="23",LEFT(O118,2)="24",LEFT(O118,2)="25",LEFT(O118,2)="26",LEFT(O118,2)="27")),MAX($AD$1:$AD$117)+1,"")</f>
        <v/>
      </c>
      <c r="AE118" s="69" t="str">
        <f aca="false">IF(AND(B118&lt;&gt;"",D118=CONSULTA_UNIDADE!$B$4),MAX($AE$1:$AE$117)+1,"")</f>
        <v/>
      </c>
      <c r="AF118" s="69" t="str">
        <f aca="false">IF(AND(B118&lt;&gt;"",O118&lt;&gt;"27 - Instalação concluída",O118&lt;&gt;"28 - Encerrado",ISNUMBER(S118)),S118*1000+(1000-ROW()),"")</f>
        <v/>
      </c>
      <c r="AG118" s="69" t="str">
        <f aca="false">IF(AF118="","",RANK(AF118,$AF$2:$AF$500))</f>
        <v/>
      </c>
    </row>
    <row r="119" customFormat="false" ht="16.5" hidden="false" customHeight="true" outlineLevel="0" collapsed="false">
      <c r="A119" s="86"/>
      <c r="B119" s="86"/>
      <c r="C119" s="87" t="str">
        <f aca="false">IF(D119="","",IFERROR(INDEX(CADASTRO_VIVO_3CRE!$B$2:$B$150,MATCH(D119,CADASTRO_VIVO_3CRE!$E$2:$E$150,0)),""))</f>
        <v/>
      </c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8"/>
      <c r="S119" s="89" t="str">
        <f aca="true">IF(R119="","",TODAY()-INT(R119))</f>
        <v/>
      </c>
      <c r="T119" s="86"/>
      <c r="U119" s="86"/>
      <c r="V119" s="86"/>
      <c r="W119" s="88"/>
      <c r="X119" s="89" t="str">
        <f aca="true">IF(W119="","",IF(OR(O119="28 - Encerrado",O119="27 - Instalação concluída"),"Concluído",TODAY()-INT(W119)))</f>
        <v/>
      </c>
      <c r="Y119" s="90" t="str">
        <f aca="false">IF(OR(O119="28 - Encerrado",O119="27 - Instalação concluída"),"OK",IF(AND(B119&lt;&gt;"",S119=""),"ATENÇÃO (Sem data de atualização)",IF(S119="","",IF(S119&gt;30,"CRÍTICO (Sem Atualização &gt;30 dias)",IF(S119&gt;15,"ATENÇÃO (Sem Atualização &gt;15 dias)",IF(X119&gt;90,"CRÍTICO (Aberto &gt;90 dias)","OK"))))))</f>
        <v/>
      </c>
      <c r="Z119" s="90" t="str">
        <f aca="false">IF(B119="","",IF(OR(O119="27 - Instalação concluída",O119="28 - Encerrado"),"OK",IF(NOT(ISNUMBER(X119)),"",IF(X119&gt;365,"MUITO ANTIGO (&gt;1 ano)",IF(X119&gt;180,"ANTIGO (&gt;6 meses)",IF(X119&gt;90,"ATENÇÃO ANTIG. (&gt;3 meses)","OK"))))))</f>
        <v/>
      </c>
      <c r="AA119" s="86"/>
      <c r="AB119" s="69" t="str">
        <f aca="false">IF(AND(B119&lt;&gt;"",OR(T119="Pendente de Vistoria",T119="Não validada")),MAX($AB$1:$AB$118)+1,"")</f>
        <v/>
      </c>
      <c r="AC119" s="69" t="str">
        <f aca="false">IF(AND(B119&lt;&gt;"",OR(ISNUMBER(SEARCH("CTIN",P119)),U119="Alta",O119="07 - Relatório recebido — unidade apta",O119="11 - Orçamentos em análise técnica",O119="22 - Instalação/substituição autorizada")),MAX($AC$1:$AC$118)+1,"")</f>
        <v/>
      </c>
      <c r="AD119" s="69" t="str">
        <f aca="false">IF(AND(B119&lt;&gt;"",OR(ISNUMBER(SEARCH("CTO",P119)),LEFT(O119,2)="22",LEFT(O119,2)="23",LEFT(O119,2)="24",LEFT(O119,2)="25",LEFT(O119,2)="26",LEFT(O119,2)="27")),MAX($AD$1:$AD$118)+1,"")</f>
        <v/>
      </c>
      <c r="AE119" s="69" t="str">
        <f aca="false">IF(AND(B119&lt;&gt;"",D119=CONSULTA_UNIDADE!$B$4),MAX($AE$1:$AE$118)+1,"")</f>
        <v/>
      </c>
      <c r="AF119" s="69" t="str">
        <f aca="false">IF(AND(B119&lt;&gt;"",O119&lt;&gt;"27 - Instalação concluída",O119&lt;&gt;"28 - Encerrado",ISNUMBER(S119)),S119*1000+(1000-ROW()),"")</f>
        <v/>
      </c>
      <c r="AG119" s="69" t="str">
        <f aca="false">IF(AF119="","",RANK(AF119,$AF$2:$AF$500))</f>
        <v/>
      </c>
    </row>
    <row r="120" customFormat="false" ht="16.5" hidden="false" customHeight="true" outlineLevel="0" collapsed="false">
      <c r="A120" s="86"/>
      <c r="B120" s="86"/>
      <c r="C120" s="87" t="str">
        <f aca="false">IF(D120="","",IFERROR(INDEX(CADASTRO_VIVO_3CRE!$B$2:$B$150,MATCH(D120,CADASTRO_VIVO_3CRE!$E$2:$E$150,0)),""))</f>
        <v/>
      </c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8"/>
      <c r="S120" s="89" t="str">
        <f aca="true">IF(R120="","",TODAY()-INT(R120))</f>
        <v/>
      </c>
      <c r="T120" s="86"/>
      <c r="U120" s="86"/>
      <c r="V120" s="86"/>
      <c r="W120" s="88"/>
      <c r="X120" s="89" t="str">
        <f aca="true">IF(W120="","",IF(OR(O120="28 - Encerrado",O120="27 - Instalação concluída"),"Concluído",TODAY()-INT(W120)))</f>
        <v/>
      </c>
      <c r="Y120" s="90" t="str">
        <f aca="false">IF(OR(O120="28 - Encerrado",O120="27 - Instalação concluída"),"OK",IF(AND(B120&lt;&gt;"",S120=""),"ATENÇÃO (Sem data de atualização)",IF(S120="","",IF(S120&gt;30,"CRÍTICO (Sem Atualização &gt;30 dias)",IF(S120&gt;15,"ATENÇÃO (Sem Atualização &gt;15 dias)",IF(X120&gt;90,"CRÍTICO (Aberto &gt;90 dias)","OK"))))))</f>
        <v/>
      </c>
      <c r="Z120" s="90" t="str">
        <f aca="false">IF(B120="","",IF(OR(O120="27 - Instalação concluída",O120="28 - Encerrado"),"OK",IF(NOT(ISNUMBER(X120)),"",IF(X120&gt;365,"MUITO ANTIGO (&gt;1 ano)",IF(X120&gt;180,"ANTIGO (&gt;6 meses)",IF(X120&gt;90,"ATENÇÃO ANTIG. (&gt;3 meses)","OK"))))))</f>
        <v/>
      </c>
      <c r="AA120" s="86"/>
      <c r="AB120" s="69" t="str">
        <f aca="false">IF(AND(B120&lt;&gt;"",OR(T120="Pendente de Vistoria",T120="Não validada")),MAX($AB$1:$AB$119)+1,"")</f>
        <v/>
      </c>
      <c r="AC120" s="69" t="str">
        <f aca="false">IF(AND(B120&lt;&gt;"",OR(ISNUMBER(SEARCH("CTIN",P120)),U120="Alta",O120="07 - Relatório recebido — unidade apta",O120="11 - Orçamentos em análise técnica",O120="22 - Instalação/substituição autorizada")),MAX($AC$1:$AC$119)+1,"")</f>
        <v/>
      </c>
      <c r="AD120" s="69" t="str">
        <f aca="false">IF(AND(B120&lt;&gt;"",OR(ISNUMBER(SEARCH("CTO",P120)),LEFT(O120,2)="22",LEFT(O120,2)="23",LEFT(O120,2)="24",LEFT(O120,2)="25",LEFT(O120,2)="26",LEFT(O120,2)="27")),MAX($AD$1:$AD$119)+1,"")</f>
        <v/>
      </c>
      <c r="AE120" s="69" t="str">
        <f aca="false">IF(AND(B120&lt;&gt;"",D120=CONSULTA_UNIDADE!$B$4),MAX($AE$1:$AE$119)+1,"")</f>
        <v/>
      </c>
      <c r="AF120" s="69" t="str">
        <f aca="false">IF(AND(B120&lt;&gt;"",O120&lt;&gt;"27 - Instalação concluída",O120&lt;&gt;"28 - Encerrado",ISNUMBER(S120)),S120*1000+(1000-ROW()),"")</f>
        <v/>
      </c>
      <c r="AG120" s="69" t="str">
        <f aca="false">IF(AF120="","",RANK(AF120,$AF$2:$AF$500))</f>
        <v/>
      </c>
    </row>
    <row r="121" customFormat="false" ht="16.5" hidden="false" customHeight="true" outlineLevel="0" collapsed="false">
      <c r="A121" s="86"/>
      <c r="B121" s="86"/>
      <c r="C121" s="87" t="str">
        <f aca="false">IF(D121="","",IFERROR(INDEX(CADASTRO_VIVO_3CRE!$B$2:$B$150,MATCH(D121,CADASTRO_VIVO_3CRE!$E$2:$E$150,0)),""))</f>
        <v/>
      </c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8"/>
      <c r="S121" s="89" t="str">
        <f aca="true">IF(R121="","",TODAY()-INT(R121))</f>
        <v/>
      </c>
      <c r="T121" s="86"/>
      <c r="U121" s="86"/>
      <c r="V121" s="86"/>
      <c r="W121" s="88"/>
      <c r="X121" s="89" t="str">
        <f aca="true">IF(W121="","",IF(OR(O121="28 - Encerrado",O121="27 - Instalação concluída"),"Concluído",TODAY()-INT(W121)))</f>
        <v/>
      </c>
      <c r="Y121" s="90" t="str">
        <f aca="false">IF(OR(O121="28 - Encerrado",O121="27 - Instalação concluída"),"OK",IF(AND(B121&lt;&gt;"",S121=""),"ATENÇÃO (Sem data de atualização)",IF(S121="","",IF(S121&gt;30,"CRÍTICO (Sem Atualização &gt;30 dias)",IF(S121&gt;15,"ATENÇÃO (Sem Atualização &gt;15 dias)",IF(X121&gt;90,"CRÍTICO (Aberto &gt;90 dias)","OK"))))))</f>
        <v/>
      </c>
      <c r="Z121" s="90" t="str">
        <f aca="false">IF(B121="","",IF(OR(O121="27 - Instalação concluída",O121="28 - Encerrado"),"OK",IF(NOT(ISNUMBER(X121)),"",IF(X121&gt;365,"MUITO ANTIGO (&gt;1 ano)",IF(X121&gt;180,"ANTIGO (&gt;6 meses)",IF(X121&gt;90,"ATENÇÃO ANTIG. (&gt;3 meses)","OK"))))))</f>
        <v/>
      </c>
      <c r="AA121" s="86"/>
      <c r="AB121" s="69" t="str">
        <f aca="false">IF(AND(B121&lt;&gt;"",OR(T121="Pendente de Vistoria",T121="Não validada")),MAX($AB$1:$AB$120)+1,"")</f>
        <v/>
      </c>
      <c r="AC121" s="69" t="str">
        <f aca="false">IF(AND(B121&lt;&gt;"",OR(ISNUMBER(SEARCH("CTIN",P121)),U121="Alta",O121="07 - Relatório recebido — unidade apta",O121="11 - Orçamentos em análise técnica",O121="22 - Instalação/substituição autorizada")),MAX($AC$1:$AC$120)+1,"")</f>
        <v/>
      </c>
      <c r="AD121" s="69" t="str">
        <f aca="false">IF(AND(B121&lt;&gt;"",OR(ISNUMBER(SEARCH("CTO",P121)),LEFT(O121,2)="22",LEFT(O121,2)="23",LEFT(O121,2)="24",LEFT(O121,2)="25",LEFT(O121,2)="26",LEFT(O121,2)="27")),MAX($AD$1:$AD$120)+1,"")</f>
        <v/>
      </c>
      <c r="AE121" s="69" t="str">
        <f aca="false">IF(AND(B121&lt;&gt;"",D121=CONSULTA_UNIDADE!$B$4),MAX($AE$1:$AE$120)+1,"")</f>
        <v/>
      </c>
      <c r="AF121" s="69" t="str">
        <f aca="false">IF(AND(B121&lt;&gt;"",O121&lt;&gt;"27 - Instalação concluída",O121&lt;&gt;"28 - Encerrado",ISNUMBER(S121)),S121*1000+(1000-ROW()),"")</f>
        <v/>
      </c>
      <c r="AG121" s="69" t="str">
        <f aca="false">IF(AF121="","",RANK(AF121,$AF$2:$AF$500))</f>
        <v/>
      </c>
    </row>
    <row r="122" customFormat="false" ht="16.5" hidden="false" customHeight="true" outlineLevel="0" collapsed="false">
      <c r="A122" s="86"/>
      <c r="B122" s="86"/>
      <c r="C122" s="87" t="str">
        <f aca="false">IF(D122="","",IFERROR(INDEX(CADASTRO_VIVO_3CRE!$B$2:$B$150,MATCH(D122,CADASTRO_VIVO_3CRE!$E$2:$E$150,0)),""))</f>
        <v/>
      </c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8"/>
      <c r="S122" s="89" t="str">
        <f aca="true">IF(R122="","",TODAY()-INT(R122))</f>
        <v/>
      </c>
      <c r="T122" s="86"/>
      <c r="U122" s="86"/>
      <c r="V122" s="86"/>
      <c r="W122" s="88"/>
      <c r="X122" s="89" t="str">
        <f aca="true">IF(W122="","",IF(OR(O122="28 - Encerrado",O122="27 - Instalação concluída"),"Concluído",TODAY()-INT(W122)))</f>
        <v/>
      </c>
      <c r="Y122" s="90" t="str">
        <f aca="false">IF(OR(O122="28 - Encerrado",O122="27 - Instalação concluída"),"OK",IF(AND(B122&lt;&gt;"",S122=""),"ATENÇÃO (Sem data de atualização)",IF(S122="","",IF(S122&gt;30,"CRÍTICO (Sem Atualização &gt;30 dias)",IF(S122&gt;15,"ATENÇÃO (Sem Atualização &gt;15 dias)",IF(X122&gt;90,"CRÍTICO (Aberto &gt;90 dias)","OK"))))))</f>
        <v/>
      </c>
      <c r="Z122" s="90" t="str">
        <f aca="false">IF(B122="","",IF(OR(O122="27 - Instalação concluída",O122="28 - Encerrado"),"OK",IF(NOT(ISNUMBER(X122)),"",IF(X122&gt;365,"MUITO ANTIGO (&gt;1 ano)",IF(X122&gt;180,"ANTIGO (&gt;6 meses)",IF(X122&gt;90,"ATENÇÃO ANTIG. (&gt;3 meses)","OK"))))))</f>
        <v/>
      </c>
      <c r="AA122" s="86"/>
      <c r="AB122" s="69" t="str">
        <f aca="false">IF(AND(B122&lt;&gt;"",OR(T122="Pendente de Vistoria",T122="Não validada")),MAX($AB$1:$AB$121)+1,"")</f>
        <v/>
      </c>
      <c r="AC122" s="69" t="str">
        <f aca="false">IF(AND(B122&lt;&gt;"",OR(ISNUMBER(SEARCH("CTIN",P122)),U122="Alta",O122="07 - Relatório recebido — unidade apta",O122="11 - Orçamentos em análise técnica",O122="22 - Instalação/substituição autorizada")),MAX($AC$1:$AC$121)+1,"")</f>
        <v/>
      </c>
      <c r="AD122" s="69" t="str">
        <f aca="false">IF(AND(B122&lt;&gt;"",OR(ISNUMBER(SEARCH("CTO",P122)),LEFT(O122,2)="22",LEFT(O122,2)="23",LEFT(O122,2)="24",LEFT(O122,2)="25",LEFT(O122,2)="26",LEFT(O122,2)="27")),MAX($AD$1:$AD$121)+1,"")</f>
        <v/>
      </c>
      <c r="AE122" s="69" t="str">
        <f aca="false">IF(AND(B122&lt;&gt;"",D122=CONSULTA_UNIDADE!$B$4),MAX($AE$1:$AE$121)+1,"")</f>
        <v/>
      </c>
      <c r="AF122" s="69" t="str">
        <f aca="false">IF(AND(B122&lt;&gt;"",O122&lt;&gt;"27 - Instalação concluída",O122&lt;&gt;"28 - Encerrado",ISNUMBER(S122)),S122*1000+(1000-ROW()),"")</f>
        <v/>
      </c>
      <c r="AG122" s="69" t="str">
        <f aca="false">IF(AF122="","",RANK(AF122,$AF$2:$AF$500))</f>
        <v/>
      </c>
    </row>
    <row r="123" customFormat="false" ht="16.5" hidden="false" customHeight="true" outlineLevel="0" collapsed="false">
      <c r="A123" s="86"/>
      <c r="B123" s="86"/>
      <c r="C123" s="87" t="str">
        <f aca="false">IF(D123="","",IFERROR(INDEX(CADASTRO_VIVO_3CRE!$B$2:$B$150,MATCH(D123,CADASTRO_VIVO_3CRE!$E$2:$E$150,0)),""))</f>
        <v/>
      </c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8"/>
      <c r="S123" s="89" t="str">
        <f aca="true">IF(R123="","",TODAY()-INT(R123))</f>
        <v/>
      </c>
      <c r="T123" s="86"/>
      <c r="U123" s="86"/>
      <c r="V123" s="86"/>
      <c r="W123" s="88"/>
      <c r="X123" s="89" t="str">
        <f aca="true">IF(W123="","",IF(OR(O123="28 - Encerrado",O123="27 - Instalação concluída"),"Concluído",TODAY()-INT(W123)))</f>
        <v/>
      </c>
      <c r="Y123" s="90" t="str">
        <f aca="false">IF(OR(O123="28 - Encerrado",O123="27 - Instalação concluída"),"OK",IF(AND(B123&lt;&gt;"",S123=""),"ATENÇÃO (Sem data de atualização)",IF(S123="","",IF(S123&gt;30,"CRÍTICO (Sem Atualização &gt;30 dias)",IF(S123&gt;15,"ATENÇÃO (Sem Atualização &gt;15 dias)",IF(X123&gt;90,"CRÍTICO (Aberto &gt;90 dias)","OK"))))))</f>
        <v/>
      </c>
      <c r="Z123" s="90" t="str">
        <f aca="false">IF(B123="","",IF(OR(O123="27 - Instalação concluída",O123="28 - Encerrado"),"OK",IF(NOT(ISNUMBER(X123)),"",IF(X123&gt;365,"MUITO ANTIGO (&gt;1 ano)",IF(X123&gt;180,"ANTIGO (&gt;6 meses)",IF(X123&gt;90,"ATENÇÃO ANTIG. (&gt;3 meses)","OK"))))))</f>
        <v/>
      </c>
      <c r="AA123" s="86"/>
      <c r="AB123" s="69" t="str">
        <f aca="false">IF(AND(B123&lt;&gt;"",OR(T123="Pendente de Vistoria",T123="Não validada")),MAX($AB$1:$AB$122)+1,"")</f>
        <v/>
      </c>
      <c r="AC123" s="69" t="str">
        <f aca="false">IF(AND(B123&lt;&gt;"",OR(ISNUMBER(SEARCH("CTIN",P123)),U123="Alta",O123="07 - Relatório recebido — unidade apta",O123="11 - Orçamentos em análise técnica",O123="22 - Instalação/substituição autorizada")),MAX($AC$1:$AC$122)+1,"")</f>
        <v/>
      </c>
      <c r="AD123" s="69" t="str">
        <f aca="false">IF(AND(B123&lt;&gt;"",OR(ISNUMBER(SEARCH("CTO",P123)),LEFT(O123,2)="22",LEFT(O123,2)="23",LEFT(O123,2)="24",LEFT(O123,2)="25",LEFT(O123,2)="26",LEFT(O123,2)="27")),MAX($AD$1:$AD$122)+1,"")</f>
        <v/>
      </c>
      <c r="AE123" s="69" t="str">
        <f aca="false">IF(AND(B123&lt;&gt;"",D123=CONSULTA_UNIDADE!$B$4),MAX($AE$1:$AE$122)+1,"")</f>
        <v/>
      </c>
      <c r="AF123" s="69" t="str">
        <f aca="false">IF(AND(B123&lt;&gt;"",O123&lt;&gt;"27 - Instalação concluída",O123&lt;&gt;"28 - Encerrado",ISNUMBER(S123)),S123*1000+(1000-ROW()),"")</f>
        <v/>
      </c>
      <c r="AG123" s="69" t="str">
        <f aca="false">IF(AF123="","",RANK(AF123,$AF$2:$AF$500))</f>
        <v/>
      </c>
    </row>
    <row r="124" customFormat="false" ht="16.5" hidden="false" customHeight="true" outlineLevel="0" collapsed="false">
      <c r="A124" s="86"/>
      <c r="B124" s="86"/>
      <c r="C124" s="87" t="str">
        <f aca="false">IF(D124="","",IFERROR(INDEX(CADASTRO_VIVO_3CRE!$B$2:$B$150,MATCH(D124,CADASTRO_VIVO_3CRE!$E$2:$E$150,0)),""))</f>
        <v/>
      </c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8"/>
      <c r="S124" s="89" t="str">
        <f aca="true">IF(R124="","",TODAY()-INT(R124))</f>
        <v/>
      </c>
      <c r="T124" s="86"/>
      <c r="U124" s="86"/>
      <c r="V124" s="86"/>
      <c r="W124" s="88"/>
      <c r="X124" s="89" t="str">
        <f aca="true">IF(W124="","",IF(OR(O124="28 - Encerrado",O124="27 - Instalação concluída"),"Concluído",TODAY()-INT(W124)))</f>
        <v/>
      </c>
      <c r="Y124" s="90" t="str">
        <f aca="false">IF(OR(O124="28 - Encerrado",O124="27 - Instalação concluída"),"OK",IF(AND(B124&lt;&gt;"",S124=""),"ATENÇÃO (Sem data de atualização)",IF(S124="","",IF(S124&gt;30,"CRÍTICO (Sem Atualização &gt;30 dias)",IF(S124&gt;15,"ATENÇÃO (Sem Atualização &gt;15 dias)",IF(X124&gt;90,"CRÍTICO (Aberto &gt;90 dias)","OK"))))))</f>
        <v/>
      </c>
      <c r="Z124" s="90" t="str">
        <f aca="false">IF(B124="","",IF(OR(O124="27 - Instalação concluída",O124="28 - Encerrado"),"OK",IF(NOT(ISNUMBER(X124)),"",IF(X124&gt;365,"MUITO ANTIGO (&gt;1 ano)",IF(X124&gt;180,"ANTIGO (&gt;6 meses)",IF(X124&gt;90,"ATENÇÃO ANTIG. (&gt;3 meses)","OK"))))))</f>
        <v/>
      </c>
      <c r="AA124" s="86"/>
      <c r="AB124" s="69" t="str">
        <f aca="false">IF(AND(B124&lt;&gt;"",OR(T124="Pendente de Vistoria",T124="Não validada")),MAX($AB$1:$AB$123)+1,"")</f>
        <v/>
      </c>
      <c r="AC124" s="69" t="str">
        <f aca="false">IF(AND(B124&lt;&gt;"",OR(ISNUMBER(SEARCH("CTIN",P124)),U124="Alta",O124="07 - Relatório recebido — unidade apta",O124="11 - Orçamentos em análise técnica",O124="22 - Instalação/substituição autorizada")),MAX($AC$1:$AC$123)+1,"")</f>
        <v/>
      </c>
      <c r="AD124" s="69" t="str">
        <f aca="false">IF(AND(B124&lt;&gt;"",OR(ISNUMBER(SEARCH("CTO",P124)),LEFT(O124,2)="22",LEFT(O124,2)="23",LEFT(O124,2)="24",LEFT(O124,2)="25",LEFT(O124,2)="26",LEFT(O124,2)="27")),MAX($AD$1:$AD$123)+1,"")</f>
        <v/>
      </c>
      <c r="AE124" s="69" t="str">
        <f aca="false">IF(AND(B124&lt;&gt;"",D124=CONSULTA_UNIDADE!$B$4),MAX($AE$1:$AE$123)+1,"")</f>
        <v/>
      </c>
      <c r="AF124" s="69" t="str">
        <f aca="false">IF(AND(B124&lt;&gt;"",O124&lt;&gt;"27 - Instalação concluída",O124&lt;&gt;"28 - Encerrado",ISNUMBER(S124)),S124*1000+(1000-ROW()),"")</f>
        <v/>
      </c>
      <c r="AG124" s="69" t="str">
        <f aca="false">IF(AF124="","",RANK(AF124,$AF$2:$AF$500))</f>
        <v/>
      </c>
    </row>
    <row r="125" customFormat="false" ht="16.5" hidden="false" customHeight="true" outlineLevel="0" collapsed="false">
      <c r="A125" s="86"/>
      <c r="B125" s="86"/>
      <c r="C125" s="87" t="str">
        <f aca="false">IF(D125="","",IFERROR(INDEX(CADASTRO_VIVO_3CRE!$B$2:$B$150,MATCH(D125,CADASTRO_VIVO_3CRE!$E$2:$E$150,0)),""))</f>
        <v/>
      </c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8"/>
      <c r="S125" s="89" t="str">
        <f aca="true">IF(R125="","",TODAY()-INT(R125))</f>
        <v/>
      </c>
      <c r="T125" s="86"/>
      <c r="U125" s="86"/>
      <c r="V125" s="86"/>
      <c r="W125" s="88"/>
      <c r="X125" s="89" t="str">
        <f aca="true">IF(W125="","",IF(OR(O125="28 - Encerrado",O125="27 - Instalação concluída"),"Concluído",TODAY()-INT(W125)))</f>
        <v/>
      </c>
      <c r="Y125" s="90" t="str">
        <f aca="false">IF(OR(O125="28 - Encerrado",O125="27 - Instalação concluída"),"OK",IF(AND(B125&lt;&gt;"",S125=""),"ATENÇÃO (Sem data de atualização)",IF(S125="","",IF(S125&gt;30,"CRÍTICO (Sem Atualização &gt;30 dias)",IF(S125&gt;15,"ATENÇÃO (Sem Atualização &gt;15 dias)",IF(X125&gt;90,"CRÍTICO (Aberto &gt;90 dias)","OK"))))))</f>
        <v/>
      </c>
      <c r="Z125" s="90" t="str">
        <f aca="false">IF(B125="","",IF(OR(O125="27 - Instalação concluída",O125="28 - Encerrado"),"OK",IF(NOT(ISNUMBER(X125)),"",IF(X125&gt;365,"MUITO ANTIGO (&gt;1 ano)",IF(X125&gt;180,"ANTIGO (&gt;6 meses)",IF(X125&gt;90,"ATENÇÃO ANTIG. (&gt;3 meses)","OK"))))))</f>
        <v/>
      </c>
      <c r="AA125" s="86"/>
      <c r="AB125" s="69" t="str">
        <f aca="false">IF(AND(B125&lt;&gt;"",OR(T125="Pendente de Vistoria",T125="Não validada")),MAX($AB$1:$AB$124)+1,"")</f>
        <v/>
      </c>
      <c r="AC125" s="69" t="str">
        <f aca="false">IF(AND(B125&lt;&gt;"",OR(ISNUMBER(SEARCH("CTIN",P125)),U125="Alta",O125="07 - Relatório recebido — unidade apta",O125="11 - Orçamentos em análise técnica",O125="22 - Instalação/substituição autorizada")),MAX($AC$1:$AC$124)+1,"")</f>
        <v/>
      </c>
      <c r="AD125" s="69" t="str">
        <f aca="false">IF(AND(B125&lt;&gt;"",OR(ISNUMBER(SEARCH("CTO",P125)),LEFT(O125,2)="22",LEFT(O125,2)="23",LEFT(O125,2)="24",LEFT(O125,2)="25",LEFT(O125,2)="26",LEFT(O125,2)="27")),MAX($AD$1:$AD$124)+1,"")</f>
        <v/>
      </c>
      <c r="AE125" s="69" t="str">
        <f aca="false">IF(AND(B125&lt;&gt;"",D125=CONSULTA_UNIDADE!$B$4),MAX($AE$1:$AE$124)+1,"")</f>
        <v/>
      </c>
      <c r="AF125" s="69" t="str">
        <f aca="false">IF(AND(B125&lt;&gt;"",O125&lt;&gt;"27 - Instalação concluída",O125&lt;&gt;"28 - Encerrado",ISNUMBER(S125)),S125*1000+(1000-ROW()),"")</f>
        <v/>
      </c>
      <c r="AG125" s="69" t="str">
        <f aca="false">IF(AF125="","",RANK(AF125,$AF$2:$AF$500))</f>
        <v/>
      </c>
    </row>
    <row r="126" customFormat="false" ht="16.5" hidden="false" customHeight="true" outlineLevel="0" collapsed="false">
      <c r="A126" s="86"/>
      <c r="B126" s="86"/>
      <c r="C126" s="87" t="str">
        <f aca="false">IF(D126="","",IFERROR(INDEX(CADASTRO_VIVO_3CRE!$B$2:$B$150,MATCH(D126,CADASTRO_VIVO_3CRE!$E$2:$E$150,0)),""))</f>
        <v/>
      </c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8"/>
      <c r="S126" s="89" t="str">
        <f aca="true">IF(R126="","",TODAY()-INT(R126))</f>
        <v/>
      </c>
      <c r="T126" s="86"/>
      <c r="U126" s="86"/>
      <c r="V126" s="86"/>
      <c r="W126" s="88"/>
      <c r="X126" s="89" t="str">
        <f aca="true">IF(W126="","",IF(OR(O126="28 - Encerrado",O126="27 - Instalação concluída"),"Concluído",TODAY()-INT(W126)))</f>
        <v/>
      </c>
      <c r="Y126" s="90" t="str">
        <f aca="false">IF(OR(O126="28 - Encerrado",O126="27 - Instalação concluída"),"OK",IF(AND(B126&lt;&gt;"",S126=""),"ATENÇÃO (Sem data de atualização)",IF(S126="","",IF(S126&gt;30,"CRÍTICO (Sem Atualização &gt;30 dias)",IF(S126&gt;15,"ATENÇÃO (Sem Atualização &gt;15 dias)",IF(X126&gt;90,"CRÍTICO (Aberto &gt;90 dias)","OK"))))))</f>
        <v/>
      </c>
      <c r="Z126" s="90" t="str">
        <f aca="false">IF(B126="","",IF(OR(O126="27 - Instalação concluída",O126="28 - Encerrado"),"OK",IF(NOT(ISNUMBER(X126)),"",IF(X126&gt;365,"MUITO ANTIGO (&gt;1 ano)",IF(X126&gt;180,"ANTIGO (&gt;6 meses)",IF(X126&gt;90,"ATENÇÃO ANTIG. (&gt;3 meses)","OK"))))))</f>
        <v/>
      </c>
      <c r="AA126" s="86"/>
      <c r="AB126" s="69" t="str">
        <f aca="false">IF(AND(B126&lt;&gt;"",OR(T126="Pendente de Vistoria",T126="Não validada")),MAX($AB$1:$AB$125)+1,"")</f>
        <v/>
      </c>
      <c r="AC126" s="69" t="str">
        <f aca="false">IF(AND(B126&lt;&gt;"",OR(ISNUMBER(SEARCH("CTIN",P126)),U126="Alta",O126="07 - Relatório recebido — unidade apta",O126="11 - Orçamentos em análise técnica",O126="22 - Instalação/substituição autorizada")),MAX($AC$1:$AC$125)+1,"")</f>
        <v/>
      </c>
      <c r="AD126" s="69" t="str">
        <f aca="false">IF(AND(B126&lt;&gt;"",OR(ISNUMBER(SEARCH("CTO",P126)),LEFT(O126,2)="22",LEFT(O126,2)="23",LEFT(O126,2)="24",LEFT(O126,2)="25",LEFT(O126,2)="26",LEFT(O126,2)="27")),MAX($AD$1:$AD$125)+1,"")</f>
        <v/>
      </c>
      <c r="AE126" s="69" t="str">
        <f aca="false">IF(AND(B126&lt;&gt;"",D126=CONSULTA_UNIDADE!$B$4),MAX($AE$1:$AE$125)+1,"")</f>
        <v/>
      </c>
      <c r="AF126" s="69" t="str">
        <f aca="false">IF(AND(B126&lt;&gt;"",O126&lt;&gt;"27 - Instalação concluída",O126&lt;&gt;"28 - Encerrado",ISNUMBER(S126)),S126*1000+(1000-ROW()),"")</f>
        <v/>
      </c>
      <c r="AG126" s="69" t="str">
        <f aca="false">IF(AF126="","",RANK(AF126,$AF$2:$AF$500))</f>
        <v/>
      </c>
    </row>
    <row r="127" customFormat="false" ht="16.5" hidden="false" customHeight="true" outlineLevel="0" collapsed="false">
      <c r="A127" s="86"/>
      <c r="B127" s="86"/>
      <c r="C127" s="87" t="str">
        <f aca="false">IF(D127="","",IFERROR(INDEX(CADASTRO_VIVO_3CRE!$B$2:$B$150,MATCH(D127,CADASTRO_VIVO_3CRE!$E$2:$E$150,0)),""))</f>
        <v/>
      </c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8"/>
      <c r="S127" s="89" t="str">
        <f aca="true">IF(R127="","",TODAY()-INT(R127))</f>
        <v/>
      </c>
      <c r="T127" s="86"/>
      <c r="U127" s="86"/>
      <c r="V127" s="86"/>
      <c r="W127" s="88"/>
      <c r="X127" s="89" t="str">
        <f aca="true">IF(W127="","",IF(OR(O127="28 - Encerrado",O127="27 - Instalação concluída"),"Concluído",TODAY()-INT(W127)))</f>
        <v/>
      </c>
      <c r="Y127" s="90" t="str">
        <f aca="false">IF(OR(O127="28 - Encerrado",O127="27 - Instalação concluída"),"OK",IF(AND(B127&lt;&gt;"",S127=""),"ATENÇÃO (Sem data de atualização)",IF(S127="","",IF(S127&gt;30,"CRÍTICO (Sem Atualização &gt;30 dias)",IF(S127&gt;15,"ATENÇÃO (Sem Atualização &gt;15 dias)",IF(X127&gt;90,"CRÍTICO (Aberto &gt;90 dias)","OK"))))))</f>
        <v/>
      </c>
      <c r="Z127" s="90" t="str">
        <f aca="false">IF(B127="","",IF(OR(O127="27 - Instalação concluída",O127="28 - Encerrado"),"OK",IF(NOT(ISNUMBER(X127)),"",IF(X127&gt;365,"MUITO ANTIGO (&gt;1 ano)",IF(X127&gt;180,"ANTIGO (&gt;6 meses)",IF(X127&gt;90,"ATENÇÃO ANTIG. (&gt;3 meses)","OK"))))))</f>
        <v/>
      </c>
      <c r="AA127" s="86"/>
      <c r="AB127" s="69" t="str">
        <f aca="false">IF(AND(B127&lt;&gt;"",OR(T127="Pendente de Vistoria",T127="Não validada")),MAX($AB$1:$AB$126)+1,"")</f>
        <v/>
      </c>
      <c r="AC127" s="69" t="str">
        <f aca="false">IF(AND(B127&lt;&gt;"",OR(ISNUMBER(SEARCH("CTIN",P127)),U127="Alta",O127="07 - Relatório recebido — unidade apta",O127="11 - Orçamentos em análise técnica",O127="22 - Instalação/substituição autorizada")),MAX($AC$1:$AC$126)+1,"")</f>
        <v/>
      </c>
      <c r="AD127" s="69" t="str">
        <f aca="false">IF(AND(B127&lt;&gt;"",OR(ISNUMBER(SEARCH("CTO",P127)),LEFT(O127,2)="22",LEFT(O127,2)="23",LEFT(O127,2)="24",LEFT(O127,2)="25",LEFT(O127,2)="26",LEFT(O127,2)="27")),MAX($AD$1:$AD$126)+1,"")</f>
        <v/>
      </c>
      <c r="AE127" s="69" t="str">
        <f aca="false">IF(AND(B127&lt;&gt;"",D127=CONSULTA_UNIDADE!$B$4),MAX($AE$1:$AE$126)+1,"")</f>
        <v/>
      </c>
      <c r="AF127" s="69" t="str">
        <f aca="false">IF(AND(B127&lt;&gt;"",O127&lt;&gt;"27 - Instalação concluída",O127&lt;&gt;"28 - Encerrado",ISNUMBER(S127)),S127*1000+(1000-ROW()),"")</f>
        <v/>
      </c>
      <c r="AG127" s="69" t="str">
        <f aca="false">IF(AF127="","",RANK(AF127,$AF$2:$AF$500))</f>
        <v/>
      </c>
    </row>
    <row r="128" customFormat="false" ht="16.5" hidden="false" customHeight="true" outlineLevel="0" collapsed="false">
      <c r="A128" s="86"/>
      <c r="B128" s="86"/>
      <c r="C128" s="87" t="str">
        <f aca="false">IF(D128="","",IFERROR(INDEX(CADASTRO_VIVO_3CRE!$B$2:$B$150,MATCH(D128,CADASTRO_VIVO_3CRE!$E$2:$E$150,0)),""))</f>
        <v/>
      </c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8"/>
      <c r="S128" s="89" t="str">
        <f aca="true">IF(R128="","",TODAY()-INT(R128))</f>
        <v/>
      </c>
      <c r="T128" s="86"/>
      <c r="U128" s="86"/>
      <c r="V128" s="86"/>
      <c r="W128" s="88"/>
      <c r="X128" s="89" t="str">
        <f aca="true">IF(W128="","",IF(OR(O128="28 - Encerrado",O128="27 - Instalação concluída"),"Concluído",TODAY()-INT(W128)))</f>
        <v/>
      </c>
      <c r="Y128" s="90" t="str">
        <f aca="false">IF(OR(O128="28 - Encerrado",O128="27 - Instalação concluída"),"OK",IF(AND(B128&lt;&gt;"",S128=""),"ATENÇÃO (Sem data de atualização)",IF(S128="","",IF(S128&gt;30,"CRÍTICO (Sem Atualização &gt;30 dias)",IF(S128&gt;15,"ATENÇÃO (Sem Atualização &gt;15 dias)",IF(X128&gt;90,"CRÍTICO (Aberto &gt;90 dias)","OK"))))))</f>
        <v/>
      </c>
      <c r="Z128" s="90" t="str">
        <f aca="false">IF(B128="","",IF(OR(O128="27 - Instalação concluída",O128="28 - Encerrado"),"OK",IF(NOT(ISNUMBER(X128)),"",IF(X128&gt;365,"MUITO ANTIGO (&gt;1 ano)",IF(X128&gt;180,"ANTIGO (&gt;6 meses)",IF(X128&gt;90,"ATENÇÃO ANTIG. (&gt;3 meses)","OK"))))))</f>
        <v/>
      </c>
      <c r="AA128" s="86"/>
      <c r="AB128" s="69" t="str">
        <f aca="false">IF(AND(B128&lt;&gt;"",OR(T128="Pendente de Vistoria",T128="Não validada")),MAX($AB$1:$AB$127)+1,"")</f>
        <v/>
      </c>
      <c r="AC128" s="69" t="str">
        <f aca="false">IF(AND(B128&lt;&gt;"",OR(ISNUMBER(SEARCH("CTIN",P128)),U128="Alta",O128="07 - Relatório recebido — unidade apta",O128="11 - Orçamentos em análise técnica",O128="22 - Instalação/substituição autorizada")),MAX($AC$1:$AC$127)+1,"")</f>
        <v/>
      </c>
      <c r="AD128" s="69" t="str">
        <f aca="false">IF(AND(B128&lt;&gt;"",OR(ISNUMBER(SEARCH("CTO",P128)),LEFT(O128,2)="22",LEFT(O128,2)="23",LEFT(O128,2)="24",LEFT(O128,2)="25",LEFT(O128,2)="26",LEFT(O128,2)="27")),MAX($AD$1:$AD$127)+1,"")</f>
        <v/>
      </c>
      <c r="AE128" s="69" t="str">
        <f aca="false">IF(AND(B128&lt;&gt;"",D128=CONSULTA_UNIDADE!$B$4),MAX($AE$1:$AE$127)+1,"")</f>
        <v/>
      </c>
      <c r="AF128" s="69" t="str">
        <f aca="false">IF(AND(B128&lt;&gt;"",O128&lt;&gt;"27 - Instalação concluída",O128&lt;&gt;"28 - Encerrado",ISNUMBER(S128)),S128*1000+(1000-ROW()),"")</f>
        <v/>
      </c>
      <c r="AG128" s="69" t="str">
        <f aca="false">IF(AF128="","",RANK(AF128,$AF$2:$AF$500))</f>
        <v/>
      </c>
    </row>
    <row r="129" customFormat="false" ht="16.5" hidden="false" customHeight="true" outlineLevel="0" collapsed="false">
      <c r="A129" s="86"/>
      <c r="B129" s="86"/>
      <c r="C129" s="87" t="str">
        <f aca="false">IF(D129="","",IFERROR(INDEX(CADASTRO_VIVO_3CRE!$B$2:$B$150,MATCH(D129,CADASTRO_VIVO_3CRE!$E$2:$E$150,0)),""))</f>
        <v/>
      </c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8"/>
      <c r="S129" s="89" t="str">
        <f aca="true">IF(R129="","",TODAY()-INT(R129))</f>
        <v/>
      </c>
      <c r="T129" s="86"/>
      <c r="U129" s="86"/>
      <c r="V129" s="86"/>
      <c r="W129" s="88"/>
      <c r="X129" s="89" t="str">
        <f aca="true">IF(W129="","",IF(OR(O129="28 - Encerrado",O129="27 - Instalação concluída"),"Concluído",TODAY()-INT(W129)))</f>
        <v/>
      </c>
      <c r="Y129" s="90" t="str">
        <f aca="false">IF(OR(O129="28 - Encerrado",O129="27 - Instalação concluída"),"OK",IF(AND(B129&lt;&gt;"",S129=""),"ATENÇÃO (Sem data de atualização)",IF(S129="","",IF(S129&gt;30,"CRÍTICO (Sem Atualização &gt;30 dias)",IF(S129&gt;15,"ATENÇÃO (Sem Atualização &gt;15 dias)",IF(X129&gt;90,"CRÍTICO (Aberto &gt;90 dias)","OK"))))))</f>
        <v/>
      </c>
      <c r="Z129" s="90" t="str">
        <f aca="false">IF(B129="","",IF(OR(O129="27 - Instalação concluída",O129="28 - Encerrado"),"OK",IF(NOT(ISNUMBER(X129)),"",IF(X129&gt;365,"MUITO ANTIGO (&gt;1 ano)",IF(X129&gt;180,"ANTIGO (&gt;6 meses)",IF(X129&gt;90,"ATENÇÃO ANTIG. (&gt;3 meses)","OK"))))))</f>
        <v/>
      </c>
      <c r="AA129" s="86"/>
      <c r="AB129" s="69" t="str">
        <f aca="false">IF(AND(B129&lt;&gt;"",OR(T129="Pendente de Vistoria",T129="Não validada")),MAX($AB$1:$AB$128)+1,"")</f>
        <v/>
      </c>
      <c r="AC129" s="69" t="str">
        <f aca="false">IF(AND(B129&lt;&gt;"",OR(ISNUMBER(SEARCH("CTIN",P129)),U129="Alta",O129="07 - Relatório recebido — unidade apta",O129="11 - Orçamentos em análise técnica",O129="22 - Instalação/substituição autorizada")),MAX($AC$1:$AC$128)+1,"")</f>
        <v/>
      </c>
      <c r="AD129" s="69" t="str">
        <f aca="false">IF(AND(B129&lt;&gt;"",OR(ISNUMBER(SEARCH("CTO",P129)),LEFT(O129,2)="22",LEFT(O129,2)="23",LEFT(O129,2)="24",LEFT(O129,2)="25",LEFT(O129,2)="26",LEFT(O129,2)="27")),MAX($AD$1:$AD$128)+1,"")</f>
        <v/>
      </c>
      <c r="AE129" s="69" t="str">
        <f aca="false">IF(AND(B129&lt;&gt;"",D129=CONSULTA_UNIDADE!$B$4),MAX($AE$1:$AE$128)+1,"")</f>
        <v/>
      </c>
      <c r="AF129" s="69" t="str">
        <f aca="false">IF(AND(B129&lt;&gt;"",O129&lt;&gt;"27 - Instalação concluída",O129&lt;&gt;"28 - Encerrado",ISNUMBER(S129)),S129*1000+(1000-ROW()),"")</f>
        <v/>
      </c>
      <c r="AG129" s="69" t="str">
        <f aca="false">IF(AF129="","",RANK(AF129,$AF$2:$AF$500))</f>
        <v/>
      </c>
    </row>
    <row r="130" customFormat="false" ht="16.5" hidden="false" customHeight="true" outlineLevel="0" collapsed="false">
      <c r="A130" s="86"/>
      <c r="B130" s="86"/>
      <c r="C130" s="87" t="str">
        <f aca="false">IF(D130="","",IFERROR(INDEX(CADASTRO_VIVO_3CRE!$B$2:$B$150,MATCH(D130,CADASTRO_VIVO_3CRE!$E$2:$E$150,0)),""))</f>
        <v/>
      </c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8"/>
      <c r="S130" s="89" t="str">
        <f aca="true">IF(R130="","",TODAY()-INT(R130))</f>
        <v/>
      </c>
      <c r="T130" s="86"/>
      <c r="U130" s="86"/>
      <c r="V130" s="86"/>
      <c r="W130" s="88"/>
      <c r="X130" s="89" t="str">
        <f aca="true">IF(W130="","",IF(OR(O130="28 - Encerrado",O130="27 - Instalação concluída"),"Concluído",TODAY()-INT(W130)))</f>
        <v/>
      </c>
      <c r="Y130" s="90" t="str">
        <f aca="false">IF(OR(O130="28 - Encerrado",O130="27 - Instalação concluída"),"OK",IF(AND(B130&lt;&gt;"",S130=""),"ATENÇÃO (Sem data de atualização)",IF(S130="","",IF(S130&gt;30,"CRÍTICO (Sem Atualização &gt;30 dias)",IF(S130&gt;15,"ATENÇÃO (Sem Atualização &gt;15 dias)",IF(X130&gt;90,"CRÍTICO (Aberto &gt;90 dias)","OK"))))))</f>
        <v/>
      </c>
      <c r="Z130" s="90" t="str">
        <f aca="false">IF(B130="","",IF(OR(O130="27 - Instalação concluída",O130="28 - Encerrado"),"OK",IF(NOT(ISNUMBER(X130)),"",IF(X130&gt;365,"MUITO ANTIGO (&gt;1 ano)",IF(X130&gt;180,"ANTIGO (&gt;6 meses)",IF(X130&gt;90,"ATENÇÃO ANTIG. (&gt;3 meses)","OK"))))))</f>
        <v/>
      </c>
      <c r="AA130" s="86"/>
      <c r="AB130" s="69" t="str">
        <f aca="false">IF(AND(B130&lt;&gt;"",OR(T130="Pendente de Vistoria",T130="Não validada")),MAX($AB$1:$AB$129)+1,"")</f>
        <v/>
      </c>
      <c r="AC130" s="69" t="str">
        <f aca="false">IF(AND(B130&lt;&gt;"",OR(ISNUMBER(SEARCH("CTIN",P130)),U130="Alta",O130="07 - Relatório recebido — unidade apta",O130="11 - Orçamentos em análise técnica",O130="22 - Instalação/substituição autorizada")),MAX($AC$1:$AC$129)+1,"")</f>
        <v/>
      </c>
      <c r="AD130" s="69" t="str">
        <f aca="false">IF(AND(B130&lt;&gt;"",OR(ISNUMBER(SEARCH("CTO",P130)),LEFT(O130,2)="22",LEFT(O130,2)="23",LEFT(O130,2)="24",LEFT(O130,2)="25",LEFT(O130,2)="26",LEFT(O130,2)="27")),MAX($AD$1:$AD$129)+1,"")</f>
        <v/>
      </c>
      <c r="AE130" s="69" t="str">
        <f aca="false">IF(AND(B130&lt;&gt;"",D130=CONSULTA_UNIDADE!$B$4),MAX($AE$1:$AE$129)+1,"")</f>
        <v/>
      </c>
      <c r="AF130" s="69" t="str">
        <f aca="false">IF(AND(B130&lt;&gt;"",O130&lt;&gt;"27 - Instalação concluída",O130&lt;&gt;"28 - Encerrado",ISNUMBER(S130)),S130*1000+(1000-ROW()),"")</f>
        <v/>
      </c>
      <c r="AG130" s="69" t="str">
        <f aca="false">IF(AF130="","",RANK(AF130,$AF$2:$AF$500))</f>
        <v/>
      </c>
    </row>
    <row r="131" customFormat="false" ht="16.5" hidden="false" customHeight="true" outlineLevel="0" collapsed="false">
      <c r="A131" s="86"/>
      <c r="B131" s="86"/>
      <c r="C131" s="87" t="str">
        <f aca="false">IF(D131="","",IFERROR(INDEX(CADASTRO_VIVO_3CRE!$B$2:$B$150,MATCH(D131,CADASTRO_VIVO_3CRE!$E$2:$E$150,0)),""))</f>
        <v/>
      </c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8"/>
      <c r="S131" s="89" t="str">
        <f aca="true">IF(R131="","",TODAY()-INT(R131))</f>
        <v/>
      </c>
      <c r="T131" s="86"/>
      <c r="U131" s="86"/>
      <c r="V131" s="86"/>
      <c r="W131" s="88"/>
      <c r="X131" s="89" t="str">
        <f aca="true">IF(W131="","",IF(OR(O131="28 - Encerrado",O131="27 - Instalação concluída"),"Concluído",TODAY()-INT(W131)))</f>
        <v/>
      </c>
      <c r="Y131" s="90" t="str">
        <f aca="false">IF(OR(O131="28 - Encerrado",O131="27 - Instalação concluída"),"OK",IF(AND(B131&lt;&gt;"",S131=""),"ATENÇÃO (Sem data de atualização)",IF(S131="","",IF(S131&gt;30,"CRÍTICO (Sem Atualização &gt;30 dias)",IF(S131&gt;15,"ATENÇÃO (Sem Atualização &gt;15 dias)",IF(X131&gt;90,"CRÍTICO (Aberto &gt;90 dias)","OK"))))))</f>
        <v/>
      </c>
      <c r="Z131" s="90" t="str">
        <f aca="false">IF(B131="","",IF(OR(O131="27 - Instalação concluída",O131="28 - Encerrado"),"OK",IF(NOT(ISNUMBER(X131)),"",IF(X131&gt;365,"MUITO ANTIGO (&gt;1 ano)",IF(X131&gt;180,"ANTIGO (&gt;6 meses)",IF(X131&gt;90,"ATENÇÃO ANTIG. (&gt;3 meses)","OK"))))))</f>
        <v/>
      </c>
      <c r="AA131" s="86"/>
      <c r="AB131" s="69" t="str">
        <f aca="false">IF(AND(B131&lt;&gt;"",OR(T131="Pendente de Vistoria",T131="Não validada")),MAX($AB$1:$AB$130)+1,"")</f>
        <v/>
      </c>
      <c r="AC131" s="69" t="str">
        <f aca="false">IF(AND(B131&lt;&gt;"",OR(ISNUMBER(SEARCH("CTIN",P131)),U131="Alta",O131="07 - Relatório recebido — unidade apta",O131="11 - Orçamentos em análise técnica",O131="22 - Instalação/substituição autorizada")),MAX($AC$1:$AC$130)+1,"")</f>
        <v/>
      </c>
      <c r="AD131" s="69" t="str">
        <f aca="false">IF(AND(B131&lt;&gt;"",OR(ISNUMBER(SEARCH("CTO",P131)),LEFT(O131,2)="22",LEFT(O131,2)="23",LEFT(O131,2)="24",LEFT(O131,2)="25",LEFT(O131,2)="26",LEFT(O131,2)="27")),MAX($AD$1:$AD$130)+1,"")</f>
        <v/>
      </c>
      <c r="AE131" s="69" t="str">
        <f aca="false">IF(AND(B131&lt;&gt;"",D131=CONSULTA_UNIDADE!$B$4),MAX($AE$1:$AE$130)+1,"")</f>
        <v/>
      </c>
      <c r="AF131" s="69" t="str">
        <f aca="false">IF(AND(B131&lt;&gt;"",O131&lt;&gt;"27 - Instalação concluída",O131&lt;&gt;"28 - Encerrado",ISNUMBER(S131)),S131*1000+(1000-ROW()),"")</f>
        <v/>
      </c>
      <c r="AG131" s="69" t="str">
        <f aca="false">IF(AF131="","",RANK(AF131,$AF$2:$AF$500))</f>
        <v/>
      </c>
    </row>
    <row r="132" customFormat="false" ht="16.5" hidden="false" customHeight="true" outlineLevel="0" collapsed="false">
      <c r="A132" s="86"/>
      <c r="B132" s="86"/>
      <c r="C132" s="87" t="str">
        <f aca="false">IF(D132="","",IFERROR(INDEX(CADASTRO_VIVO_3CRE!$B$2:$B$150,MATCH(D132,CADASTRO_VIVO_3CRE!$E$2:$E$150,0)),""))</f>
        <v/>
      </c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8"/>
      <c r="S132" s="89" t="str">
        <f aca="true">IF(R132="","",TODAY()-INT(R132))</f>
        <v/>
      </c>
      <c r="T132" s="86"/>
      <c r="U132" s="86"/>
      <c r="V132" s="86"/>
      <c r="W132" s="88"/>
      <c r="X132" s="89" t="str">
        <f aca="true">IF(W132="","",IF(OR(O132="28 - Encerrado",O132="27 - Instalação concluída"),"Concluído",TODAY()-INT(W132)))</f>
        <v/>
      </c>
      <c r="Y132" s="90" t="str">
        <f aca="false">IF(OR(O132="28 - Encerrado",O132="27 - Instalação concluída"),"OK",IF(AND(B132&lt;&gt;"",S132=""),"ATENÇÃO (Sem data de atualização)",IF(S132="","",IF(S132&gt;30,"CRÍTICO (Sem Atualização &gt;30 dias)",IF(S132&gt;15,"ATENÇÃO (Sem Atualização &gt;15 dias)",IF(X132&gt;90,"CRÍTICO (Aberto &gt;90 dias)","OK"))))))</f>
        <v/>
      </c>
      <c r="Z132" s="90" t="str">
        <f aca="false">IF(B132="","",IF(OR(O132="27 - Instalação concluída",O132="28 - Encerrado"),"OK",IF(NOT(ISNUMBER(X132)),"",IF(X132&gt;365,"MUITO ANTIGO (&gt;1 ano)",IF(X132&gt;180,"ANTIGO (&gt;6 meses)",IF(X132&gt;90,"ATENÇÃO ANTIG. (&gt;3 meses)","OK"))))))</f>
        <v/>
      </c>
      <c r="AA132" s="86"/>
      <c r="AB132" s="69" t="str">
        <f aca="false">IF(AND(B132&lt;&gt;"",OR(T132="Pendente de Vistoria",T132="Não validada")),MAX($AB$1:$AB$131)+1,"")</f>
        <v/>
      </c>
      <c r="AC132" s="69" t="str">
        <f aca="false">IF(AND(B132&lt;&gt;"",OR(ISNUMBER(SEARCH("CTIN",P132)),U132="Alta",O132="07 - Relatório recebido — unidade apta",O132="11 - Orçamentos em análise técnica",O132="22 - Instalação/substituição autorizada")),MAX($AC$1:$AC$131)+1,"")</f>
        <v/>
      </c>
      <c r="AD132" s="69" t="str">
        <f aca="false">IF(AND(B132&lt;&gt;"",OR(ISNUMBER(SEARCH("CTO",P132)),LEFT(O132,2)="22",LEFT(O132,2)="23",LEFT(O132,2)="24",LEFT(O132,2)="25",LEFT(O132,2)="26",LEFT(O132,2)="27")),MAX($AD$1:$AD$131)+1,"")</f>
        <v/>
      </c>
      <c r="AE132" s="69" t="str">
        <f aca="false">IF(AND(B132&lt;&gt;"",D132=CONSULTA_UNIDADE!$B$4),MAX($AE$1:$AE$131)+1,"")</f>
        <v/>
      </c>
      <c r="AF132" s="69" t="str">
        <f aca="false">IF(AND(B132&lt;&gt;"",O132&lt;&gt;"27 - Instalação concluída",O132&lt;&gt;"28 - Encerrado",ISNUMBER(S132)),S132*1000+(1000-ROW()),"")</f>
        <v/>
      </c>
      <c r="AG132" s="69" t="str">
        <f aca="false">IF(AF132="","",RANK(AF132,$AF$2:$AF$500))</f>
        <v/>
      </c>
    </row>
    <row r="133" customFormat="false" ht="16.5" hidden="false" customHeight="true" outlineLevel="0" collapsed="false">
      <c r="A133" s="86"/>
      <c r="B133" s="86"/>
      <c r="C133" s="87" t="str">
        <f aca="false">IF(D133="","",IFERROR(INDEX(CADASTRO_VIVO_3CRE!$B$2:$B$150,MATCH(D133,CADASTRO_VIVO_3CRE!$E$2:$E$150,0)),""))</f>
        <v/>
      </c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8"/>
      <c r="S133" s="89" t="str">
        <f aca="true">IF(R133="","",TODAY()-INT(R133))</f>
        <v/>
      </c>
      <c r="T133" s="86"/>
      <c r="U133" s="86"/>
      <c r="V133" s="86"/>
      <c r="W133" s="88"/>
      <c r="X133" s="89" t="str">
        <f aca="true">IF(W133="","",IF(OR(O133="28 - Encerrado",O133="27 - Instalação concluída"),"Concluído",TODAY()-INT(W133)))</f>
        <v/>
      </c>
      <c r="Y133" s="90" t="str">
        <f aca="false">IF(OR(O133="28 - Encerrado",O133="27 - Instalação concluída"),"OK",IF(AND(B133&lt;&gt;"",S133=""),"ATENÇÃO (Sem data de atualização)",IF(S133="","",IF(S133&gt;30,"CRÍTICO (Sem Atualização &gt;30 dias)",IF(S133&gt;15,"ATENÇÃO (Sem Atualização &gt;15 dias)",IF(X133&gt;90,"CRÍTICO (Aberto &gt;90 dias)","OK"))))))</f>
        <v/>
      </c>
      <c r="Z133" s="90" t="str">
        <f aca="false">IF(B133="","",IF(OR(O133="27 - Instalação concluída",O133="28 - Encerrado"),"OK",IF(NOT(ISNUMBER(X133)),"",IF(X133&gt;365,"MUITO ANTIGO (&gt;1 ano)",IF(X133&gt;180,"ANTIGO (&gt;6 meses)",IF(X133&gt;90,"ATENÇÃO ANTIG. (&gt;3 meses)","OK"))))))</f>
        <v/>
      </c>
      <c r="AA133" s="86"/>
      <c r="AB133" s="69" t="str">
        <f aca="false">IF(AND(B133&lt;&gt;"",OR(T133="Pendente de Vistoria",T133="Não validada")),MAX($AB$1:$AB$132)+1,"")</f>
        <v/>
      </c>
      <c r="AC133" s="69" t="str">
        <f aca="false">IF(AND(B133&lt;&gt;"",OR(ISNUMBER(SEARCH("CTIN",P133)),U133="Alta",O133="07 - Relatório recebido — unidade apta",O133="11 - Orçamentos em análise técnica",O133="22 - Instalação/substituição autorizada")),MAX($AC$1:$AC$132)+1,"")</f>
        <v/>
      </c>
      <c r="AD133" s="69" t="str">
        <f aca="false">IF(AND(B133&lt;&gt;"",OR(ISNUMBER(SEARCH("CTO",P133)),LEFT(O133,2)="22",LEFT(O133,2)="23",LEFT(O133,2)="24",LEFT(O133,2)="25",LEFT(O133,2)="26",LEFT(O133,2)="27")),MAX($AD$1:$AD$132)+1,"")</f>
        <v/>
      </c>
      <c r="AE133" s="69" t="str">
        <f aca="false">IF(AND(B133&lt;&gt;"",D133=CONSULTA_UNIDADE!$B$4),MAX($AE$1:$AE$132)+1,"")</f>
        <v/>
      </c>
      <c r="AF133" s="69" t="str">
        <f aca="false">IF(AND(B133&lt;&gt;"",O133&lt;&gt;"27 - Instalação concluída",O133&lt;&gt;"28 - Encerrado",ISNUMBER(S133)),S133*1000+(1000-ROW()),"")</f>
        <v/>
      </c>
      <c r="AG133" s="69" t="str">
        <f aca="false">IF(AF133="","",RANK(AF133,$AF$2:$AF$500))</f>
        <v/>
      </c>
    </row>
    <row r="134" customFormat="false" ht="16.5" hidden="false" customHeight="true" outlineLevel="0" collapsed="false">
      <c r="A134" s="86"/>
      <c r="B134" s="86"/>
      <c r="C134" s="87" t="str">
        <f aca="false">IF(D134="","",IFERROR(INDEX(CADASTRO_VIVO_3CRE!$B$2:$B$150,MATCH(D134,CADASTRO_VIVO_3CRE!$E$2:$E$150,0)),""))</f>
        <v/>
      </c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8"/>
      <c r="S134" s="89" t="str">
        <f aca="true">IF(R134="","",TODAY()-INT(R134))</f>
        <v/>
      </c>
      <c r="T134" s="86"/>
      <c r="U134" s="86"/>
      <c r="V134" s="86"/>
      <c r="W134" s="88"/>
      <c r="X134" s="89" t="str">
        <f aca="true">IF(W134="","",IF(OR(O134="28 - Encerrado",O134="27 - Instalação concluída"),"Concluído",TODAY()-INT(W134)))</f>
        <v/>
      </c>
      <c r="Y134" s="90" t="str">
        <f aca="false">IF(OR(O134="28 - Encerrado",O134="27 - Instalação concluída"),"OK",IF(AND(B134&lt;&gt;"",S134=""),"ATENÇÃO (Sem data de atualização)",IF(S134="","",IF(S134&gt;30,"CRÍTICO (Sem Atualização &gt;30 dias)",IF(S134&gt;15,"ATENÇÃO (Sem Atualização &gt;15 dias)",IF(X134&gt;90,"CRÍTICO (Aberto &gt;90 dias)","OK"))))))</f>
        <v/>
      </c>
      <c r="Z134" s="90" t="str">
        <f aca="false">IF(B134="","",IF(OR(O134="27 - Instalação concluída",O134="28 - Encerrado"),"OK",IF(NOT(ISNUMBER(X134)),"",IF(X134&gt;365,"MUITO ANTIGO (&gt;1 ano)",IF(X134&gt;180,"ANTIGO (&gt;6 meses)",IF(X134&gt;90,"ATENÇÃO ANTIG. (&gt;3 meses)","OK"))))))</f>
        <v/>
      </c>
      <c r="AA134" s="86"/>
      <c r="AB134" s="69" t="str">
        <f aca="false">IF(AND(B134&lt;&gt;"",OR(T134="Pendente de Vistoria",T134="Não validada")),MAX($AB$1:$AB$133)+1,"")</f>
        <v/>
      </c>
      <c r="AC134" s="69" t="str">
        <f aca="false">IF(AND(B134&lt;&gt;"",OR(ISNUMBER(SEARCH("CTIN",P134)),U134="Alta",O134="07 - Relatório recebido — unidade apta",O134="11 - Orçamentos em análise técnica",O134="22 - Instalação/substituição autorizada")),MAX($AC$1:$AC$133)+1,"")</f>
        <v/>
      </c>
      <c r="AD134" s="69" t="str">
        <f aca="false">IF(AND(B134&lt;&gt;"",OR(ISNUMBER(SEARCH("CTO",P134)),LEFT(O134,2)="22",LEFT(O134,2)="23",LEFT(O134,2)="24",LEFT(O134,2)="25",LEFT(O134,2)="26",LEFT(O134,2)="27")),MAX($AD$1:$AD$133)+1,"")</f>
        <v/>
      </c>
      <c r="AE134" s="69" t="str">
        <f aca="false">IF(AND(B134&lt;&gt;"",D134=CONSULTA_UNIDADE!$B$4),MAX($AE$1:$AE$133)+1,"")</f>
        <v/>
      </c>
      <c r="AF134" s="69" t="str">
        <f aca="false">IF(AND(B134&lt;&gt;"",O134&lt;&gt;"27 - Instalação concluída",O134&lt;&gt;"28 - Encerrado",ISNUMBER(S134)),S134*1000+(1000-ROW()),"")</f>
        <v/>
      </c>
      <c r="AG134" s="69" t="str">
        <f aca="false">IF(AF134="","",RANK(AF134,$AF$2:$AF$500))</f>
        <v/>
      </c>
    </row>
    <row r="135" customFormat="false" ht="16.5" hidden="false" customHeight="true" outlineLevel="0" collapsed="false">
      <c r="A135" s="86"/>
      <c r="B135" s="86"/>
      <c r="C135" s="87" t="str">
        <f aca="false">IF(D135="","",IFERROR(INDEX(CADASTRO_VIVO_3CRE!$B$2:$B$150,MATCH(D135,CADASTRO_VIVO_3CRE!$E$2:$E$150,0)),""))</f>
        <v/>
      </c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8"/>
      <c r="S135" s="89" t="str">
        <f aca="true">IF(R135="","",TODAY()-INT(R135))</f>
        <v/>
      </c>
      <c r="T135" s="86"/>
      <c r="U135" s="86"/>
      <c r="V135" s="86"/>
      <c r="W135" s="88"/>
      <c r="X135" s="89" t="str">
        <f aca="true">IF(W135="","",IF(OR(O135="28 - Encerrado",O135="27 - Instalação concluída"),"Concluído",TODAY()-INT(W135)))</f>
        <v/>
      </c>
      <c r="Y135" s="90" t="str">
        <f aca="false">IF(OR(O135="28 - Encerrado",O135="27 - Instalação concluída"),"OK",IF(AND(B135&lt;&gt;"",S135=""),"ATENÇÃO (Sem data de atualização)",IF(S135="","",IF(S135&gt;30,"CRÍTICO (Sem Atualização &gt;30 dias)",IF(S135&gt;15,"ATENÇÃO (Sem Atualização &gt;15 dias)",IF(X135&gt;90,"CRÍTICO (Aberto &gt;90 dias)","OK"))))))</f>
        <v/>
      </c>
      <c r="Z135" s="90" t="str">
        <f aca="false">IF(B135="","",IF(OR(O135="27 - Instalação concluída",O135="28 - Encerrado"),"OK",IF(NOT(ISNUMBER(X135)),"",IF(X135&gt;365,"MUITO ANTIGO (&gt;1 ano)",IF(X135&gt;180,"ANTIGO (&gt;6 meses)",IF(X135&gt;90,"ATENÇÃO ANTIG. (&gt;3 meses)","OK"))))))</f>
        <v/>
      </c>
      <c r="AA135" s="86"/>
      <c r="AB135" s="69" t="str">
        <f aca="false">IF(AND(B135&lt;&gt;"",OR(T135="Pendente de Vistoria",T135="Não validada")),MAX($AB$1:$AB$134)+1,"")</f>
        <v/>
      </c>
      <c r="AC135" s="69" t="str">
        <f aca="false">IF(AND(B135&lt;&gt;"",OR(ISNUMBER(SEARCH("CTIN",P135)),U135="Alta",O135="07 - Relatório recebido — unidade apta",O135="11 - Orçamentos em análise técnica",O135="22 - Instalação/substituição autorizada")),MAX($AC$1:$AC$134)+1,"")</f>
        <v/>
      </c>
      <c r="AD135" s="69" t="str">
        <f aca="false">IF(AND(B135&lt;&gt;"",OR(ISNUMBER(SEARCH("CTO",P135)),LEFT(O135,2)="22",LEFT(O135,2)="23",LEFT(O135,2)="24",LEFT(O135,2)="25",LEFT(O135,2)="26",LEFT(O135,2)="27")),MAX($AD$1:$AD$134)+1,"")</f>
        <v/>
      </c>
      <c r="AE135" s="69" t="str">
        <f aca="false">IF(AND(B135&lt;&gt;"",D135=CONSULTA_UNIDADE!$B$4),MAX($AE$1:$AE$134)+1,"")</f>
        <v/>
      </c>
      <c r="AF135" s="69" t="str">
        <f aca="false">IF(AND(B135&lt;&gt;"",O135&lt;&gt;"27 - Instalação concluída",O135&lt;&gt;"28 - Encerrado",ISNUMBER(S135)),S135*1000+(1000-ROW()),"")</f>
        <v/>
      </c>
      <c r="AG135" s="69" t="str">
        <f aca="false">IF(AF135="","",RANK(AF135,$AF$2:$AF$500))</f>
        <v/>
      </c>
    </row>
    <row r="136" customFormat="false" ht="16.5" hidden="false" customHeight="true" outlineLevel="0" collapsed="false">
      <c r="A136" s="86"/>
      <c r="B136" s="86"/>
      <c r="C136" s="87" t="str">
        <f aca="false">IF(D136="","",IFERROR(INDEX(CADASTRO_VIVO_3CRE!$B$2:$B$150,MATCH(D136,CADASTRO_VIVO_3CRE!$E$2:$E$150,0)),""))</f>
        <v/>
      </c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8"/>
      <c r="S136" s="89" t="str">
        <f aca="true">IF(R136="","",TODAY()-INT(R136))</f>
        <v/>
      </c>
      <c r="T136" s="86"/>
      <c r="U136" s="86"/>
      <c r="V136" s="86"/>
      <c r="W136" s="88"/>
      <c r="X136" s="89" t="str">
        <f aca="true">IF(W136="","",IF(OR(O136="28 - Encerrado",O136="27 - Instalação concluída"),"Concluído",TODAY()-INT(W136)))</f>
        <v/>
      </c>
      <c r="Y136" s="90" t="str">
        <f aca="false">IF(OR(O136="28 - Encerrado",O136="27 - Instalação concluída"),"OK",IF(AND(B136&lt;&gt;"",S136=""),"ATENÇÃO (Sem data de atualização)",IF(S136="","",IF(S136&gt;30,"CRÍTICO (Sem Atualização &gt;30 dias)",IF(S136&gt;15,"ATENÇÃO (Sem Atualização &gt;15 dias)",IF(X136&gt;90,"CRÍTICO (Aberto &gt;90 dias)","OK"))))))</f>
        <v/>
      </c>
      <c r="Z136" s="90" t="str">
        <f aca="false">IF(B136="","",IF(OR(O136="27 - Instalação concluída",O136="28 - Encerrado"),"OK",IF(NOT(ISNUMBER(X136)),"",IF(X136&gt;365,"MUITO ANTIGO (&gt;1 ano)",IF(X136&gt;180,"ANTIGO (&gt;6 meses)",IF(X136&gt;90,"ATENÇÃO ANTIG. (&gt;3 meses)","OK"))))))</f>
        <v/>
      </c>
      <c r="AA136" s="86"/>
      <c r="AB136" s="69" t="str">
        <f aca="false">IF(AND(B136&lt;&gt;"",OR(T136="Pendente de Vistoria",T136="Não validada")),MAX($AB$1:$AB$135)+1,"")</f>
        <v/>
      </c>
      <c r="AC136" s="69" t="str">
        <f aca="false">IF(AND(B136&lt;&gt;"",OR(ISNUMBER(SEARCH("CTIN",P136)),U136="Alta",O136="07 - Relatório recebido — unidade apta",O136="11 - Orçamentos em análise técnica",O136="22 - Instalação/substituição autorizada")),MAX($AC$1:$AC$135)+1,"")</f>
        <v/>
      </c>
      <c r="AD136" s="69" t="str">
        <f aca="false">IF(AND(B136&lt;&gt;"",OR(ISNUMBER(SEARCH("CTO",P136)),LEFT(O136,2)="22",LEFT(O136,2)="23",LEFT(O136,2)="24",LEFT(O136,2)="25",LEFT(O136,2)="26",LEFT(O136,2)="27")),MAX($AD$1:$AD$135)+1,"")</f>
        <v/>
      </c>
      <c r="AE136" s="69" t="str">
        <f aca="false">IF(AND(B136&lt;&gt;"",D136=CONSULTA_UNIDADE!$B$4),MAX($AE$1:$AE$135)+1,"")</f>
        <v/>
      </c>
      <c r="AF136" s="69" t="str">
        <f aca="false">IF(AND(B136&lt;&gt;"",O136&lt;&gt;"27 - Instalação concluída",O136&lt;&gt;"28 - Encerrado",ISNUMBER(S136)),S136*1000+(1000-ROW()),"")</f>
        <v/>
      </c>
      <c r="AG136" s="69" t="str">
        <f aca="false">IF(AF136="","",RANK(AF136,$AF$2:$AF$500))</f>
        <v/>
      </c>
    </row>
    <row r="137" customFormat="false" ht="16.5" hidden="false" customHeight="true" outlineLevel="0" collapsed="false">
      <c r="A137" s="86"/>
      <c r="B137" s="86"/>
      <c r="C137" s="87" t="str">
        <f aca="false">IF(D137="","",IFERROR(INDEX(CADASTRO_VIVO_3CRE!$B$2:$B$150,MATCH(D137,CADASTRO_VIVO_3CRE!$E$2:$E$150,0)),""))</f>
        <v/>
      </c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8"/>
      <c r="S137" s="89" t="str">
        <f aca="true">IF(R137="","",TODAY()-INT(R137))</f>
        <v/>
      </c>
      <c r="T137" s="86"/>
      <c r="U137" s="86"/>
      <c r="V137" s="86"/>
      <c r="W137" s="88"/>
      <c r="X137" s="89" t="str">
        <f aca="true">IF(W137="","",IF(OR(O137="28 - Encerrado",O137="27 - Instalação concluída"),"Concluído",TODAY()-INT(W137)))</f>
        <v/>
      </c>
      <c r="Y137" s="90" t="str">
        <f aca="false">IF(OR(O137="28 - Encerrado",O137="27 - Instalação concluída"),"OK",IF(AND(B137&lt;&gt;"",S137=""),"ATENÇÃO (Sem data de atualização)",IF(S137="","",IF(S137&gt;30,"CRÍTICO (Sem Atualização &gt;30 dias)",IF(S137&gt;15,"ATENÇÃO (Sem Atualização &gt;15 dias)",IF(X137&gt;90,"CRÍTICO (Aberto &gt;90 dias)","OK"))))))</f>
        <v/>
      </c>
      <c r="Z137" s="90" t="str">
        <f aca="false">IF(B137="","",IF(OR(O137="27 - Instalação concluída",O137="28 - Encerrado"),"OK",IF(NOT(ISNUMBER(X137)),"",IF(X137&gt;365,"MUITO ANTIGO (&gt;1 ano)",IF(X137&gt;180,"ANTIGO (&gt;6 meses)",IF(X137&gt;90,"ATENÇÃO ANTIG. (&gt;3 meses)","OK"))))))</f>
        <v/>
      </c>
      <c r="AA137" s="86"/>
      <c r="AB137" s="69" t="str">
        <f aca="false">IF(AND(B137&lt;&gt;"",OR(T137="Pendente de Vistoria",T137="Não validada")),MAX($AB$1:$AB$136)+1,"")</f>
        <v/>
      </c>
      <c r="AC137" s="69" t="str">
        <f aca="false">IF(AND(B137&lt;&gt;"",OR(ISNUMBER(SEARCH("CTIN",P137)),U137="Alta",O137="07 - Relatório recebido — unidade apta",O137="11 - Orçamentos em análise técnica",O137="22 - Instalação/substituição autorizada")),MAX($AC$1:$AC$136)+1,"")</f>
        <v/>
      </c>
      <c r="AD137" s="69" t="str">
        <f aca="false">IF(AND(B137&lt;&gt;"",OR(ISNUMBER(SEARCH("CTO",P137)),LEFT(O137,2)="22",LEFT(O137,2)="23",LEFT(O137,2)="24",LEFT(O137,2)="25",LEFT(O137,2)="26",LEFT(O137,2)="27")),MAX($AD$1:$AD$136)+1,"")</f>
        <v/>
      </c>
      <c r="AE137" s="69" t="str">
        <f aca="false">IF(AND(B137&lt;&gt;"",D137=CONSULTA_UNIDADE!$B$4),MAX($AE$1:$AE$136)+1,"")</f>
        <v/>
      </c>
      <c r="AF137" s="69" t="str">
        <f aca="false">IF(AND(B137&lt;&gt;"",O137&lt;&gt;"27 - Instalação concluída",O137&lt;&gt;"28 - Encerrado",ISNUMBER(S137)),S137*1000+(1000-ROW()),"")</f>
        <v/>
      </c>
      <c r="AG137" s="69" t="str">
        <f aca="false">IF(AF137="","",RANK(AF137,$AF$2:$AF$500))</f>
        <v/>
      </c>
    </row>
    <row r="138" customFormat="false" ht="16.5" hidden="false" customHeight="true" outlineLevel="0" collapsed="false">
      <c r="A138" s="86"/>
      <c r="B138" s="86"/>
      <c r="C138" s="87" t="str">
        <f aca="false">IF(D138="","",IFERROR(INDEX(CADASTRO_VIVO_3CRE!$B$2:$B$150,MATCH(D138,CADASTRO_VIVO_3CRE!$E$2:$E$150,0)),""))</f>
        <v/>
      </c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8"/>
      <c r="S138" s="89" t="str">
        <f aca="true">IF(R138="","",TODAY()-INT(R138))</f>
        <v/>
      </c>
      <c r="T138" s="86"/>
      <c r="U138" s="86"/>
      <c r="V138" s="86"/>
      <c r="W138" s="88"/>
      <c r="X138" s="89" t="str">
        <f aca="true">IF(W138="","",IF(OR(O138="28 - Encerrado",O138="27 - Instalação concluída"),"Concluído",TODAY()-INT(W138)))</f>
        <v/>
      </c>
      <c r="Y138" s="90" t="str">
        <f aca="false">IF(OR(O138="28 - Encerrado",O138="27 - Instalação concluída"),"OK",IF(AND(B138&lt;&gt;"",S138=""),"ATENÇÃO (Sem data de atualização)",IF(S138="","",IF(S138&gt;30,"CRÍTICO (Sem Atualização &gt;30 dias)",IF(S138&gt;15,"ATENÇÃO (Sem Atualização &gt;15 dias)",IF(X138&gt;90,"CRÍTICO (Aberto &gt;90 dias)","OK"))))))</f>
        <v/>
      </c>
      <c r="Z138" s="90" t="str">
        <f aca="false">IF(B138="","",IF(OR(O138="27 - Instalação concluída",O138="28 - Encerrado"),"OK",IF(NOT(ISNUMBER(X138)),"",IF(X138&gt;365,"MUITO ANTIGO (&gt;1 ano)",IF(X138&gt;180,"ANTIGO (&gt;6 meses)",IF(X138&gt;90,"ATENÇÃO ANTIG. (&gt;3 meses)","OK"))))))</f>
        <v/>
      </c>
      <c r="AA138" s="86"/>
      <c r="AB138" s="69" t="str">
        <f aca="false">IF(AND(B138&lt;&gt;"",OR(T138="Pendente de Vistoria",T138="Não validada")),MAX($AB$1:$AB$137)+1,"")</f>
        <v/>
      </c>
      <c r="AC138" s="69" t="str">
        <f aca="false">IF(AND(B138&lt;&gt;"",OR(ISNUMBER(SEARCH("CTIN",P138)),U138="Alta",O138="07 - Relatório recebido — unidade apta",O138="11 - Orçamentos em análise técnica",O138="22 - Instalação/substituição autorizada")),MAX($AC$1:$AC$137)+1,"")</f>
        <v/>
      </c>
      <c r="AD138" s="69" t="str">
        <f aca="false">IF(AND(B138&lt;&gt;"",OR(ISNUMBER(SEARCH("CTO",P138)),LEFT(O138,2)="22",LEFT(O138,2)="23",LEFT(O138,2)="24",LEFT(O138,2)="25",LEFT(O138,2)="26",LEFT(O138,2)="27")),MAX($AD$1:$AD$137)+1,"")</f>
        <v/>
      </c>
      <c r="AE138" s="69" t="str">
        <f aca="false">IF(AND(B138&lt;&gt;"",D138=CONSULTA_UNIDADE!$B$4),MAX($AE$1:$AE$137)+1,"")</f>
        <v/>
      </c>
      <c r="AF138" s="69" t="str">
        <f aca="false">IF(AND(B138&lt;&gt;"",O138&lt;&gt;"27 - Instalação concluída",O138&lt;&gt;"28 - Encerrado",ISNUMBER(S138)),S138*1000+(1000-ROW()),"")</f>
        <v/>
      </c>
      <c r="AG138" s="69" t="str">
        <f aca="false">IF(AF138="","",RANK(AF138,$AF$2:$AF$500))</f>
        <v/>
      </c>
    </row>
    <row r="139" customFormat="false" ht="16.5" hidden="false" customHeight="true" outlineLevel="0" collapsed="false">
      <c r="A139" s="86"/>
      <c r="B139" s="86"/>
      <c r="C139" s="87" t="str">
        <f aca="false">IF(D139="","",IFERROR(INDEX(CADASTRO_VIVO_3CRE!$B$2:$B$150,MATCH(D139,CADASTRO_VIVO_3CRE!$E$2:$E$150,0)),""))</f>
        <v/>
      </c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8"/>
      <c r="S139" s="89" t="str">
        <f aca="true">IF(R139="","",TODAY()-INT(R139))</f>
        <v/>
      </c>
      <c r="T139" s="86"/>
      <c r="U139" s="86"/>
      <c r="V139" s="86"/>
      <c r="W139" s="88"/>
      <c r="X139" s="89" t="str">
        <f aca="true">IF(W139="","",IF(OR(O139="28 - Encerrado",O139="27 - Instalação concluída"),"Concluído",TODAY()-INT(W139)))</f>
        <v/>
      </c>
      <c r="Y139" s="90" t="str">
        <f aca="false">IF(OR(O139="28 - Encerrado",O139="27 - Instalação concluída"),"OK",IF(AND(B139&lt;&gt;"",S139=""),"ATENÇÃO (Sem data de atualização)",IF(S139="","",IF(S139&gt;30,"CRÍTICO (Sem Atualização &gt;30 dias)",IF(S139&gt;15,"ATENÇÃO (Sem Atualização &gt;15 dias)",IF(X139&gt;90,"CRÍTICO (Aberto &gt;90 dias)","OK"))))))</f>
        <v/>
      </c>
      <c r="Z139" s="90" t="str">
        <f aca="false">IF(B139="","",IF(OR(O139="27 - Instalação concluída",O139="28 - Encerrado"),"OK",IF(NOT(ISNUMBER(X139)),"",IF(X139&gt;365,"MUITO ANTIGO (&gt;1 ano)",IF(X139&gt;180,"ANTIGO (&gt;6 meses)",IF(X139&gt;90,"ATENÇÃO ANTIG. (&gt;3 meses)","OK"))))))</f>
        <v/>
      </c>
      <c r="AA139" s="86"/>
      <c r="AB139" s="69" t="str">
        <f aca="false">IF(AND(B139&lt;&gt;"",OR(T139="Pendente de Vistoria",T139="Não validada")),MAX($AB$1:$AB$138)+1,"")</f>
        <v/>
      </c>
      <c r="AC139" s="69" t="str">
        <f aca="false">IF(AND(B139&lt;&gt;"",OR(ISNUMBER(SEARCH("CTIN",P139)),U139="Alta",O139="07 - Relatório recebido — unidade apta",O139="11 - Orçamentos em análise técnica",O139="22 - Instalação/substituição autorizada")),MAX($AC$1:$AC$138)+1,"")</f>
        <v/>
      </c>
      <c r="AD139" s="69" t="str">
        <f aca="false">IF(AND(B139&lt;&gt;"",OR(ISNUMBER(SEARCH("CTO",P139)),LEFT(O139,2)="22",LEFT(O139,2)="23",LEFT(O139,2)="24",LEFT(O139,2)="25",LEFT(O139,2)="26",LEFT(O139,2)="27")),MAX($AD$1:$AD$138)+1,"")</f>
        <v/>
      </c>
      <c r="AE139" s="69" t="str">
        <f aca="false">IF(AND(B139&lt;&gt;"",D139=CONSULTA_UNIDADE!$B$4),MAX($AE$1:$AE$138)+1,"")</f>
        <v/>
      </c>
      <c r="AF139" s="69" t="str">
        <f aca="false">IF(AND(B139&lt;&gt;"",O139&lt;&gt;"27 - Instalação concluída",O139&lt;&gt;"28 - Encerrado",ISNUMBER(S139)),S139*1000+(1000-ROW()),"")</f>
        <v/>
      </c>
      <c r="AG139" s="69" t="str">
        <f aca="false">IF(AF139="","",RANK(AF139,$AF$2:$AF$500))</f>
        <v/>
      </c>
    </row>
    <row r="140" customFormat="false" ht="16.5" hidden="false" customHeight="true" outlineLevel="0" collapsed="false">
      <c r="A140" s="86"/>
      <c r="B140" s="86"/>
      <c r="C140" s="87" t="str">
        <f aca="false">IF(D140="","",IFERROR(INDEX(CADASTRO_VIVO_3CRE!$B$2:$B$150,MATCH(D140,CADASTRO_VIVO_3CRE!$E$2:$E$150,0)),""))</f>
        <v/>
      </c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8"/>
      <c r="S140" s="89" t="str">
        <f aca="true">IF(R140="","",TODAY()-INT(R140))</f>
        <v/>
      </c>
      <c r="T140" s="86"/>
      <c r="U140" s="86"/>
      <c r="V140" s="86"/>
      <c r="W140" s="88"/>
      <c r="X140" s="89" t="str">
        <f aca="true">IF(W140="","",IF(OR(O140="28 - Encerrado",O140="27 - Instalação concluída"),"Concluído",TODAY()-INT(W140)))</f>
        <v/>
      </c>
      <c r="Y140" s="90" t="str">
        <f aca="false">IF(OR(O140="28 - Encerrado",O140="27 - Instalação concluída"),"OK",IF(AND(B140&lt;&gt;"",S140=""),"ATENÇÃO (Sem data de atualização)",IF(S140="","",IF(S140&gt;30,"CRÍTICO (Sem Atualização &gt;30 dias)",IF(S140&gt;15,"ATENÇÃO (Sem Atualização &gt;15 dias)",IF(X140&gt;90,"CRÍTICO (Aberto &gt;90 dias)","OK"))))))</f>
        <v/>
      </c>
      <c r="Z140" s="90" t="str">
        <f aca="false">IF(B140="","",IF(OR(O140="27 - Instalação concluída",O140="28 - Encerrado"),"OK",IF(NOT(ISNUMBER(X140)),"",IF(X140&gt;365,"MUITO ANTIGO (&gt;1 ano)",IF(X140&gt;180,"ANTIGO (&gt;6 meses)",IF(X140&gt;90,"ATENÇÃO ANTIG. (&gt;3 meses)","OK"))))))</f>
        <v/>
      </c>
      <c r="AA140" s="86"/>
      <c r="AB140" s="69" t="str">
        <f aca="false">IF(AND(B140&lt;&gt;"",OR(T140="Pendente de Vistoria",T140="Não validada")),MAX($AB$1:$AB$139)+1,"")</f>
        <v/>
      </c>
      <c r="AC140" s="69" t="str">
        <f aca="false">IF(AND(B140&lt;&gt;"",OR(ISNUMBER(SEARCH("CTIN",P140)),U140="Alta",O140="07 - Relatório recebido — unidade apta",O140="11 - Orçamentos em análise técnica",O140="22 - Instalação/substituição autorizada")),MAX($AC$1:$AC$139)+1,"")</f>
        <v/>
      </c>
      <c r="AD140" s="69" t="str">
        <f aca="false">IF(AND(B140&lt;&gt;"",OR(ISNUMBER(SEARCH("CTO",P140)),LEFT(O140,2)="22",LEFT(O140,2)="23",LEFT(O140,2)="24",LEFT(O140,2)="25",LEFT(O140,2)="26",LEFT(O140,2)="27")),MAX($AD$1:$AD$139)+1,"")</f>
        <v/>
      </c>
      <c r="AE140" s="69" t="str">
        <f aca="false">IF(AND(B140&lt;&gt;"",D140=CONSULTA_UNIDADE!$B$4),MAX($AE$1:$AE$139)+1,"")</f>
        <v/>
      </c>
      <c r="AF140" s="69" t="str">
        <f aca="false">IF(AND(B140&lt;&gt;"",O140&lt;&gt;"27 - Instalação concluída",O140&lt;&gt;"28 - Encerrado",ISNUMBER(S140)),S140*1000+(1000-ROW()),"")</f>
        <v/>
      </c>
      <c r="AG140" s="69" t="str">
        <f aca="false">IF(AF140="","",RANK(AF140,$AF$2:$AF$500))</f>
        <v/>
      </c>
    </row>
    <row r="141" customFormat="false" ht="16.5" hidden="false" customHeight="true" outlineLevel="0" collapsed="false">
      <c r="A141" s="86"/>
      <c r="B141" s="86"/>
      <c r="C141" s="87" t="str">
        <f aca="false">IF(D141="","",IFERROR(INDEX(CADASTRO_VIVO_3CRE!$B$2:$B$150,MATCH(D141,CADASTRO_VIVO_3CRE!$E$2:$E$150,0)),""))</f>
        <v/>
      </c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8"/>
      <c r="S141" s="89" t="str">
        <f aca="true">IF(R141="","",TODAY()-INT(R141))</f>
        <v/>
      </c>
      <c r="T141" s="86"/>
      <c r="U141" s="86"/>
      <c r="V141" s="86"/>
      <c r="W141" s="88"/>
      <c r="X141" s="89" t="str">
        <f aca="true">IF(W141="","",IF(OR(O141="28 - Encerrado",O141="27 - Instalação concluída"),"Concluído",TODAY()-INT(W141)))</f>
        <v/>
      </c>
      <c r="Y141" s="90" t="str">
        <f aca="false">IF(OR(O141="28 - Encerrado",O141="27 - Instalação concluída"),"OK",IF(AND(B141&lt;&gt;"",S141=""),"ATENÇÃO (Sem data de atualização)",IF(S141="","",IF(S141&gt;30,"CRÍTICO (Sem Atualização &gt;30 dias)",IF(S141&gt;15,"ATENÇÃO (Sem Atualização &gt;15 dias)",IF(X141&gt;90,"CRÍTICO (Aberto &gt;90 dias)","OK"))))))</f>
        <v/>
      </c>
      <c r="Z141" s="90" t="str">
        <f aca="false">IF(B141="","",IF(OR(O141="27 - Instalação concluída",O141="28 - Encerrado"),"OK",IF(NOT(ISNUMBER(X141)),"",IF(X141&gt;365,"MUITO ANTIGO (&gt;1 ano)",IF(X141&gt;180,"ANTIGO (&gt;6 meses)",IF(X141&gt;90,"ATENÇÃO ANTIG. (&gt;3 meses)","OK"))))))</f>
        <v/>
      </c>
      <c r="AA141" s="86"/>
      <c r="AB141" s="69" t="str">
        <f aca="false">IF(AND(B141&lt;&gt;"",OR(T141="Pendente de Vistoria",T141="Não validada")),MAX($AB$1:$AB$140)+1,"")</f>
        <v/>
      </c>
      <c r="AC141" s="69" t="str">
        <f aca="false">IF(AND(B141&lt;&gt;"",OR(ISNUMBER(SEARCH("CTIN",P141)),U141="Alta",O141="07 - Relatório recebido — unidade apta",O141="11 - Orçamentos em análise técnica",O141="22 - Instalação/substituição autorizada")),MAX($AC$1:$AC$140)+1,"")</f>
        <v/>
      </c>
      <c r="AD141" s="69" t="str">
        <f aca="false">IF(AND(B141&lt;&gt;"",OR(ISNUMBER(SEARCH("CTO",P141)),LEFT(O141,2)="22",LEFT(O141,2)="23",LEFT(O141,2)="24",LEFT(O141,2)="25",LEFT(O141,2)="26",LEFT(O141,2)="27")),MAX($AD$1:$AD$140)+1,"")</f>
        <v/>
      </c>
      <c r="AE141" s="69" t="str">
        <f aca="false">IF(AND(B141&lt;&gt;"",D141=CONSULTA_UNIDADE!$B$4),MAX($AE$1:$AE$140)+1,"")</f>
        <v/>
      </c>
      <c r="AF141" s="69" t="str">
        <f aca="false">IF(AND(B141&lt;&gt;"",O141&lt;&gt;"27 - Instalação concluída",O141&lt;&gt;"28 - Encerrado",ISNUMBER(S141)),S141*1000+(1000-ROW()),"")</f>
        <v/>
      </c>
      <c r="AG141" s="69" t="str">
        <f aca="false">IF(AF141="","",RANK(AF141,$AF$2:$AF$500))</f>
        <v/>
      </c>
    </row>
    <row r="142" customFormat="false" ht="16.5" hidden="false" customHeight="true" outlineLevel="0" collapsed="false">
      <c r="A142" s="86"/>
      <c r="B142" s="86"/>
      <c r="C142" s="87" t="str">
        <f aca="false">IF(D142="","",IFERROR(INDEX(CADASTRO_VIVO_3CRE!$B$2:$B$150,MATCH(D142,CADASTRO_VIVO_3CRE!$E$2:$E$150,0)),""))</f>
        <v/>
      </c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8"/>
      <c r="S142" s="89" t="str">
        <f aca="true">IF(R142="","",TODAY()-INT(R142))</f>
        <v/>
      </c>
      <c r="T142" s="86"/>
      <c r="U142" s="86"/>
      <c r="V142" s="86"/>
      <c r="W142" s="88"/>
      <c r="X142" s="89" t="str">
        <f aca="true">IF(W142="","",IF(OR(O142="28 - Encerrado",O142="27 - Instalação concluída"),"Concluído",TODAY()-INT(W142)))</f>
        <v/>
      </c>
      <c r="Y142" s="90" t="str">
        <f aca="false">IF(OR(O142="28 - Encerrado",O142="27 - Instalação concluída"),"OK",IF(AND(B142&lt;&gt;"",S142=""),"ATENÇÃO (Sem data de atualização)",IF(S142="","",IF(S142&gt;30,"CRÍTICO (Sem Atualização &gt;30 dias)",IF(S142&gt;15,"ATENÇÃO (Sem Atualização &gt;15 dias)",IF(X142&gt;90,"CRÍTICO (Aberto &gt;90 dias)","OK"))))))</f>
        <v/>
      </c>
      <c r="Z142" s="90" t="str">
        <f aca="false">IF(B142="","",IF(OR(O142="27 - Instalação concluída",O142="28 - Encerrado"),"OK",IF(NOT(ISNUMBER(X142)),"",IF(X142&gt;365,"MUITO ANTIGO (&gt;1 ano)",IF(X142&gt;180,"ANTIGO (&gt;6 meses)",IF(X142&gt;90,"ATENÇÃO ANTIG. (&gt;3 meses)","OK"))))))</f>
        <v/>
      </c>
      <c r="AA142" s="86"/>
      <c r="AB142" s="69" t="str">
        <f aca="false">IF(AND(B142&lt;&gt;"",OR(T142="Pendente de Vistoria",T142="Não validada")),MAX($AB$1:$AB$141)+1,"")</f>
        <v/>
      </c>
      <c r="AC142" s="69" t="str">
        <f aca="false">IF(AND(B142&lt;&gt;"",OR(ISNUMBER(SEARCH("CTIN",P142)),U142="Alta",O142="07 - Relatório recebido — unidade apta",O142="11 - Orçamentos em análise técnica",O142="22 - Instalação/substituição autorizada")),MAX($AC$1:$AC$141)+1,"")</f>
        <v/>
      </c>
      <c r="AD142" s="69" t="str">
        <f aca="false">IF(AND(B142&lt;&gt;"",OR(ISNUMBER(SEARCH("CTO",P142)),LEFT(O142,2)="22",LEFT(O142,2)="23",LEFT(O142,2)="24",LEFT(O142,2)="25",LEFT(O142,2)="26",LEFT(O142,2)="27")),MAX($AD$1:$AD$141)+1,"")</f>
        <v/>
      </c>
      <c r="AE142" s="69" t="str">
        <f aca="false">IF(AND(B142&lt;&gt;"",D142=CONSULTA_UNIDADE!$B$4),MAX($AE$1:$AE$141)+1,"")</f>
        <v/>
      </c>
      <c r="AF142" s="69" t="str">
        <f aca="false">IF(AND(B142&lt;&gt;"",O142&lt;&gt;"27 - Instalação concluída",O142&lt;&gt;"28 - Encerrado",ISNUMBER(S142)),S142*1000+(1000-ROW()),"")</f>
        <v/>
      </c>
      <c r="AG142" s="69" t="str">
        <f aca="false">IF(AF142="","",RANK(AF142,$AF$2:$AF$500))</f>
        <v/>
      </c>
    </row>
    <row r="143" customFormat="false" ht="16.5" hidden="false" customHeight="true" outlineLevel="0" collapsed="false">
      <c r="A143" s="86"/>
      <c r="B143" s="86"/>
      <c r="C143" s="87" t="str">
        <f aca="false">IF(D143="","",IFERROR(INDEX(CADASTRO_VIVO_3CRE!$B$2:$B$150,MATCH(D143,CADASTRO_VIVO_3CRE!$E$2:$E$150,0)),""))</f>
        <v/>
      </c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8"/>
      <c r="S143" s="89" t="str">
        <f aca="true">IF(R143="","",TODAY()-INT(R143))</f>
        <v/>
      </c>
      <c r="T143" s="86"/>
      <c r="U143" s="86"/>
      <c r="V143" s="86"/>
      <c r="W143" s="88"/>
      <c r="X143" s="89" t="str">
        <f aca="true">IF(W143="","",IF(OR(O143="28 - Encerrado",O143="27 - Instalação concluída"),"Concluído",TODAY()-INT(W143)))</f>
        <v/>
      </c>
      <c r="Y143" s="90" t="str">
        <f aca="false">IF(OR(O143="28 - Encerrado",O143="27 - Instalação concluída"),"OK",IF(AND(B143&lt;&gt;"",S143=""),"ATENÇÃO (Sem data de atualização)",IF(S143="","",IF(S143&gt;30,"CRÍTICO (Sem Atualização &gt;30 dias)",IF(S143&gt;15,"ATENÇÃO (Sem Atualização &gt;15 dias)",IF(X143&gt;90,"CRÍTICO (Aberto &gt;90 dias)","OK"))))))</f>
        <v/>
      </c>
      <c r="Z143" s="90" t="str">
        <f aca="false">IF(B143="","",IF(OR(O143="27 - Instalação concluída",O143="28 - Encerrado"),"OK",IF(NOT(ISNUMBER(X143)),"",IF(X143&gt;365,"MUITO ANTIGO (&gt;1 ano)",IF(X143&gt;180,"ANTIGO (&gt;6 meses)",IF(X143&gt;90,"ATENÇÃO ANTIG. (&gt;3 meses)","OK"))))))</f>
        <v/>
      </c>
      <c r="AA143" s="86"/>
      <c r="AB143" s="69" t="str">
        <f aca="false">IF(AND(B143&lt;&gt;"",OR(T143="Pendente de Vistoria",T143="Não validada")),MAX($AB$1:$AB$142)+1,"")</f>
        <v/>
      </c>
      <c r="AC143" s="69" t="str">
        <f aca="false">IF(AND(B143&lt;&gt;"",OR(ISNUMBER(SEARCH("CTIN",P143)),U143="Alta",O143="07 - Relatório recebido — unidade apta",O143="11 - Orçamentos em análise técnica",O143="22 - Instalação/substituição autorizada")),MAX($AC$1:$AC$142)+1,"")</f>
        <v/>
      </c>
      <c r="AD143" s="69" t="str">
        <f aca="false">IF(AND(B143&lt;&gt;"",OR(ISNUMBER(SEARCH("CTO",P143)),LEFT(O143,2)="22",LEFT(O143,2)="23",LEFT(O143,2)="24",LEFT(O143,2)="25",LEFT(O143,2)="26",LEFT(O143,2)="27")),MAX($AD$1:$AD$142)+1,"")</f>
        <v/>
      </c>
      <c r="AE143" s="69" t="str">
        <f aca="false">IF(AND(B143&lt;&gt;"",D143=CONSULTA_UNIDADE!$B$4),MAX($AE$1:$AE$142)+1,"")</f>
        <v/>
      </c>
      <c r="AF143" s="69" t="str">
        <f aca="false">IF(AND(B143&lt;&gt;"",O143&lt;&gt;"27 - Instalação concluída",O143&lt;&gt;"28 - Encerrado",ISNUMBER(S143)),S143*1000+(1000-ROW()),"")</f>
        <v/>
      </c>
      <c r="AG143" s="69" t="str">
        <f aca="false">IF(AF143="","",RANK(AF143,$AF$2:$AF$500))</f>
        <v/>
      </c>
    </row>
    <row r="144" customFormat="false" ht="16.5" hidden="false" customHeight="true" outlineLevel="0" collapsed="false">
      <c r="A144" s="86"/>
      <c r="B144" s="86"/>
      <c r="C144" s="87" t="str">
        <f aca="false">IF(D144="","",IFERROR(INDEX(CADASTRO_VIVO_3CRE!$B$2:$B$150,MATCH(D144,CADASTRO_VIVO_3CRE!$E$2:$E$150,0)),""))</f>
        <v/>
      </c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8"/>
      <c r="S144" s="89" t="str">
        <f aca="true">IF(R144="","",TODAY()-INT(R144))</f>
        <v/>
      </c>
      <c r="T144" s="86"/>
      <c r="U144" s="86"/>
      <c r="V144" s="86"/>
      <c r="W144" s="88"/>
      <c r="X144" s="89" t="str">
        <f aca="true">IF(W144="","",IF(OR(O144="28 - Encerrado",O144="27 - Instalação concluída"),"Concluído",TODAY()-INT(W144)))</f>
        <v/>
      </c>
      <c r="Y144" s="90" t="str">
        <f aca="false">IF(OR(O144="28 - Encerrado",O144="27 - Instalação concluída"),"OK",IF(AND(B144&lt;&gt;"",S144=""),"ATENÇÃO (Sem data de atualização)",IF(S144="","",IF(S144&gt;30,"CRÍTICO (Sem Atualização &gt;30 dias)",IF(S144&gt;15,"ATENÇÃO (Sem Atualização &gt;15 dias)",IF(X144&gt;90,"CRÍTICO (Aberto &gt;90 dias)","OK"))))))</f>
        <v/>
      </c>
      <c r="Z144" s="90" t="str">
        <f aca="false">IF(B144="","",IF(OR(O144="27 - Instalação concluída",O144="28 - Encerrado"),"OK",IF(NOT(ISNUMBER(X144)),"",IF(X144&gt;365,"MUITO ANTIGO (&gt;1 ano)",IF(X144&gt;180,"ANTIGO (&gt;6 meses)",IF(X144&gt;90,"ATENÇÃO ANTIG. (&gt;3 meses)","OK"))))))</f>
        <v/>
      </c>
      <c r="AA144" s="86"/>
      <c r="AB144" s="69" t="str">
        <f aca="false">IF(AND(B144&lt;&gt;"",OR(T144="Pendente de Vistoria",T144="Não validada")),MAX($AB$1:$AB$143)+1,"")</f>
        <v/>
      </c>
      <c r="AC144" s="69" t="str">
        <f aca="false">IF(AND(B144&lt;&gt;"",OR(ISNUMBER(SEARCH("CTIN",P144)),U144="Alta",O144="07 - Relatório recebido — unidade apta",O144="11 - Orçamentos em análise técnica",O144="22 - Instalação/substituição autorizada")),MAX($AC$1:$AC$143)+1,"")</f>
        <v/>
      </c>
      <c r="AD144" s="69" t="str">
        <f aca="false">IF(AND(B144&lt;&gt;"",OR(ISNUMBER(SEARCH("CTO",P144)),LEFT(O144,2)="22",LEFT(O144,2)="23",LEFT(O144,2)="24",LEFT(O144,2)="25",LEFT(O144,2)="26",LEFT(O144,2)="27")),MAX($AD$1:$AD$143)+1,"")</f>
        <v/>
      </c>
      <c r="AE144" s="69" t="str">
        <f aca="false">IF(AND(B144&lt;&gt;"",D144=CONSULTA_UNIDADE!$B$4),MAX($AE$1:$AE$143)+1,"")</f>
        <v/>
      </c>
      <c r="AF144" s="69" t="str">
        <f aca="false">IF(AND(B144&lt;&gt;"",O144&lt;&gt;"27 - Instalação concluída",O144&lt;&gt;"28 - Encerrado",ISNUMBER(S144)),S144*1000+(1000-ROW()),"")</f>
        <v/>
      </c>
      <c r="AG144" s="69" t="str">
        <f aca="false">IF(AF144="","",RANK(AF144,$AF$2:$AF$500))</f>
        <v/>
      </c>
    </row>
    <row r="145" customFormat="false" ht="16.5" hidden="false" customHeight="true" outlineLevel="0" collapsed="false">
      <c r="A145" s="86"/>
      <c r="B145" s="86"/>
      <c r="C145" s="87" t="str">
        <f aca="false">IF(D145="","",IFERROR(INDEX(CADASTRO_VIVO_3CRE!$B$2:$B$150,MATCH(D145,CADASTRO_VIVO_3CRE!$E$2:$E$150,0)),""))</f>
        <v/>
      </c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8"/>
      <c r="S145" s="89" t="str">
        <f aca="true">IF(R145="","",TODAY()-INT(R145))</f>
        <v/>
      </c>
      <c r="T145" s="86"/>
      <c r="U145" s="86"/>
      <c r="V145" s="86"/>
      <c r="W145" s="88"/>
      <c r="X145" s="89" t="str">
        <f aca="true">IF(W145="","",IF(OR(O145="28 - Encerrado",O145="27 - Instalação concluída"),"Concluído",TODAY()-INT(W145)))</f>
        <v/>
      </c>
      <c r="Y145" s="90" t="str">
        <f aca="false">IF(OR(O145="28 - Encerrado",O145="27 - Instalação concluída"),"OK",IF(AND(B145&lt;&gt;"",S145=""),"ATENÇÃO (Sem data de atualização)",IF(S145="","",IF(S145&gt;30,"CRÍTICO (Sem Atualização &gt;30 dias)",IF(S145&gt;15,"ATENÇÃO (Sem Atualização &gt;15 dias)",IF(X145&gt;90,"CRÍTICO (Aberto &gt;90 dias)","OK"))))))</f>
        <v/>
      </c>
      <c r="Z145" s="90" t="str">
        <f aca="false">IF(B145="","",IF(OR(O145="27 - Instalação concluída",O145="28 - Encerrado"),"OK",IF(NOT(ISNUMBER(X145)),"",IF(X145&gt;365,"MUITO ANTIGO (&gt;1 ano)",IF(X145&gt;180,"ANTIGO (&gt;6 meses)",IF(X145&gt;90,"ATENÇÃO ANTIG. (&gt;3 meses)","OK"))))))</f>
        <v/>
      </c>
      <c r="AA145" s="86"/>
      <c r="AB145" s="69" t="str">
        <f aca="false">IF(AND(B145&lt;&gt;"",OR(T145="Pendente de Vistoria",T145="Não validada")),MAX($AB$1:$AB$144)+1,"")</f>
        <v/>
      </c>
      <c r="AC145" s="69" t="str">
        <f aca="false">IF(AND(B145&lt;&gt;"",OR(ISNUMBER(SEARCH("CTIN",P145)),U145="Alta",O145="07 - Relatório recebido — unidade apta",O145="11 - Orçamentos em análise técnica",O145="22 - Instalação/substituição autorizada")),MAX($AC$1:$AC$144)+1,"")</f>
        <v/>
      </c>
      <c r="AD145" s="69" t="str">
        <f aca="false">IF(AND(B145&lt;&gt;"",OR(ISNUMBER(SEARCH("CTO",P145)),LEFT(O145,2)="22",LEFT(O145,2)="23",LEFT(O145,2)="24",LEFT(O145,2)="25",LEFT(O145,2)="26",LEFT(O145,2)="27")),MAX($AD$1:$AD$144)+1,"")</f>
        <v/>
      </c>
      <c r="AE145" s="69" t="str">
        <f aca="false">IF(AND(B145&lt;&gt;"",D145=CONSULTA_UNIDADE!$B$4),MAX($AE$1:$AE$144)+1,"")</f>
        <v/>
      </c>
      <c r="AF145" s="69" t="str">
        <f aca="false">IF(AND(B145&lt;&gt;"",O145&lt;&gt;"27 - Instalação concluída",O145&lt;&gt;"28 - Encerrado",ISNUMBER(S145)),S145*1000+(1000-ROW()),"")</f>
        <v/>
      </c>
      <c r="AG145" s="69" t="str">
        <f aca="false">IF(AF145="","",RANK(AF145,$AF$2:$AF$500))</f>
        <v/>
      </c>
    </row>
    <row r="146" customFormat="false" ht="16.5" hidden="false" customHeight="true" outlineLevel="0" collapsed="false">
      <c r="A146" s="86"/>
      <c r="B146" s="86"/>
      <c r="C146" s="87" t="str">
        <f aca="false">IF(D146="","",IFERROR(INDEX(CADASTRO_VIVO_3CRE!$B$2:$B$150,MATCH(D146,CADASTRO_VIVO_3CRE!$E$2:$E$150,0)),""))</f>
        <v/>
      </c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8"/>
      <c r="S146" s="89" t="str">
        <f aca="true">IF(R146="","",TODAY()-INT(R146))</f>
        <v/>
      </c>
      <c r="T146" s="86"/>
      <c r="U146" s="86"/>
      <c r="V146" s="86"/>
      <c r="W146" s="88"/>
      <c r="X146" s="89" t="str">
        <f aca="true">IF(W146="","",IF(OR(O146="28 - Encerrado",O146="27 - Instalação concluída"),"Concluído",TODAY()-INT(W146)))</f>
        <v/>
      </c>
      <c r="Y146" s="90" t="str">
        <f aca="false">IF(OR(O146="28 - Encerrado",O146="27 - Instalação concluída"),"OK",IF(AND(B146&lt;&gt;"",S146=""),"ATENÇÃO (Sem data de atualização)",IF(S146="","",IF(S146&gt;30,"CRÍTICO (Sem Atualização &gt;30 dias)",IF(S146&gt;15,"ATENÇÃO (Sem Atualização &gt;15 dias)",IF(X146&gt;90,"CRÍTICO (Aberto &gt;90 dias)","OK"))))))</f>
        <v/>
      </c>
      <c r="Z146" s="90" t="str">
        <f aca="false">IF(B146="","",IF(OR(O146="27 - Instalação concluída",O146="28 - Encerrado"),"OK",IF(NOT(ISNUMBER(X146)),"",IF(X146&gt;365,"MUITO ANTIGO (&gt;1 ano)",IF(X146&gt;180,"ANTIGO (&gt;6 meses)",IF(X146&gt;90,"ATENÇÃO ANTIG. (&gt;3 meses)","OK"))))))</f>
        <v/>
      </c>
      <c r="AA146" s="86"/>
      <c r="AB146" s="69" t="str">
        <f aca="false">IF(AND(B146&lt;&gt;"",OR(T146="Pendente de Vistoria",T146="Não validada")),MAX($AB$1:$AB$145)+1,"")</f>
        <v/>
      </c>
      <c r="AC146" s="69" t="str">
        <f aca="false">IF(AND(B146&lt;&gt;"",OR(ISNUMBER(SEARCH("CTIN",P146)),U146="Alta",O146="07 - Relatório recebido — unidade apta",O146="11 - Orçamentos em análise técnica",O146="22 - Instalação/substituição autorizada")),MAX($AC$1:$AC$145)+1,"")</f>
        <v/>
      </c>
      <c r="AD146" s="69" t="str">
        <f aca="false">IF(AND(B146&lt;&gt;"",OR(ISNUMBER(SEARCH("CTO",P146)),LEFT(O146,2)="22",LEFT(O146,2)="23",LEFT(O146,2)="24",LEFT(O146,2)="25",LEFT(O146,2)="26",LEFT(O146,2)="27")),MAX($AD$1:$AD$145)+1,"")</f>
        <v/>
      </c>
      <c r="AE146" s="69" t="str">
        <f aca="false">IF(AND(B146&lt;&gt;"",D146=CONSULTA_UNIDADE!$B$4),MAX($AE$1:$AE$145)+1,"")</f>
        <v/>
      </c>
      <c r="AF146" s="69" t="str">
        <f aca="false">IF(AND(B146&lt;&gt;"",O146&lt;&gt;"27 - Instalação concluída",O146&lt;&gt;"28 - Encerrado",ISNUMBER(S146)),S146*1000+(1000-ROW()),"")</f>
        <v/>
      </c>
      <c r="AG146" s="69" t="str">
        <f aca="false">IF(AF146="","",RANK(AF146,$AF$2:$AF$500))</f>
        <v/>
      </c>
    </row>
    <row r="147" customFormat="false" ht="16.5" hidden="false" customHeight="true" outlineLevel="0" collapsed="false">
      <c r="A147" s="86"/>
      <c r="B147" s="86"/>
      <c r="C147" s="87" t="str">
        <f aca="false">IF(D147="","",IFERROR(INDEX(CADASTRO_VIVO_3CRE!$B$2:$B$150,MATCH(D147,CADASTRO_VIVO_3CRE!$E$2:$E$150,0)),""))</f>
        <v/>
      </c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8"/>
      <c r="S147" s="89" t="str">
        <f aca="true">IF(R147="","",TODAY()-INT(R147))</f>
        <v/>
      </c>
      <c r="T147" s="86"/>
      <c r="U147" s="86"/>
      <c r="V147" s="86"/>
      <c r="W147" s="88"/>
      <c r="X147" s="89" t="str">
        <f aca="true">IF(W147="","",IF(OR(O147="28 - Encerrado",O147="27 - Instalação concluída"),"Concluído",TODAY()-INT(W147)))</f>
        <v/>
      </c>
      <c r="Y147" s="90" t="str">
        <f aca="false">IF(OR(O147="28 - Encerrado",O147="27 - Instalação concluída"),"OK",IF(AND(B147&lt;&gt;"",S147=""),"ATENÇÃO (Sem data de atualização)",IF(S147="","",IF(S147&gt;30,"CRÍTICO (Sem Atualização &gt;30 dias)",IF(S147&gt;15,"ATENÇÃO (Sem Atualização &gt;15 dias)",IF(X147&gt;90,"CRÍTICO (Aberto &gt;90 dias)","OK"))))))</f>
        <v/>
      </c>
      <c r="Z147" s="90" t="str">
        <f aca="false">IF(B147="","",IF(OR(O147="27 - Instalação concluída",O147="28 - Encerrado"),"OK",IF(NOT(ISNUMBER(X147)),"",IF(X147&gt;365,"MUITO ANTIGO (&gt;1 ano)",IF(X147&gt;180,"ANTIGO (&gt;6 meses)",IF(X147&gt;90,"ATENÇÃO ANTIG. (&gt;3 meses)","OK"))))))</f>
        <v/>
      </c>
      <c r="AA147" s="86"/>
      <c r="AB147" s="69" t="str">
        <f aca="false">IF(AND(B147&lt;&gt;"",OR(T147="Pendente de Vistoria",T147="Não validada")),MAX($AB$1:$AB$146)+1,"")</f>
        <v/>
      </c>
      <c r="AC147" s="69" t="str">
        <f aca="false">IF(AND(B147&lt;&gt;"",OR(ISNUMBER(SEARCH("CTIN",P147)),U147="Alta",O147="07 - Relatório recebido — unidade apta",O147="11 - Orçamentos em análise técnica",O147="22 - Instalação/substituição autorizada")),MAX($AC$1:$AC$146)+1,"")</f>
        <v/>
      </c>
      <c r="AD147" s="69" t="str">
        <f aca="false">IF(AND(B147&lt;&gt;"",OR(ISNUMBER(SEARCH("CTO",P147)),LEFT(O147,2)="22",LEFT(O147,2)="23",LEFT(O147,2)="24",LEFT(O147,2)="25",LEFT(O147,2)="26",LEFT(O147,2)="27")),MAX($AD$1:$AD$146)+1,"")</f>
        <v/>
      </c>
      <c r="AE147" s="69" t="str">
        <f aca="false">IF(AND(B147&lt;&gt;"",D147=CONSULTA_UNIDADE!$B$4),MAX($AE$1:$AE$146)+1,"")</f>
        <v/>
      </c>
      <c r="AF147" s="69" t="str">
        <f aca="false">IF(AND(B147&lt;&gt;"",O147&lt;&gt;"27 - Instalação concluída",O147&lt;&gt;"28 - Encerrado",ISNUMBER(S147)),S147*1000+(1000-ROW()),"")</f>
        <v/>
      </c>
      <c r="AG147" s="69" t="str">
        <f aca="false">IF(AF147="","",RANK(AF147,$AF$2:$AF$500))</f>
        <v/>
      </c>
    </row>
    <row r="148" customFormat="false" ht="16.5" hidden="false" customHeight="true" outlineLevel="0" collapsed="false">
      <c r="A148" s="86"/>
      <c r="B148" s="86"/>
      <c r="C148" s="87" t="str">
        <f aca="false">IF(D148="","",IFERROR(INDEX(CADASTRO_VIVO_3CRE!$B$2:$B$150,MATCH(D148,CADASTRO_VIVO_3CRE!$E$2:$E$150,0)),""))</f>
        <v/>
      </c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8"/>
      <c r="S148" s="89" t="str">
        <f aca="true">IF(R148="","",TODAY()-INT(R148))</f>
        <v/>
      </c>
      <c r="T148" s="86"/>
      <c r="U148" s="86"/>
      <c r="V148" s="86"/>
      <c r="W148" s="88"/>
      <c r="X148" s="89" t="str">
        <f aca="true">IF(W148="","",IF(OR(O148="28 - Encerrado",O148="27 - Instalação concluída"),"Concluído",TODAY()-INT(W148)))</f>
        <v/>
      </c>
      <c r="Y148" s="90" t="str">
        <f aca="false">IF(OR(O148="28 - Encerrado",O148="27 - Instalação concluída"),"OK",IF(AND(B148&lt;&gt;"",S148=""),"ATENÇÃO (Sem data de atualização)",IF(S148="","",IF(S148&gt;30,"CRÍTICO (Sem Atualização &gt;30 dias)",IF(S148&gt;15,"ATENÇÃO (Sem Atualização &gt;15 dias)",IF(X148&gt;90,"CRÍTICO (Aberto &gt;90 dias)","OK"))))))</f>
        <v/>
      </c>
      <c r="Z148" s="90" t="str">
        <f aca="false">IF(B148="","",IF(OR(O148="27 - Instalação concluída",O148="28 - Encerrado"),"OK",IF(NOT(ISNUMBER(X148)),"",IF(X148&gt;365,"MUITO ANTIGO (&gt;1 ano)",IF(X148&gt;180,"ANTIGO (&gt;6 meses)",IF(X148&gt;90,"ATENÇÃO ANTIG. (&gt;3 meses)","OK"))))))</f>
        <v/>
      </c>
      <c r="AA148" s="86"/>
      <c r="AB148" s="69" t="str">
        <f aca="false">IF(AND(B148&lt;&gt;"",OR(T148="Pendente de Vistoria",T148="Não validada")),MAX($AB$1:$AB$147)+1,"")</f>
        <v/>
      </c>
      <c r="AC148" s="69" t="str">
        <f aca="false">IF(AND(B148&lt;&gt;"",OR(ISNUMBER(SEARCH("CTIN",P148)),U148="Alta",O148="07 - Relatório recebido — unidade apta",O148="11 - Orçamentos em análise técnica",O148="22 - Instalação/substituição autorizada")),MAX($AC$1:$AC$147)+1,"")</f>
        <v/>
      </c>
      <c r="AD148" s="69" t="str">
        <f aca="false">IF(AND(B148&lt;&gt;"",OR(ISNUMBER(SEARCH("CTO",P148)),LEFT(O148,2)="22",LEFT(O148,2)="23",LEFT(O148,2)="24",LEFT(O148,2)="25",LEFT(O148,2)="26",LEFT(O148,2)="27")),MAX($AD$1:$AD$147)+1,"")</f>
        <v/>
      </c>
      <c r="AE148" s="69" t="str">
        <f aca="false">IF(AND(B148&lt;&gt;"",D148=CONSULTA_UNIDADE!$B$4),MAX($AE$1:$AE$147)+1,"")</f>
        <v/>
      </c>
      <c r="AF148" s="69" t="str">
        <f aca="false">IF(AND(B148&lt;&gt;"",O148&lt;&gt;"27 - Instalação concluída",O148&lt;&gt;"28 - Encerrado",ISNUMBER(S148)),S148*1000+(1000-ROW()),"")</f>
        <v/>
      </c>
      <c r="AG148" s="69" t="str">
        <f aca="false">IF(AF148="","",RANK(AF148,$AF$2:$AF$500))</f>
        <v/>
      </c>
    </row>
    <row r="149" customFormat="false" ht="16.5" hidden="false" customHeight="true" outlineLevel="0" collapsed="false">
      <c r="A149" s="86"/>
      <c r="B149" s="86"/>
      <c r="C149" s="87" t="str">
        <f aca="false">IF(D149="","",IFERROR(INDEX(CADASTRO_VIVO_3CRE!$B$2:$B$150,MATCH(D149,CADASTRO_VIVO_3CRE!$E$2:$E$150,0)),""))</f>
        <v/>
      </c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8"/>
      <c r="S149" s="89" t="str">
        <f aca="true">IF(R149="","",TODAY()-INT(R149))</f>
        <v/>
      </c>
      <c r="T149" s="86"/>
      <c r="U149" s="86"/>
      <c r="V149" s="86"/>
      <c r="W149" s="88"/>
      <c r="X149" s="89" t="str">
        <f aca="true">IF(W149="","",IF(OR(O149="28 - Encerrado",O149="27 - Instalação concluída"),"Concluído",TODAY()-INT(W149)))</f>
        <v/>
      </c>
      <c r="Y149" s="90" t="str">
        <f aca="false">IF(OR(O149="28 - Encerrado",O149="27 - Instalação concluída"),"OK",IF(AND(B149&lt;&gt;"",S149=""),"ATENÇÃO (Sem data de atualização)",IF(S149="","",IF(S149&gt;30,"CRÍTICO (Sem Atualização &gt;30 dias)",IF(S149&gt;15,"ATENÇÃO (Sem Atualização &gt;15 dias)",IF(X149&gt;90,"CRÍTICO (Aberto &gt;90 dias)","OK"))))))</f>
        <v/>
      </c>
      <c r="Z149" s="90" t="str">
        <f aca="false">IF(B149="","",IF(OR(O149="27 - Instalação concluída",O149="28 - Encerrado"),"OK",IF(NOT(ISNUMBER(X149)),"",IF(X149&gt;365,"MUITO ANTIGO (&gt;1 ano)",IF(X149&gt;180,"ANTIGO (&gt;6 meses)",IF(X149&gt;90,"ATENÇÃO ANTIG. (&gt;3 meses)","OK"))))))</f>
        <v/>
      </c>
      <c r="AA149" s="86"/>
      <c r="AB149" s="69" t="str">
        <f aca="false">IF(AND(B149&lt;&gt;"",OR(T149="Pendente de Vistoria",T149="Não validada")),MAX($AB$1:$AB$148)+1,"")</f>
        <v/>
      </c>
      <c r="AC149" s="69" t="str">
        <f aca="false">IF(AND(B149&lt;&gt;"",OR(ISNUMBER(SEARCH("CTIN",P149)),U149="Alta",O149="07 - Relatório recebido — unidade apta",O149="11 - Orçamentos em análise técnica",O149="22 - Instalação/substituição autorizada")),MAX($AC$1:$AC$148)+1,"")</f>
        <v/>
      </c>
      <c r="AD149" s="69" t="str">
        <f aca="false">IF(AND(B149&lt;&gt;"",OR(ISNUMBER(SEARCH("CTO",P149)),LEFT(O149,2)="22",LEFT(O149,2)="23",LEFT(O149,2)="24",LEFT(O149,2)="25",LEFT(O149,2)="26",LEFT(O149,2)="27")),MAX($AD$1:$AD$148)+1,"")</f>
        <v/>
      </c>
      <c r="AE149" s="69" t="str">
        <f aca="false">IF(AND(B149&lt;&gt;"",D149=CONSULTA_UNIDADE!$B$4),MAX($AE$1:$AE$148)+1,"")</f>
        <v/>
      </c>
      <c r="AF149" s="69" t="str">
        <f aca="false">IF(AND(B149&lt;&gt;"",O149&lt;&gt;"27 - Instalação concluída",O149&lt;&gt;"28 - Encerrado",ISNUMBER(S149)),S149*1000+(1000-ROW()),"")</f>
        <v/>
      </c>
      <c r="AG149" s="69" t="str">
        <f aca="false">IF(AF149="","",RANK(AF149,$AF$2:$AF$500))</f>
        <v/>
      </c>
    </row>
    <row r="150" customFormat="false" ht="16.5" hidden="false" customHeight="true" outlineLevel="0" collapsed="false">
      <c r="A150" s="86"/>
      <c r="B150" s="86"/>
      <c r="C150" s="87" t="str">
        <f aca="false">IF(D150="","",IFERROR(INDEX(CADASTRO_VIVO_3CRE!$B$2:$B$150,MATCH(D150,CADASTRO_VIVO_3CRE!$E$2:$E$150,0)),""))</f>
        <v/>
      </c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8"/>
      <c r="S150" s="89" t="str">
        <f aca="true">IF(R150="","",TODAY()-INT(R150))</f>
        <v/>
      </c>
      <c r="T150" s="86"/>
      <c r="U150" s="86"/>
      <c r="V150" s="86"/>
      <c r="W150" s="88"/>
      <c r="X150" s="89" t="str">
        <f aca="true">IF(W150="","",IF(OR(O150="28 - Encerrado",O150="27 - Instalação concluída"),"Concluído",TODAY()-INT(W150)))</f>
        <v/>
      </c>
      <c r="Y150" s="90" t="str">
        <f aca="false">IF(OR(O150="28 - Encerrado",O150="27 - Instalação concluída"),"OK",IF(AND(B150&lt;&gt;"",S150=""),"ATENÇÃO (Sem data de atualização)",IF(S150="","",IF(S150&gt;30,"CRÍTICO (Sem Atualização &gt;30 dias)",IF(S150&gt;15,"ATENÇÃO (Sem Atualização &gt;15 dias)",IF(X150&gt;90,"CRÍTICO (Aberto &gt;90 dias)","OK"))))))</f>
        <v/>
      </c>
      <c r="Z150" s="90" t="str">
        <f aca="false">IF(B150="","",IF(OR(O150="27 - Instalação concluída",O150="28 - Encerrado"),"OK",IF(NOT(ISNUMBER(X150)),"",IF(X150&gt;365,"MUITO ANTIGO (&gt;1 ano)",IF(X150&gt;180,"ANTIGO (&gt;6 meses)",IF(X150&gt;90,"ATENÇÃO ANTIG. (&gt;3 meses)","OK"))))))</f>
        <v/>
      </c>
      <c r="AA150" s="86"/>
      <c r="AB150" s="69" t="str">
        <f aca="false">IF(AND(B150&lt;&gt;"",OR(T150="Pendente de Vistoria",T150="Não validada")),MAX($AB$1:$AB$149)+1,"")</f>
        <v/>
      </c>
      <c r="AC150" s="69" t="str">
        <f aca="false">IF(AND(B150&lt;&gt;"",OR(ISNUMBER(SEARCH("CTIN",P150)),U150="Alta",O150="07 - Relatório recebido — unidade apta",O150="11 - Orçamentos em análise técnica",O150="22 - Instalação/substituição autorizada")),MAX($AC$1:$AC$149)+1,"")</f>
        <v/>
      </c>
      <c r="AD150" s="69" t="str">
        <f aca="false">IF(AND(B150&lt;&gt;"",OR(ISNUMBER(SEARCH("CTO",P150)),LEFT(O150,2)="22",LEFT(O150,2)="23",LEFT(O150,2)="24",LEFT(O150,2)="25",LEFT(O150,2)="26",LEFT(O150,2)="27")),MAX($AD$1:$AD$149)+1,"")</f>
        <v/>
      </c>
      <c r="AE150" s="69" t="str">
        <f aca="false">IF(AND(B150&lt;&gt;"",D150=CONSULTA_UNIDADE!$B$4),MAX($AE$1:$AE$149)+1,"")</f>
        <v/>
      </c>
      <c r="AF150" s="69" t="str">
        <f aca="false">IF(AND(B150&lt;&gt;"",O150&lt;&gt;"27 - Instalação concluída",O150&lt;&gt;"28 - Encerrado",ISNUMBER(S150)),S150*1000+(1000-ROW()),"")</f>
        <v/>
      </c>
      <c r="AG150" s="69" t="str">
        <f aca="false">IF(AF150="","",RANK(AF150,$AF$2:$AF$500))</f>
        <v/>
      </c>
    </row>
    <row r="151" customFormat="false" ht="16.5" hidden="false" customHeight="true" outlineLevel="0" collapsed="false">
      <c r="A151" s="86"/>
      <c r="B151" s="86"/>
      <c r="C151" s="87" t="str">
        <f aca="false">IF(D151="","",IFERROR(INDEX(CADASTRO_VIVO_3CRE!$B$2:$B$150,MATCH(D151,CADASTRO_VIVO_3CRE!$E$2:$E$150,0)),""))</f>
        <v/>
      </c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8"/>
      <c r="S151" s="89" t="str">
        <f aca="true">IF(R151="","",TODAY()-INT(R151))</f>
        <v/>
      </c>
      <c r="T151" s="86"/>
      <c r="U151" s="86"/>
      <c r="V151" s="86"/>
      <c r="W151" s="88"/>
      <c r="X151" s="89" t="str">
        <f aca="true">IF(W151="","",IF(OR(O151="28 - Encerrado",O151="27 - Instalação concluída"),"Concluído",TODAY()-INT(W151)))</f>
        <v/>
      </c>
      <c r="Y151" s="90" t="str">
        <f aca="false">IF(OR(O151="28 - Encerrado",O151="27 - Instalação concluída"),"OK",IF(AND(B151&lt;&gt;"",S151=""),"ATENÇÃO (Sem data de atualização)",IF(S151="","",IF(S151&gt;30,"CRÍTICO (Sem Atualização &gt;30 dias)",IF(S151&gt;15,"ATENÇÃO (Sem Atualização &gt;15 dias)",IF(X151&gt;90,"CRÍTICO (Aberto &gt;90 dias)","OK"))))))</f>
        <v/>
      </c>
      <c r="Z151" s="90" t="str">
        <f aca="false">IF(B151="","",IF(OR(O151="27 - Instalação concluída",O151="28 - Encerrado"),"OK",IF(NOT(ISNUMBER(X151)),"",IF(X151&gt;365,"MUITO ANTIGO (&gt;1 ano)",IF(X151&gt;180,"ANTIGO (&gt;6 meses)",IF(X151&gt;90,"ATENÇÃO ANTIG. (&gt;3 meses)","OK"))))))</f>
        <v/>
      </c>
      <c r="AA151" s="86"/>
      <c r="AB151" s="69" t="str">
        <f aca="false">IF(AND(B151&lt;&gt;"",OR(T151="Pendente de Vistoria",T151="Não validada")),MAX($AB$1:$AB$150)+1,"")</f>
        <v/>
      </c>
      <c r="AC151" s="69" t="str">
        <f aca="false">IF(AND(B151&lt;&gt;"",OR(ISNUMBER(SEARCH("CTIN",P151)),U151="Alta",O151="07 - Relatório recebido — unidade apta",O151="11 - Orçamentos em análise técnica",O151="22 - Instalação/substituição autorizada")),MAX($AC$1:$AC$150)+1,"")</f>
        <v/>
      </c>
      <c r="AD151" s="69" t="str">
        <f aca="false">IF(AND(B151&lt;&gt;"",OR(ISNUMBER(SEARCH("CTO",P151)),LEFT(O151,2)="22",LEFT(O151,2)="23",LEFT(O151,2)="24",LEFT(O151,2)="25",LEFT(O151,2)="26",LEFT(O151,2)="27")),MAX($AD$1:$AD$150)+1,"")</f>
        <v/>
      </c>
      <c r="AE151" s="69" t="str">
        <f aca="false">IF(AND(B151&lt;&gt;"",D151=CONSULTA_UNIDADE!$B$4),MAX($AE$1:$AE$150)+1,"")</f>
        <v/>
      </c>
      <c r="AF151" s="69" t="str">
        <f aca="false">IF(AND(B151&lt;&gt;"",O151&lt;&gt;"27 - Instalação concluída",O151&lt;&gt;"28 - Encerrado",ISNUMBER(S151)),S151*1000+(1000-ROW()),"")</f>
        <v/>
      </c>
      <c r="AG151" s="69" t="str">
        <f aca="false">IF(AF151="","",RANK(AF151,$AF$2:$AF$500))</f>
        <v/>
      </c>
    </row>
    <row r="152" customFormat="false" ht="16.5" hidden="false" customHeight="true" outlineLevel="0" collapsed="false">
      <c r="A152" s="86"/>
      <c r="B152" s="86"/>
      <c r="C152" s="87" t="str">
        <f aca="false">IF(D152="","",IFERROR(INDEX(CADASTRO_VIVO_3CRE!$B$2:$B$150,MATCH(D152,CADASTRO_VIVO_3CRE!$E$2:$E$150,0)),""))</f>
        <v/>
      </c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8"/>
      <c r="S152" s="89" t="str">
        <f aca="true">IF(R152="","",TODAY()-INT(R152))</f>
        <v/>
      </c>
      <c r="T152" s="86"/>
      <c r="U152" s="86"/>
      <c r="V152" s="86"/>
      <c r="W152" s="88"/>
      <c r="X152" s="89" t="str">
        <f aca="true">IF(W152="","",IF(OR(O152="28 - Encerrado",O152="27 - Instalação concluída"),"Concluído",TODAY()-INT(W152)))</f>
        <v/>
      </c>
      <c r="Y152" s="90" t="str">
        <f aca="false">IF(OR(O152="28 - Encerrado",O152="27 - Instalação concluída"),"OK",IF(AND(B152&lt;&gt;"",S152=""),"ATENÇÃO (Sem data de atualização)",IF(S152="","",IF(S152&gt;30,"CRÍTICO (Sem Atualização &gt;30 dias)",IF(S152&gt;15,"ATENÇÃO (Sem Atualização &gt;15 dias)",IF(X152&gt;90,"CRÍTICO (Aberto &gt;90 dias)","OK"))))))</f>
        <v/>
      </c>
      <c r="Z152" s="90" t="str">
        <f aca="false">IF(B152="","",IF(OR(O152="27 - Instalação concluída",O152="28 - Encerrado"),"OK",IF(NOT(ISNUMBER(X152)),"",IF(X152&gt;365,"MUITO ANTIGO (&gt;1 ano)",IF(X152&gt;180,"ANTIGO (&gt;6 meses)",IF(X152&gt;90,"ATENÇÃO ANTIG. (&gt;3 meses)","OK"))))))</f>
        <v/>
      </c>
      <c r="AA152" s="86"/>
      <c r="AB152" s="69" t="str">
        <f aca="false">IF(AND(B152&lt;&gt;"",OR(T152="Pendente de Vistoria",T152="Não validada")),MAX($AB$1:$AB$151)+1,"")</f>
        <v/>
      </c>
      <c r="AC152" s="69" t="str">
        <f aca="false">IF(AND(B152&lt;&gt;"",OR(ISNUMBER(SEARCH("CTIN",P152)),U152="Alta",O152="07 - Relatório recebido — unidade apta",O152="11 - Orçamentos em análise técnica",O152="22 - Instalação/substituição autorizada")),MAX($AC$1:$AC$151)+1,"")</f>
        <v/>
      </c>
      <c r="AD152" s="69" t="str">
        <f aca="false">IF(AND(B152&lt;&gt;"",OR(ISNUMBER(SEARCH("CTO",P152)),LEFT(O152,2)="22",LEFT(O152,2)="23",LEFT(O152,2)="24",LEFT(O152,2)="25",LEFT(O152,2)="26",LEFT(O152,2)="27")),MAX($AD$1:$AD$151)+1,"")</f>
        <v/>
      </c>
      <c r="AE152" s="69" t="str">
        <f aca="false">IF(AND(B152&lt;&gt;"",D152=CONSULTA_UNIDADE!$B$4),MAX($AE$1:$AE$151)+1,"")</f>
        <v/>
      </c>
      <c r="AF152" s="69" t="str">
        <f aca="false">IF(AND(B152&lt;&gt;"",O152&lt;&gt;"27 - Instalação concluída",O152&lt;&gt;"28 - Encerrado",ISNUMBER(S152)),S152*1000+(1000-ROW()),"")</f>
        <v/>
      </c>
      <c r="AG152" s="69" t="str">
        <f aca="false">IF(AF152="","",RANK(AF152,$AF$2:$AF$500))</f>
        <v/>
      </c>
    </row>
    <row r="153" customFormat="false" ht="16.5" hidden="false" customHeight="true" outlineLevel="0" collapsed="false">
      <c r="A153" s="86"/>
      <c r="B153" s="86"/>
      <c r="C153" s="87" t="str">
        <f aca="false">IF(D153="","",IFERROR(INDEX(CADASTRO_VIVO_3CRE!$B$2:$B$150,MATCH(D153,CADASTRO_VIVO_3CRE!$E$2:$E$150,0)),""))</f>
        <v/>
      </c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8"/>
      <c r="S153" s="89" t="str">
        <f aca="true">IF(R153="","",TODAY()-INT(R153))</f>
        <v/>
      </c>
      <c r="T153" s="86"/>
      <c r="U153" s="86"/>
      <c r="V153" s="86"/>
      <c r="W153" s="88"/>
      <c r="X153" s="89" t="str">
        <f aca="true">IF(W153="","",IF(OR(O153="28 - Encerrado",O153="27 - Instalação concluída"),"Concluído",TODAY()-INT(W153)))</f>
        <v/>
      </c>
      <c r="Y153" s="90" t="str">
        <f aca="false">IF(OR(O153="28 - Encerrado",O153="27 - Instalação concluída"),"OK",IF(AND(B153&lt;&gt;"",S153=""),"ATENÇÃO (Sem data de atualização)",IF(S153="","",IF(S153&gt;30,"CRÍTICO (Sem Atualização &gt;30 dias)",IF(S153&gt;15,"ATENÇÃO (Sem Atualização &gt;15 dias)",IF(X153&gt;90,"CRÍTICO (Aberto &gt;90 dias)","OK"))))))</f>
        <v/>
      </c>
      <c r="Z153" s="90" t="str">
        <f aca="false">IF(B153="","",IF(OR(O153="27 - Instalação concluída",O153="28 - Encerrado"),"OK",IF(NOT(ISNUMBER(X153)),"",IF(X153&gt;365,"MUITO ANTIGO (&gt;1 ano)",IF(X153&gt;180,"ANTIGO (&gt;6 meses)",IF(X153&gt;90,"ATENÇÃO ANTIG. (&gt;3 meses)","OK"))))))</f>
        <v/>
      </c>
      <c r="AA153" s="86"/>
      <c r="AB153" s="69" t="str">
        <f aca="false">IF(AND(B153&lt;&gt;"",OR(T153="Pendente de Vistoria",T153="Não validada")),MAX($AB$1:$AB$152)+1,"")</f>
        <v/>
      </c>
      <c r="AC153" s="69" t="str">
        <f aca="false">IF(AND(B153&lt;&gt;"",OR(ISNUMBER(SEARCH("CTIN",P153)),U153="Alta",O153="07 - Relatório recebido — unidade apta",O153="11 - Orçamentos em análise técnica",O153="22 - Instalação/substituição autorizada")),MAX($AC$1:$AC$152)+1,"")</f>
        <v/>
      </c>
      <c r="AD153" s="69" t="str">
        <f aca="false">IF(AND(B153&lt;&gt;"",OR(ISNUMBER(SEARCH("CTO",P153)),LEFT(O153,2)="22",LEFT(O153,2)="23",LEFT(O153,2)="24",LEFT(O153,2)="25",LEFT(O153,2)="26",LEFT(O153,2)="27")),MAX($AD$1:$AD$152)+1,"")</f>
        <v/>
      </c>
      <c r="AE153" s="69" t="str">
        <f aca="false">IF(AND(B153&lt;&gt;"",D153=CONSULTA_UNIDADE!$B$4),MAX($AE$1:$AE$152)+1,"")</f>
        <v/>
      </c>
      <c r="AF153" s="69" t="str">
        <f aca="false">IF(AND(B153&lt;&gt;"",O153&lt;&gt;"27 - Instalação concluída",O153&lt;&gt;"28 - Encerrado",ISNUMBER(S153)),S153*1000+(1000-ROW()),"")</f>
        <v/>
      </c>
      <c r="AG153" s="69" t="str">
        <f aca="false">IF(AF153="","",RANK(AF153,$AF$2:$AF$500))</f>
        <v/>
      </c>
    </row>
    <row r="154" customFormat="false" ht="16.5" hidden="false" customHeight="true" outlineLevel="0" collapsed="false">
      <c r="A154" s="86"/>
      <c r="B154" s="86"/>
      <c r="C154" s="87" t="str">
        <f aca="false">IF(D154="","",IFERROR(INDEX(CADASTRO_VIVO_3CRE!$B$2:$B$150,MATCH(D154,CADASTRO_VIVO_3CRE!$E$2:$E$150,0)),""))</f>
        <v/>
      </c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8"/>
      <c r="S154" s="89" t="str">
        <f aca="true">IF(R154="","",TODAY()-INT(R154))</f>
        <v/>
      </c>
      <c r="T154" s="86"/>
      <c r="U154" s="86"/>
      <c r="V154" s="86"/>
      <c r="W154" s="88"/>
      <c r="X154" s="89" t="str">
        <f aca="true">IF(W154="","",IF(OR(O154="28 - Encerrado",O154="27 - Instalação concluída"),"Concluído",TODAY()-INT(W154)))</f>
        <v/>
      </c>
      <c r="Y154" s="90" t="str">
        <f aca="false">IF(OR(O154="28 - Encerrado",O154="27 - Instalação concluída"),"OK",IF(AND(B154&lt;&gt;"",S154=""),"ATENÇÃO (Sem data de atualização)",IF(S154="","",IF(S154&gt;30,"CRÍTICO (Sem Atualização &gt;30 dias)",IF(S154&gt;15,"ATENÇÃO (Sem Atualização &gt;15 dias)",IF(X154&gt;90,"CRÍTICO (Aberto &gt;90 dias)","OK"))))))</f>
        <v/>
      </c>
      <c r="Z154" s="90" t="str">
        <f aca="false">IF(B154="","",IF(OR(O154="27 - Instalação concluída",O154="28 - Encerrado"),"OK",IF(NOT(ISNUMBER(X154)),"",IF(X154&gt;365,"MUITO ANTIGO (&gt;1 ano)",IF(X154&gt;180,"ANTIGO (&gt;6 meses)",IF(X154&gt;90,"ATENÇÃO ANTIG. (&gt;3 meses)","OK"))))))</f>
        <v/>
      </c>
      <c r="AA154" s="86"/>
      <c r="AB154" s="69" t="str">
        <f aca="false">IF(AND(B154&lt;&gt;"",OR(T154="Pendente de Vistoria",T154="Não validada")),MAX($AB$1:$AB$153)+1,"")</f>
        <v/>
      </c>
      <c r="AC154" s="69" t="str">
        <f aca="false">IF(AND(B154&lt;&gt;"",OR(ISNUMBER(SEARCH("CTIN",P154)),U154="Alta",O154="07 - Relatório recebido — unidade apta",O154="11 - Orçamentos em análise técnica",O154="22 - Instalação/substituição autorizada")),MAX($AC$1:$AC$153)+1,"")</f>
        <v/>
      </c>
      <c r="AD154" s="69" t="str">
        <f aca="false">IF(AND(B154&lt;&gt;"",OR(ISNUMBER(SEARCH("CTO",P154)),LEFT(O154,2)="22",LEFT(O154,2)="23",LEFT(O154,2)="24",LEFT(O154,2)="25",LEFT(O154,2)="26",LEFT(O154,2)="27")),MAX($AD$1:$AD$153)+1,"")</f>
        <v/>
      </c>
      <c r="AE154" s="69" t="str">
        <f aca="false">IF(AND(B154&lt;&gt;"",D154=CONSULTA_UNIDADE!$B$4),MAX($AE$1:$AE$153)+1,"")</f>
        <v/>
      </c>
      <c r="AF154" s="69" t="str">
        <f aca="false">IF(AND(B154&lt;&gt;"",O154&lt;&gt;"27 - Instalação concluída",O154&lt;&gt;"28 - Encerrado",ISNUMBER(S154)),S154*1000+(1000-ROW()),"")</f>
        <v/>
      </c>
      <c r="AG154" s="69" t="str">
        <f aca="false">IF(AF154="","",RANK(AF154,$AF$2:$AF$500))</f>
        <v/>
      </c>
    </row>
    <row r="155" customFormat="false" ht="16.5" hidden="false" customHeight="true" outlineLevel="0" collapsed="false">
      <c r="A155" s="86"/>
      <c r="B155" s="86"/>
      <c r="C155" s="87" t="str">
        <f aca="false">IF(D155="","",IFERROR(INDEX(CADASTRO_VIVO_3CRE!$B$2:$B$150,MATCH(D155,CADASTRO_VIVO_3CRE!$E$2:$E$150,0)),""))</f>
        <v/>
      </c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8"/>
      <c r="S155" s="89" t="str">
        <f aca="true">IF(R155="","",TODAY()-INT(R155))</f>
        <v/>
      </c>
      <c r="T155" s="86"/>
      <c r="U155" s="86"/>
      <c r="V155" s="86"/>
      <c r="W155" s="88"/>
      <c r="X155" s="89" t="str">
        <f aca="true">IF(W155="","",IF(OR(O155="28 - Encerrado",O155="27 - Instalação concluída"),"Concluído",TODAY()-INT(W155)))</f>
        <v/>
      </c>
      <c r="Y155" s="90" t="str">
        <f aca="false">IF(OR(O155="28 - Encerrado",O155="27 - Instalação concluída"),"OK",IF(AND(B155&lt;&gt;"",S155=""),"ATENÇÃO (Sem data de atualização)",IF(S155="","",IF(S155&gt;30,"CRÍTICO (Sem Atualização &gt;30 dias)",IF(S155&gt;15,"ATENÇÃO (Sem Atualização &gt;15 dias)",IF(X155&gt;90,"CRÍTICO (Aberto &gt;90 dias)","OK"))))))</f>
        <v/>
      </c>
      <c r="Z155" s="90" t="str">
        <f aca="false">IF(B155="","",IF(OR(O155="27 - Instalação concluída",O155="28 - Encerrado"),"OK",IF(NOT(ISNUMBER(X155)),"",IF(X155&gt;365,"MUITO ANTIGO (&gt;1 ano)",IF(X155&gt;180,"ANTIGO (&gt;6 meses)",IF(X155&gt;90,"ATENÇÃO ANTIG. (&gt;3 meses)","OK"))))))</f>
        <v/>
      </c>
      <c r="AA155" s="86"/>
      <c r="AB155" s="69" t="str">
        <f aca="false">IF(AND(B155&lt;&gt;"",OR(T155="Pendente de Vistoria",T155="Não validada")),MAX($AB$1:$AB$154)+1,"")</f>
        <v/>
      </c>
      <c r="AC155" s="69" t="str">
        <f aca="false">IF(AND(B155&lt;&gt;"",OR(ISNUMBER(SEARCH("CTIN",P155)),U155="Alta",O155="07 - Relatório recebido — unidade apta",O155="11 - Orçamentos em análise técnica",O155="22 - Instalação/substituição autorizada")),MAX($AC$1:$AC$154)+1,"")</f>
        <v/>
      </c>
      <c r="AD155" s="69" t="str">
        <f aca="false">IF(AND(B155&lt;&gt;"",OR(ISNUMBER(SEARCH("CTO",P155)),LEFT(O155,2)="22",LEFT(O155,2)="23",LEFT(O155,2)="24",LEFT(O155,2)="25",LEFT(O155,2)="26",LEFT(O155,2)="27")),MAX($AD$1:$AD$154)+1,"")</f>
        <v/>
      </c>
      <c r="AE155" s="69" t="str">
        <f aca="false">IF(AND(B155&lt;&gt;"",D155=CONSULTA_UNIDADE!$B$4),MAX($AE$1:$AE$154)+1,"")</f>
        <v/>
      </c>
      <c r="AF155" s="69" t="str">
        <f aca="false">IF(AND(B155&lt;&gt;"",O155&lt;&gt;"27 - Instalação concluída",O155&lt;&gt;"28 - Encerrado",ISNUMBER(S155)),S155*1000+(1000-ROW()),"")</f>
        <v/>
      </c>
      <c r="AG155" s="69" t="str">
        <f aca="false">IF(AF155="","",RANK(AF155,$AF$2:$AF$500))</f>
        <v/>
      </c>
    </row>
    <row r="156" customFormat="false" ht="16.5" hidden="false" customHeight="true" outlineLevel="0" collapsed="false">
      <c r="A156" s="86"/>
      <c r="B156" s="86"/>
      <c r="C156" s="87" t="str">
        <f aca="false">IF(D156="","",IFERROR(INDEX(CADASTRO_VIVO_3CRE!$B$2:$B$150,MATCH(D156,CADASTRO_VIVO_3CRE!$E$2:$E$150,0)),""))</f>
        <v/>
      </c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8"/>
      <c r="S156" s="89" t="str">
        <f aca="true">IF(R156="","",TODAY()-INT(R156))</f>
        <v/>
      </c>
      <c r="T156" s="86"/>
      <c r="U156" s="86"/>
      <c r="V156" s="86"/>
      <c r="W156" s="88"/>
      <c r="X156" s="89" t="str">
        <f aca="true">IF(W156="","",IF(OR(O156="28 - Encerrado",O156="27 - Instalação concluída"),"Concluído",TODAY()-INT(W156)))</f>
        <v/>
      </c>
      <c r="Y156" s="90" t="str">
        <f aca="false">IF(OR(O156="28 - Encerrado",O156="27 - Instalação concluída"),"OK",IF(AND(B156&lt;&gt;"",S156=""),"ATENÇÃO (Sem data de atualização)",IF(S156="","",IF(S156&gt;30,"CRÍTICO (Sem Atualização &gt;30 dias)",IF(S156&gt;15,"ATENÇÃO (Sem Atualização &gt;15 dias)",IF(X156&gt;90,"CRÍTICO (Aberto &gt;90 dias)","OK"))))))</f>
        <v/>
      </c>
      <c r="Z156" s="90" t="str">
        <f aca="false">IF(B156="","",IF(OR(O156="27 - Instalação concluída",O156="28 - Encerrado"),"OK",IF(NOT(ISNUMBER(X156)),"",IF(X156&gt;365,"MUITO ANTIGO (&gt;1 ano)",IF(X156&gt;180,"ANTIGO (&gt;6 meses)",IF(X156&gt;90,"ATENÇÃO ANTIG. (&gt;3 meses)","OK"))))))</f>
        <v/>
      </c>
      <c r="AA156" s="86"/>
      <c r="AB156" s="69" t="str">
        <f aca="false">IF(AND(B156&lt;&gt;"",OR(T156="Pendente de Vistoria",T156="Não validada")),MAX($AB$1:$AB$155)+1,"")</f>
        <v/>
      </c>
      <c r="AC156" s="69" t="str">
        <f aca="false">IF(AND(B156&lt;&gt;"",OR(ISNUMBER(SEARCH("CTIN",P156)),U156="Alta",O156="07 - Relatório recebido — unidade apta",O156="11 - Orçamentos em análise técnica",O156="22 - Instalação/substituição autorizada")),MAX($AC$1:$AC$155)+1,"")</f>
        <v/>
      </c>
      <c r="AD156" s="69" t="str">
        <f aca="false">IF(AND(B156&lt;&gt;"",OR(ISNUMBER(SEARCH("CTO",P156)),LEFT(O156,2)="22",LEFT(O156,2)="23",LEFT(O156,2)="24",LEFT(O156,2)="25",LEFT(O156,2)="26",LEFT(O156,2)="27")),MAX($AD$1:$AD$155)+1,"")</f>
        <v/>
      </c>
      <c r="AE156" s="69" t="str">
        <f aca="false">IF(AND(B156&lt;&gt;"",D156=CONSULTA_UNIDADE!$B$4),MAX($AE$1:$AE$155)+1,"")</f>
        <v/>
      </c>
      <c r="AF156" s="69" t="str">
        <f aca="false">IF(AND(B156&lt;&gt;"",O156&lt;&gt;"27 - Instalação concluída",O156&lt;&gt;"28 - Encerrado",ISNUMBER(S156)),S156*1000+(1000-ROW()),"")</f>
        <v/>
      </c>
      <c r="AG156" s="69" t="str">
        <f aca="false">IF(AF156="","",RANK(AF156,$AF$2:$AF$500))</f>
        <v/>
      </c>
    </row>
    <row r="157" customFormat="false" ht="16.5" hidden="false" customHeight="true" outlineLevel="0" collapsed="false">
      <c r="A157" s="86"/>
      <c r="B157" s="86"/>
      <c r="C157" s="87" t="str">
        <f aca="false">IF(D157="","",IFERROR(INDEX(CADASTRO_VIVO_3CRE!$B$2:$B$150,MATCH(D157,CADASTRO_VIVO_3CRE!$E$2:$E$150,0)),""))</f>
        <v/>
      </c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8"/>
      <c r="S157" s="89" t="str">
        <f aca="true">IF(R157="","",TODAY()-INT(R157))</f>
        <v/>
      </c>
      <c r="T157" s="86"/>
      <c r="U157" s="86"/>
      <c r="V157" s="86"/>
      <c r="W157" s="88"/>
      <c r="X157" s="89" t="str">
        <f aca="true">IF(W157="","",IF(OR(O157="28 - Encerrado",O157="27 - Instalação concluída"),"Concluído",TODAY()-INT(W157)))</f>
        <v/>
      </c>
      <c r="Y157" s="90" t="str">
        <f aca="false">IF(OR(O157="28 - Encerrado",O157="27 - Instalação concluída"),"OK",IF(AND(B157&lt;&gt;"",S157=""),"ATENÇÃO (Sem data de atualização)",IF(S157="","",IF(S157&gt;30,"CRÍTICO (Sem Atualização &gt;30 dias)",IF(S157&gt;15,"ATENÇÃO (Sem Atualização &gt;15 dias)",IF(X157&gt;90,"CRÍTICO (Aberto &gt;90 dias)","OK"))))))</f>
        <v/>
      </c>
      <c r="Z157" s="90" t="str">
        <f aca="false">IF(B157="","",IF(OR(O157="27 - Instalação concluída",O157="28 - Encerrado"),"OK",IF(NOT(ISNUMBER(X157)),"",IF(X157&gt;365,"MUITO ANTIGO (&gt;1 ano)",IF(X157&gt;180,"ANTIGO (&gt;6 meses)",IF(X157&gt;90,"ATENÇÃO ANTIG. (&gt;3 meses)","OK"))))))</f>
        <v/>
      </c>
      <c r="AA157" s="86"/>
      <c r="AB157" s="69" t="str">
        <f aca="false">IF(AND(B157&lt;&gt;"",OR(T157="Pendente de Vistoria",T157="Não validada")),MAX($AB$1:$AB$156)+1,"")</f>
        <v/>
      </c>
      <c r="AC157" s="69" t="str">
        <f aca="false">IF(AND(B157&lt;&gt;"",OR(ISNUMBER(SEARCH("CTIN",P157)),U157="Alta",O157="07 - Relatório recebido — unidade apta",O157="11 - Orçamentos em análise técnica",O157="22 - Instalação/substituição autorizada")),MAX($AC$1:$AC$156)+1,"")</f>
        <v/>
      </c>
      <c r="AD157" s="69" t="str">
        <f aca="false">IF(AND(B157&lt;&gt;"",OR(ISNUMBER(SEARCH("CTO",P157)),LEFT(O157,2)="22",LEFT(O157,2)="23",LEFT(O157,2)="24",LEFT(O157,2)="25",LEFT(O157,2)="26",LEFT(O157,2)="27")),MAX($AD$1:$AD$156)+1,"")</f>
        <v/>
      </c>
      <c r="AE157" s="69" t="str">
        <f aca="false">IF(AND(B157&lt;&gt;"",D157=CONSULTA_UNIDADE!$B$4),MAX($AE$1:$AE$156)+1,"")</f>
        <v/>
      </c>
      <c r="AF157" s="69" t="str">
        <f aca="false">IF(AND(B157&lt;&gt;"",O157&lt;&gt;"27 - Instalação concluída",O157&lt;&gt;"28 - Encerrado",ISNUMBER(S157)),S157*1000+(1000-ROW()),"")</f>
        <v/>
      </c>
      <c r="AG157" s="69" t="str">
        <f aca="false">IF(AF157="","",RANK(AF157,$AF$2:$AF$500))</f>
        <v/>
      </c>
    </row>
    <row r="158" customFormat="false" ht="16.5" hidden="false" customHeight="true" outlineLevel="0" collapsed="false">
      <c r="A158" s="86"/>
      <c r="B158" s="86"/>
      <c r="C158" s="87" t="str">
        <f aca="false">IF(D158="","",IFERROR(INDEX(CADASTRO_VIVO_3CRE!$B$2:$B$150,MATCH(D158,CADASTRO_VIVO_3CRE!$E$2:$E$150,0)),""))</f>
        <v/>
      </c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8"/>
      <c r="S158" s="89" t="str">
        <f aca="true">IF(R158="","",TODAY()-INT(R158))</f>
        <v/>
      </c>
      <c r="T158" s="86"/>
      <c r="U158" s="86"/>
      <c r="V158" s="86"/>
      <c r="W158" s="88"/>
      <c r="X158" s="89" t="str">
        <f aca="true">IF(W158="","",IF(OR(O158="28 - Encerrado",O158="27 - Instalação concluída"),"Concluído",TODAY()-INT(W158)))</f>
        <v/>
      </c>
      <c r="Y158" s="90" t="str">
        <f aca="false">IF(OR(O158="28 - Encerrado",O158="27 - Instalação concluída"),"OK",IF(AND(B158&lt;&gt;"",S158=""),"ATENÇÃO (Sem data de atualização)",IF(S158="","",IF(S158&gt;30,"CRÍTICO (Sem Atualização &gt;30 dias)",IF(S158&gt;15,"ATENÇÃO (Sem Atualização &gt;15 dias)",IF(X158&gt;90,"CRÍTICO (Aberto &gt;90 dias)","OK"))))))</f>
        <v/>
      </c>
      <c r="Z158" s="90" t="str">
        <f aca="false">IF(B158="","",IF(OR(O158="27 - Instalação concluída",O158="28 - Encerrado"),"OK",IF(NOT(ISNUMBER(X158)),"",IF(X158&gt;365,"MUITO ANTIGO (&gt;1 ano)",IF(X158&gt;180,"ANTIGO (&gt;6 meses)",IF(X158&gt;90,"ATENÇÃO ANTIG. (&gt;3 meses)","OK"))))))</f>
        <v/>
      </c>
      <c r="AA158" s="86"/>
      <c r="AB158" s="69" t="str">
        <f aca="false">IF(AND(B158&lt;&gt;"",OR(T158="Pendente de Vistoria",T158="Não validada")),MAX($AB$1:$AB$157)+1,"")</f>
        <v/>
      </c>
      <c r="AC158" s="69" t="str">
        <f aca="false">IF(AND(B158&lt;&gt;"",OR(ISNUMBER(SEARCH("CTIN",P158)),U158="Alta",O158="07 - Relatório recebido — unidade apta",O158="11 - Orçamentos em análise técnica",O158="22 - Instalação/substituição autorizada")),MAX($AC$1:$AC$157)+1,"")</f>
        <v/>
      </c>
      <c r="AD158" s="69" t="str">
        <f aca="false">IF(AND(B158&lt;&gt;"",OR(ISNUMBER(SEARCH("CTO",P158)),LEFT(O158,2)="22",LEFT(O158,2)="23",LEFT(O158,2)="24",LEFT(O158,2)="25",LEFT(O158,2)="26",LEFT(O158,2)="27")),MAX($AD$1:$AD$157)+1,"")</f>
        <v/>
      </c>
      <c r="AE158" s="69" t="str">
        <f aca="false">IF(AND(B158&lt;&gt;"",D158=CONSULTA_UNIDADE!$B$4),MAX($AE$1:$AE$157)+1,"")</f>
        <v/>
      </c>
      <c r="AF158" s="69" t="str">
        <f aca="false">IF(AND(B158&lt;&gt;"",O158&lt;&gt;"27 - Instalação concluída",O158&lt;&gt;"28 - Encerrado",ISNUMBER(S158)),S158*1000+(1000-ROW()),"")</f>
        <v/>
      </c>
      <c r="AG158" s="69" t="str">
        <f aca="false">IF(AF158="","",RANK(AF158,$AF$2:$AF$500))</f>
        <v/>
      </c>
    </row>
    <row r="159" customFormat="false" ht="16.5" hidden="false" customHeight="true" outlineLevel="0" collapsed="false">
      <c r="A159" s="86"/>
      <c r="B159" s="86"/>
      <c r="C159" s="87" t="str">
        <f aca="false">IF(D159="","",IFERROR(INDEX(CADASTRO_VIVO_3CRE!$B$2:$B$150,MATCH(D159,CADASTRO_VIVO_3CRE!$E$2:$E$150,0)),""))</f>
        <v/>
      </c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8"/>
      <c r="S159" s="89" t="str">
        <f aca="true">IF(R159="","",TODAY()-INT(R159))</f>
        <v/>
      </c>
      <c r="T159" s="86"/>
      <c r="U159" s="86"/>
      <c r="V159" s="86"/>
      <c r="W159" s="88"/>
      <c r="X159" s="89" t="str">
        <f aca="true">IF(W159="","",IF(OR(O159="28 - Encerrado",O159="27 - Instalação concluída"),"Concluído",TODAY()-INT(W159)))</f>
        <v/>
      </c>
      <c r="Y159" s="90" t="str">
        <f aca="false">IF(OR(O159="28 - Encerrado",O159="27 - Instalação concluída"),"OK",IF(AND(B159&lt;&gt;"",S159=""),"ATENÇÃO (Sem data de atualização)",IF(S159="","",IF(S159&gt;30,"CRÍTICO (Sem Atualização &gt;30 dias)",IF(S159&gt;15,"ATENÇÃO (Sem Atualização &gt;15 dias)",IF(X159&gt;90,"CRÍTICO (Aberto &gt;90 dias)","OK"))))))</f>
        <v/>
      </c>
      <c r="Z159" s="90" t="str">
        <f aca="false">IF(B159="","",IF(OR(O159="27 - Instalação concluída",O159="28 - Encerrado"),"OK",IF(NOT(ISNUMBER(X159)),"",IF(X159&gt;365,"MUITO ANTIGO (&gt;1 ano)",IF(X159&gt;180,"ANTIGO (&gt;6 meses)",IF(X159&gt;90,"ATENÇÃO ANTIG. (&gt;3 meses)","OK"))))))</f>
        <v/>
      </c>
      <c r="AA159" s="86"/>
      <c r="AB159" s="69" t="str">
        <f aca="false">IF(AND(B159&lt;&gt;"",OR(T159="Pendente de Vistoria",T159="Não validada")),MAX($AB$1:$AB$158)+1,"")</f>
        <v/>
      </c>
      <c r="AC159" s="69" t="str">
        <f aca="false">IF(AND(B159&lt;&gt;"",OR(ISNUMBER(SEARCH("CTIN",P159)),U159="Alta",O159="07 - Relatório recebido — unidade apta",O159="11 - Orçamentos em análise técnica",O159="22 - Instalação/substituição autorizada")),MAX($AC$1:$AC$158)+1,"")</f>
        <v/>
      </c>
      <c r="AD159" s="69" t="str">
        <f aca="false">IF(AND(B159&lt;&gt;"",OR(ISNUMBER(SEARCH("CTO",P159)),LEFT(O159,2)="22",LEFT(O159,2)="23",LEFT(O159,2)="24",LEFT(O159,2)="25",LEFT(O159,2)="26",LEFT(O159,2)="27")),MAX($AD$1:$AD$158)+1,"")</f>
        <v/>
      </c>
      <c r="AE159" s="69" t="str">
        <f aca="false">IF(AND(B159&lt;&gt;"",D159=CONSULTA_UNIDADE!$B$4),MAX($AE$1:$AE$158)+1,"")</f>
        <v/>
      </c>
      <c r="AF159" s="69" t="str">
        <f aca="false">IF(AND(B159&lt;&gt;"",O159&lt;&gt;"27 - Instalação concluída",O159&lt;&gt;"28 - Encerrado",ISNUMBER(S159)),S159*1000+(1000-ROW()),"")</f>
        <v/>
      </c>
      <c r="AG159" s="69" t="str">
        <f aca="false">IF(AF159="","",RANK(AF159,$AF$2:$AF$500))</f>
        <v/>
      </c>
    </row>
    <row r="160" customFormat="false" ht="16.5" hidden="false" customHeight="true" outlineLevel="0" collapsed="false">
      <c r="A160" s="86"/>
      <c r="B160" s="86"/>
      <c r="C160" s="87" t="str">
        <f aca="false">IF(D160="","",IFERROR(INDEX(CADASTRO_VIVO_3CRE!$B$2:$B$150,MATCH(D160,CADASTRO_VIVO_3CRE!$E$2:$E$150,0)),""))</f>
        <v/>
      </c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8"/>
      <c r="S160" s="89" t="str">
        <f aca="true">IF(R160="","",TODAY()-INT(R160))</f>
        <v/>
      </c>
      <c r="T160" s="86"/>
      <c r="U160" s="86"/>
      <c r="V160" s="86"/>
      <c r="W160" s="88"/>
      <c r="X160" s="89" t="str">
        <f aca="true">IF(W160="","",IF(OR(O160="28 - Encerrado",O160="27 - Instalação concluída"),"Concluído",TODAY()-INT(W160)))</f>
        <v/>
      </c>
      <c r="Y160" s="90" t="str">
        <f aca="false">IF(OR(O160="28 - Encerrado",O160="27 - Instalação concluída"),"OK",IF(AND(B160&lt;&gt;"",S160=""),"ATENÇÃO (Sem data de atualização)",IF(S160="","",IF(S160&gt;30,"CRÍTICO (Sem Atualização &gt;30 dias)",IF(S160&gt;15,"ATENÇÃO (Sem Atualização &gt;15 dias)",IF(X160&gt;90,"CRÍTICO (Aberto &gt;90 dias)","OK"))))))</f>
        <v/>
      </c>
      <c r="Z160" s="90" t="str">
        <f aca="false">IF(B160="","",IF(OR(O160="27 - Instalação concluída",O160="28 - Encerrado"),"OK",IF(NOT(ISNUMBER(X160)),"",IF(X160&gt;365,"MUITO ANTIGO (&gt;1 ano)",IF(X160&gt;180,"ANTIGO (&gt;6 meses)",IF(X160&gt;90,"ATENÇÃO ANTIG. (&gt;3 meses)","OK"))))))</f>
        <v/>
      </c>
      <c r="AA160" s="86"/>
      <c r="AB160" s="69" t="str">
        <f aca="false">IF(AND(B160&lt;&gt;"",OR(T160="Pendente de Vistoria",T160="Não validada")),MAX($AB$1:$AB$159)+1,"")</f>
        <v/>
      </c>
      <c r="AC160" s="69" t="str">
        <f aca="false">IF(AND(B160&lt;&gt;"",OR(ISNUMBER(SEARCH("CTIN",P160)),U160="Alta",O160="07 - Relatório recebido — unidade apta",O160="11 - Orçamentos em análise técnica",O160="22 - Instalação/substituição autorizada")),MAX($AC$1:$AC$159)+1,"")</f>
        <v/>
      </c>
      <c r="AD160" s="69" t="str">
        <f aca="false">IF(AND(B160&lt;&gt;"",OR(ISNUMBER(SEARCH("CTO",P160)),LEFT(O160,2)="22",LEFT(O160,2)="23",LEFT(O160,2)="24",LEFT(O160,2)="25",LEFT(O160,2)="26",LEFT(O160,2)="27")),MAX($AD$1:$AD$159)+1,"")</f>
        <v/>
      </c>
      <c r="AE160" s="69" t="str">
        <f aca="false">IF(AND(B160&lt;&gt;"",D160=CONSULTA_UNIDADE!$B$4),MAX($AE$1:$AE$159)+1,"")</f>
        <v/>
      </c>
      <c r="AF160" s="69" t="str">
        <f aca="false">IF(AND(B160&lt;&gt;"",O160&lt;&gt;"27 - Instalação concluída",O160&lt;&gt;"28 - Encerrado",ISNUMBER(S160)),S160*1000+(1000-ROW()),"")</f>
        <v/>
      </c>
      <c r="AG160" s="69" t="str">
        <f aca="false">IF(AF160="","",RANK(AF160,$AF$2:$AF$500))</f>
        <v/>
      </c>
    </row>
    <row r="161" customFormat="false" ht="16.5" hidden="false" customHeight="true" outlineLevel="0" collapsed="false">
      <c r="A161" s="86"/>
      <c r="B161" s="86"/>
      <c r="C161" s="87" t="str">
        <f aca="false">IF(D161="","",IFERROR(INDEX(CADASTRO_VIVO_3CRE!$B$2:$B$150,MATCH(D161,CADASTRO_VIVO_3CRE!$E$2:$E$150,0)),""))</f>
        <v/>
      </c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8"/>
      <c r="S161" s="89" t="str">
        <f aca="true">IF(R161="","",TODAY()-INT(R161))</f>
        <v/>
      </c>
      <c r="T161" s="86"/>
      <c r="U161" s="86"/>
      <c r="V161" s="86"/>
      <c r="W161" s="88"/>
      <c r="X161" s="89" t="str">
        <f aca="true">IF(W161="","",IF(OR(O161="28 - Encerrado",O161="27 - Instalação concluída"),"Concluído",TODAY()-INT(W161)))</f>
        <v/>
      </c>
      <c r="Y161" s="90" t="str">
        <f aca="false">IF(OR(O161="28 - Encerrado",O161="27 - Instalação concluída"),"OK",IF(AND(B161&lt;&gt;"",S161=""),"ATENÇÃO (Sem data de atualização)",IF(S161="","",IF(S161&gt;30,"CRÍTICO (Sem Atualização &gt;30 dias)",IF(S161&gt;15,"ATENÇÃO (Sem Atualização &gt;15 dias)",IF(X161&gt;90,"CRÍTICO (Aberto &gt;90 dias)","OK"))))))</f>
        <v/>
      </c>
      <c r="Z161" s="90" t="str">
        <f aca="false">IF(B161="","",IF(OR(O161="27 - Instalação concluída",O161="28 - Encerrado"),"OK",IF(NOT(ISNUMBER(X161)),"",IF(X161&gt;365,"MUITO ANTIGO (&gt;1 ano)",IF(X161&gt;180,"ANTIGO (&gt;6 meses)",IF(X161&gt;90,"ATENÇÃO ANTIG. (&gt;3 meses)","OK"))))))</f>
        <v/>
      </c>
      <c r="AA161" s="86"/>
      <c r="AB161" s="69" t="str">
        <f aca="false">IF(AND(B161&lt;&gt;"",OR(T161="Pendente de Vistoria",T161="Não validada")),MAX($AB$1:$AB$160)+1,"")</f>
        <v/>
      </c>
      <c r="AC161" s="69" t="str">
        <f aca="false">IF(AND(B161&lt;&gt;"",OR(ISNUMBER(SEARCH("CTIN",P161)),U161="Alta",O161="07 - Relatório recebido — unidade apta",O161="11 - Orçamentos em análise técnica",O161="22 - Instalação/substituição autorizada")),MAX($AC$1:$AC$160)+1,"")</f>
        <v/>
      </c>
      <c r="AD161" s="69" t="str">
        <f aca="false">IF(AND(B161&lt;&gt;"",OR(ISNUMBER(SEARCH("CTO",P161)),LEFT(O161,2)="22",LEFT(O161,2)="23",LEFT(O161,2)="24",LEFT(O161,2)="25",LEFT(O161,2)="26",LEFT(O161,2)="27")),MAX($AD$1:$AD$160)+1,"")</f>
        <v/>
      </c>
      <c r="AE161" s="69" t="str">
        <f aca="false">IF(AND(B161&lt;&gt;"",D161=CONSULTA_UNIDADE!$B$4),MAX($AE$1:$AE$160)+1,"")</f>
        <v/>
      </c>
      <c r="AF161" s="69" t="str">
        <f aca="false">IF(AND(B161&lt;&gt;"",O161&lt;&gt;"27 - Instalação concluída",O161&lt;&gt;"28 - Encerrado",ISNUMBER(S161)),S161*1000+(1000-ROW()),"")</f>
        <v/>
      </c>
      <c r="AG161" s="69" t="str">
        <f aca="false">IF(AF161="","",RANK(AF161,$AF$2:$AF$500))</f>
        <v/>
      </c>
    </row>
    <row r="162" customFormat="false" ht="16.5" hidden="false" customHeight="true" outlineLevel="0" collapsed="false">
      <c r="A162" s="86"/>
      <c r="B162" s="86"/>
      <c r="C162" s="87" t="str">
        <f aca="false">IF(D162="","",IFERROR(INDEX(CADASTRO_VIVO_3CRE!$B$2:$B$150,MATCH(D162,CADASTRO_VIVO_3CRE!$E$2:$E$150,0)),""))</f>
        <v/>
      </c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8"/>
      <c r="S162" s="89" t="str">
        <f aca="true">IF(R162="","",TODAY()-INT(R162))</f>
        <v/>
      </c>
      <c r="T162" s="86"/>
      <c r="U162" s="86"/>
      <c r="V162" s="86"/>
      <c r="W162" s="88"/>
      <c r="X162" s="89" t="str">
        <f aca="true">IF(W162="","",IF(OR(O162="28 - Encerrado",O162="27 - Instalação concluída"),"Concluído",TODAY()-INT(W162)))</f>
        <v/>
      </c>
      <c r="Y162" s="90" t="str">
        <f aca="false">IF(OR(O162="28 - Encerrado",O162="27 - Instalação concluída"),"OK",IF(AND(B162&lt;&gt;"",S162=""),"ATENÇÃO (Sem data de atualização)",IF(S162="","",IF(S162&gt;30,"CRÍTICO (Sem Atualização &gt;30 dias)",IF(S162&gt;15,"ATENÇÃO (Sem Atualização &gt;15 dias)",IF(X162&gt;90,"CRÍTICO (Aberto &gt;90 dias)","OK"))))))</f>
        <v/>
      </c>
      <c r="Z162" s="90" t="str">
        <f aca="false">IF(B162="","",IF(OR(O162="27 - Instalação concluída",O162="28 - Encerrado"),"OK",IF(NOT(ISNUMBER(X162)),"",IF(X162&gt;365,"MUITO ANTIGO (&gt;1 ano)",IF(X162&gt;180,"ANTIGO (&gt;6 meses)",IF(X162&gt;90,"ATENÇÃO ANTIG. (&gt;3 meses)","OK"))))))</f>
        <v/>
      </c>
      <c r="AA162" s="86"/>
      <c r="AB162" s="69" t="str">
        <f aca="false">IF(AND(B162&lt;&gt;"",OR(T162="Pendente de Vistoria",T162="Não validada")),MAX($AB$1:$AB$161)+1,"")</f>
        <v/>
      </c>
      <c r="AC162" s="69" t="str">
        <f aca="false">IF(AND(B162&lt;&gt;"",OR(ISNUMBER(SEARCH("CTIN",P162)),U162="Alta",O162="07 - Relatório recebido — unidade apta",O162="11 - Orçamentos em análise técnica",O162="22 - Instalação/substituição autorizada")),MAX($AC$1:$AC$161)+1,"")</f>
        <v/>
      </c>
      <c r="AD162" s="69" t="str">
        <f aca="false">IF(AND(B162&lt;&gt;"",OR(ISNUMBER(SEARCH("CTO",P162)),LEFT(O162,2)="22",LEFT(O162,2)="23",LEFT(O162,2)="24",LEFT(O162,2)="25",LEFT(O162,2)="26",LEFT(O162,2)="27")),MAX($AD$1:$AD$161)+1,"")</f>
        <v/>
      </c>
      <c r="AE162" s="69" t="str">
        <f aca="false">IF(AND(B162&lt;&gt;"",D162=CONSULTA_UNIDADE!$B$4),MAX($AE$1:$AE$161)+1,"")</f>
        <v/>
      </c>
      <c r="AF162" s="69" t="str">
        <f aca="false">IF(AND(B162&lt;&gt;"",O162&lt;&gt;"27 - Instalação concluída",O162&lt;&gt;"28 - Encerrado",ISNUMBER(S162)),S162*1000+(1000-ROW()),"")</f>
        <v/>
      </c>
      <c r="AG162" s="69" t="str">
        <f aca="false">IF(AF162="","",RANK(AF162,$AF$2:$AF$500))</f>
        <v/>
      </c>
    </row>
    <row r="163" customFormat="false" ht="16.5" hidden="false" customHeight="true" outlineLevel="0" collapsed="false">
      <c r="A163" s="86"/>
      <c r="B163" s="86"/>
      <c r="C163" s="87" t="str">
        <f aca="false">IF(D163="","",IFERROR(INDEX(CADASTRO_VIVO_3CRE!$B$2:$B$150,MATCH(D163,CADASTRO_VIVO_3CRE!$E$2:$E$150,0)),""))</f>
        <v/>
      </c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8"/>
      <c r="S163" s="89" t="str">
        <f aca="true">IF(R163="","",TODAY()-INT(R163))</f>
        <v/>
      </c>
      <c r="T163" s="86"/>
      <c r="U163" s="86"/>
      <c r="V163" s="86"/>
      <c r="W163" s="88"/>
      <c r="X163" s="89" t="str">
        <f aca="true">IF(W163="","",IF(OR(O163="28 - Encerrado",O163="27 - Instalação concluída"),"Concluído",TODAY()-INT(W163)))</f>
        <v/>
      </c>
      <c r="Y163" s="90" t="str">
        <f aca="false">IF(OR(O163="28 - Encerrado",O163="27 - Instalação concluída"),"OK",IF(AND(B163&lt;&gt;"",S163=""),"ATENÇÃO (Sem data de atualização)",IF(S163="","",IF(S163&gt;30,"CRÍTICO (Sem Atualização &gt;30 dias)",IF(S163&gt;15,"ATENÇÃO (Sem Atualização &gt;15 dias)",IF(X163&gt;90,"CRÍTICO (Aberto &gt;90 dias)","OK"))))))</f>
        <v/>
      </c>
      <c r="Z163" s="90" t="str">
        <f aca="false">IF(B163="","",IF(OR(O163="27 - Instalação concluída",O163="28 - Encerrado"),"OK",IF(NOT(ISNUMBER(X163)),"",IF(X163&gt;365,"MUITO ANTIGO (&gt;1 ano)",IF(X163&gt;180,"ANTIGO (&gt;6 meses)",IF(X163&gt;90,"ATENÇÃO ANTIG. (&gt;3 meses)","OK"))))))</f>
        <v/>
      </c>
      <c r="AA163" s="86"/>
      <c r="AB163" s="69" t="str">
        <f aca="false">IF(AND(B163&lt;&gt;"",OR(T163="Pendente de Vistoria",T163="Não validada")),MAX($AB$1:$AB$162)+1,"")</f>
        <v/>
      </c>
      <c r="AC163" s="69" t="str">
        <f aca="false">IF(AND(B163&lt;&gt;"",OR(ISNUMBER(SEARCH("CTIN",P163)),U163="Alta",O163="07 - Relatório recebido — unidade apta",O163="11 - Orçamentos em análise técnica",O163="22 - Instalação/substituição autorizada")),MAX($AC$1:$AC$162)+1,"")</f>
        <v/>
      </c>
      <c r="AD163" s="69" t="str">
        <f aca="false">IF(AND(B163&lt;&gt;"",OR(ISNUMBER(SEARCH("CTO",P163)),LEFT(O163,2)="22",LEFT(O163,2)="23",LEFT(O163,2)="24",LEFT(O163,2)="25",LEFT(O163,2)="26",LEFT(O163,2)="27")),MAX($AD$1:$AD$162)+1,"")</f>
        <v/>
      </c>
      <c r="AE163" s="69" t="str">
        <f aca="false">IF(AND(B163&lt;&gt;"",D163=CONSULTA_UNIDADE!$B$4),MAX($AE$1:$AE$162)+1,"")</f>
        <v/>
      </c>
      <c r="AF163" s="69" t="str">
        <f aca="false">IF(AND(B163&lt;&gt;"",O163&lt;&gt;"27 - Instalação concluída",O163&lt;&gt;"28 - Encerrado",ISNUMBER(S163)),S163*1000+(1000-ROW()),"")</f>
        <v/>
      </c>
      <c r="AG163" s="69" t="str">
        <f aca="false">IF(AF163="","",RANK(AF163,$AF$2:$AF$500))</f>
        <v/>
      </c>
    </row>
    <row r="164" customFormat="false" ht="16.5" hidden="false" customHeight="true" outlineLevel="0" collapsed="false">
      <c r="A164" s="86"/>
      <c r="B164" s="86"/>
      <c r="C164" s="87" t="str">
        <f aca="false">IF(D164="","",IFERROR(INDEX(CADASTRO_VIVO_3CRE!$B$2:$B$150,MATCH(D164,CADASTRO_VIVO_3CRE!$E$2:$E$150,0)),""))</f>
        <v/>
      </c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8"/>
      <c r="S164" s="89" t="str">
        <f aca="true">IF(R164="","",TODAY()-INT(R164))</f>
        <v/>
      </c>
      <c r="T164" s="86"/>
      <c r="U164" s="86"/>
      <c r="V164" s="86"/>
      <c r="W164" s="88"/>
      <c r="X164" s="89" t="str">
        <f aca="true">IF(W164="","",IF(OR(O164="28 - Encerrado",O164="27 - Instalação concluída"),"Concluído",TODAY()-INT(W164)))</f>
        <v/>
      </c>
      <c r="Y164" s="90" t="str">
        <f aca="false">IF(OR(O164="28 - Encerrado",O164="27 - Instalação concluída"),"OK",IF(AND(B164&lt;&gt;"",S164=""),"ATENÇÃO (Sem data de atualização)",IF(S164="","",IF(S164&gt;30,"CRÍTICO (Sem Atualização &gt;30 dias)",IF(S164&gt;15,"ATENÇÃO (Sem Atualização &gt;15 dias)",IF(X164&gt;90,"CRÍTICO (Aberto &gt;90 dias)","OK"))))))</f>
        <v/>
      </c>
      <c r="Z164" s="90" t="str">
        <f aca="false">IF(B164="","",IF(OR(O164="27 - Instalação concluída",O164="28 - Encerrado"),"OK",IF(NOT(ISNUMBER(X164)),"",IF(X164&gt;365,"MUITO ANTIGO (&gt;1 ano)",IF(X164&gt;180,"ANTIGO (&gt;6 meses)",IF(X164&gt;90,"ATENÇÃO ANTIG. (&gt;3 meses)","OK"))))))</f>
        <v/>
      </c>
      <c r="AA164" s="86"/>
      <c r="AB164" s="69" t="str">
        <f aca="false">IF(AND(B164&lt;&gt;"",OR(T164="Pendente de Vistoria",T164="Não validada")),MAX($AB$1:$AB$163)+1,"")</f>
        <v/>
      </c>
      <c r="AC164" s="69" t="str">
        <f aca="false">IF(AND(B164&lt;&gt;"",OR(ISNUMBER(SEARCH("CTIN",P164)),U164="Alta",O164="07 - Relatório recebido — unidade apta",O164="11 - Orçamentos em análise técnica",O164="22 - Instalação/substituição autorizada")),MAX($AC$1:$AC$163)+1,"")</f>
        <v/>
      </c>
      <c r="AD164" s="69" t="str">
        <f aca="false">IF(AND(B164&lt;&gt;"",OR(ISNUMBER(SEARCH("CTO",P164)),LEFT(O164,2)="22",LEFT(O164,2)="23",LEFT(O164,2)="24",LEFT(O164,2)="25",LEFT(O164,2)="26",LEFT(O164,2)="27")),MAX($AD$1:$AD$163)+1,"")</f>
        <v/>
      </c>
      <c r="AE164" s="69" t="str">
        <f aca="false">IF(AND(B164&lt;&gt;"",D164=CONSULTA_UNIDADE!$B$4),MAX($AE$1:$AE$163)+1,"")</f>
        <v/>
      </c>
      <c r="AF164" s="69" t="str">
        <f aca="false">IF(AND(B164&lt;&gt;"",O164&lt;&gt;"27 - Instalação concluída",O164&lt;&gt;"28 - Encerrado",ISNUMBER(S164)),S164*1000+(1000-ROW()),"")</f>
        <v/>
      </c>
      <c r="AG164" s="69" t="str">
        <f aca="false">IF(AF164="","",RANK(AF164,$AF$2:$AF$500))</f>
        <v/>
      </c>
    </row>
    <row r="165" customFormat="false" ht="16.5" hidden="false" customHeight="true" outlineLevel="0" collapsed="false">
      <c r="A165" s="86"/>
      <c r="B165" s="86"/>
      <c r="C165" s="87" t="str">
        <f aca="false">IF(D165="","",IFERROR(INDEX(CADASTRO_VIVO_3CRE!$B$2:$B$150,MATCH(D165,CADASTRO_VIVO_3CRE!$E$2:$E$150,0)),""))</f>
        <v/>
      </c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8"/>
      <c r="S165" s="89" t="str">
        <f aca="true">IF(R165="","",TODAY()-INT(R165))</f>
        <v/>
      </c>
      <c r="T165" s="86"/>
      <c r="U165" s="86"/>
      <c r="V165" s="86"/>
      <c r="W165" s="88"/>
      <c r="X165" s="89" t="str">
        <f aca="true">IF(W165="","",IF(OR(O165="28 - Encerrado",O165="27 - Instalação concluída"),"Concluído",TODAY()-INT(W165)))</f>
        <v/>
      </c>
      <c r="Y165" s="90" t="str">
        <f aca="false">IF(OR(O165="28 - Encerrado",O165="27 - Instalação concluída"),"OK",IF(AND(B165&lt;&gt;"",S165=""),"ATENÇÃO (Sem data de atualização)",IF(S165="","",IF(S165&gt;30,"CRÍTICO (Sem Atualização &gt;30 dias)",IF(S165&gt;15,"ATENÇÃO (Sem Atualização &gt;15 dias)",IF(X165&gt;90,"CRÍTICO (Aberto &gt;90 dias)","OK"))))))</f>
        <v/>
      </c>
      <c r="Z165" s="90" t="str">
        <f aca="false">IF(B165="","",IF(OR(O165="27 - Instalação concluída",O165="28 - Encerrado"),"OK",IF(NOT(ISNUMBER(X165)),"",IF(X165&gt;365,"MUITO ANTIGO (&gt;1 ano)",IF(X165&gt;180,"ANTIGO (&gt;6 meses)",IF(X165&gt;90,"ATENÇÃO ANTIG. (&gt;3 meses)","OK"))))))</f>
        <v/>
      </c>
      <c r="AA165" s="86"/>
      <c r="AB165" s="69" t="str">
        <f aca="false">IF(AND(B165&lt;&gt;"",OR(T165="Pendente de Vistoria",T165="Não validada")),MAX($AB$1:$AB$164)+1,"")</f>
        <v/>
      </c>
      <c r="AC165" s="69" t="str">
        <f aca="false">IF(AND(B165&lt;&gt;"",OR(ISNUMBER(SEARCH("CTIN",P165)),U165="Alta",O165="07 - Relatório recebido — unidade apta",O165="11 - Orçamentos em análise técnica",O165="22 - Instalação/substituição autorizada")),MAX($AC$1:$AC$164)+1,"")</f>
        <v/>
      </c>
      <c r="AD165" s="69" t="str">
        <f aca="false">IF(AND(B165&lt;&gt;"",OR(ISNUMBER(SEARCH("CTO",P165)),LEFT(O165,2)="22",LEFT(O165,2)="23",LEFT(O165,2)="24",LEFT(O165,2)="25",LEFT(O165,2)="26",LEFT(O165,2)="27")),MAX($AD$1:$AD$164)+1,"")</f>
        <v/>
      </c>
      <c r="AE165" s="69" t="str">
        <f aca="false">IF(AND(B165&lt;&gt;"",D165=CONSULTA_UNIDADE!$B$4),MAX($AE$1:$AE$164)+1,"")</f>
        <v/>
      </c>
      <c r="AF165" s="69" t="str">
        <f aca="false">IF(AND(B165&lt;&gt;"",O165&lt;&gt;"27 - Instalação concluída",O165&lt;&gt;"28 - Encerrado",ISNUMBER(S165)),S165*1000+(1000-ROW()),"")</f>
        <v/>
      </c>
      <c r="AG165" s="69" t="str">
        <f aca="false">IF(AF165="","",RANK(AF165,$AF$2:$AF$500))</f>
        <v/>
      </c>
    </row>
    <row r="166" customFormat="false" ht="16.5" hidden="false" customHeight="true" outlineLevel="0" collapsed="false">
      <c r="A166" s="86"/>
      <c r="B166" s="86"/>
      <c r="C166" s="87" t="str">
        <f aca="false">IF(D166="","",IFERROR(INDEX(CADASTRO_VIVO_3CRE!$B$2:$B$150,MATCH(D166,CADASTRO_VIVO_3CRE!$E$2:$E$150,0)),""))</f>
        <v/>
      </c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8"/>
      <c r="S166" s="89" t="str">
        <f aca="true">IF(R166="","",TODAY()-INT(R166))</f>
        <v/>
      </c>
      <c r="T166" s="86"/>
      <c r="U166" s="86"/>
      <c r="V166" s="86"/>
      <c r="W166" s="88"/>
      <c r="X166" s="89" t="str">
        <f aca="true">IF(W166="","",IF(OR(O166="28 - Encerrado",O166="27 - Instalação concluída"),"Concluído",TODAY()-INT(W166)))</f>
        <v/>
      </c>
      <c r="Y166" s="90" t="str">
        <f aca="false">IF(OR(O166="28 - Encerrado",O166="27 - Instalação concluída"),"OK",IF(AND(B166&lt;&gt;"",S166=""),"ATENÇÃO (Sem data de atualização)",IF(S166="","",IF(S166&gt;30,"CRÍTICO (Sem Atualização &gt;30 dias)",IF(S166&gt;15,"ATENÇÃO (Sem Atualização &gt;15 dias)",IF(X166&gt;90,"CRÍTICO (Aberto &gt;90 dias)","OK"))))))</f>
        <v/>
      </c>
      <c r="Z166" s="90" t="str">
        <f aca="false">IF(B166="","",IF(OR(O166="27 - Instalação concluída",O166="28 - Encerrado"),"OK",IF(NOT(ISNUMBER(X166)),"",IF(X166&gt;365,"MUITO ANTIGO (&gt;1 ano)",IF(X166&gt;180,"ANTIGO (&gt;6 meses)",IF(X166&gt;90,"ATENÇÃO ANTIG. (&gt;3 meses)","OK"))))))</f>
        <v/>
      </c>
      <c r="AA166" s="86"/>
      <c r="AB166" s="69" t="str">
        <f aca="false">IF(AND(B166&lt;&gt;"",OR(T166="Pendente de Vistoria",T166="Não validada")),MAX($AB$1:$AB$165)+1,"")</f>
        <v/>
      </c>
      <c r="AC166" s="69" t="str">
        <f aca="false">IF(AND(B166&lt;&gt;"",OR(ISNUMBER(SEARCH("CTIN",P166)),U166="Alta",O166="07 - Relatório recebido — unidade apta",O166="11 - Orçamentos em análise técnica",O166="22 - Instalação/substituição autorizada")),MAX($AC$1:$AC$165)+1,"")</f>
        <v/>
      </c>
      <c r="AD166" s="69" t="str">
        <f aca="false">IF(AND(B166&lt;&gt;"",OR(ISNUMBER(SEARCH("CTO",P166)),LEFT(O166,2)="22",LEFT(O166,2)="23",LEFT(O166,2)="24",LEFT(O166,2)="25",LEFT(O166,2)="26",LEFT(O166,2)="27")),MAX($AD$1:$AD$165)+1,"")</f>
        <v/>
      </c>
      <c r="AE166" s="69" t="str">
        <f aca="false">IF(AND(B166&lt;&gt;"",D166=CONSULTA_UNIDADE!$B$4),MAX($AE$1:$AE$165)+1,"")</f>
        <v/>
      </c>
      <c r="AF166" s="69" t="str">
        <f aca="false">IF(AND(B166&lt;&gt;"",O166&lt;&gt;"27 - Instalação concluída",O166&lt;&gt;"28 - Encerrado",ISNUMBER(S166)),S166*1000+(1000-ROW()),"")</f>
        <v/>
      </c>
      <c r="AG166" s="69" t="str">
        <f aca="false">IF(AF166="","",RANK(AF166,$AF$2:$AF$500))</f>
        <v/>
      </c>
    </row>
    <row r="167" customFormat="false" ht="16.5" hidden="false" customHeight="true" outlineLevel="0" collapsed="false">
      <c r="A167" s="86"/>
      <c r="B167" s="86"/>
      <c r="C167" s="87" t="str">
        <f aca="false">IF(D167="","",IFERROR(INDEX(CADASTRO_VIVO_3CRE!$B$2:$B$150,MATCH(D167,CADASTRO_VIVO_3CRE!$E$2:$E$150,0)),""))</f>
        <v/>
      </c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8"/>
      <c r="S167" s="89" t="str">
        <f aca="true">IF(R167="","",TODAY()-INT(R167))</f>
        <v/>
      </c>
      <c r="T167" s="86"/>
      <c r="U167" s="86"/>
      <c r="V167" s="86"/>
      <c r="W167" s="88"/>
      <c r="X167" s="89" t="str">
        <f aca="true">IF(W167="","",IF(OR(O167="28 - Encerrado",O167="27 - Instalação concluída"),"Concluído",TODAY()-INT(W167)))</f>
        <v/>
      </c>
      <c r="Y167" s="90" t="str">
        <f aca="false">IF(OR(O167="28 - Encerrado",O167="27 - Instalação concluída"),"OK",IF(AND(B167&lt;&gt;"",S167=""),"ATENÇÃO (Sem data de atualização)",IF(S167="","",IF(S167&gt;30,"CRÍTICO (Sem Atualização &gt;30 dias)",IF(S167&gt;15,"ATENÇÃO (Sem Atualização &gt;15 dias)",IF(X167&gt;90,"CRÍTICO (Aberto &gt;90 dias)","OK"))))))</f>
        <v/>
      </c>
      <c r="Z167" s="90" t="str">
        <f aca="false">IF(B167="","",IF(OR(O167="27 - Instalação concluída",O167="28 - Encerrado"),"OK",IF(NOT(ISNUMBER(X167)),"",IF(X167&gt;365,"MUITO ANTIGO (&gt;1 ano)",IF(X167&gt;180,"ANTIGO (&gt;6 meses)",IF(X167&gt;90,"ATENÇÃO ANTIG. (&gt;3 meses)","OK"))))))</f>
        <v/>
      </c>
      <c r="AA167" s="86"/>
      <c r="AB167" s="69" t="str">
        <f aca="false">IF(AND(B167&lt;&gt;"",OR(T167="Pendente de Vistoria",T167="Não validada")),MAX($AB$1:$AB$166)+1,"")</f>
        <v/>
      </c>
      <c r="AC167" s="69" t="str">
        <f aca="false">IF(AND(B167&lt;&gt;"",OR(ISNUMBER(SEARCH("CTIN",P167)),U167="Alta",O167="07 - Relatório recebido — unidade apta",O167="11 - Orçamentos em análise técnica",O167="22 - Instalação/substituição autorizada")),MAX($AC$1:$AC$166)+1,"")</f>
        <v/>
      </c>
      <c r="AD167" s="69" t="str">
        <f aca="false">IF(AND(B167&lt;&gt;"",OR(ISNUMBER(SEARCH("CTO",P167)),LEFT(O167,2)="22",LEFT(O167,2)="23",LEFT(O167,2)="24",LEFT(O167,2)="25",LEFT(O167,2)="26",LEFT(O167,2)="27")),MAX($AD$1:$AD$166)+1,"")</f>
        <v/>
      </c>
      <c r="AE167" s="69" t="str">
        <f aca="false">IF(AND(B167&lt;&gt;"",D167=CONSULTA_UNIDADE!$B$4),MAX($AE$1:$AE$166)+1,"")</f>
        <v/>
      </c>
      <c r="AF167" s="69" t="str">
        <f aca="false">IF(AND(B167&lt;&gt;"",O167&lt;&gt;"27 - Instalação concluída",O167&lt;&gt;"28 - Encerrado",ISNUMBER(S167)),S167*1000+(1000-ROW()),"")</f>
        <v/>
      </c>
      <c r="AG167" s="69" t="str">
        <f aca="false">IF(AF167="","",RANK(AF167,$AF$2:$AF$500))</f>
        <v/>
      </c>
    </row>
    <row r="168" customFormat="false" ht="16.5" hidden="false" customHeight="true" outlineLevel="0" collapsed="false">
      <c r="A168" s="86"/>
      <c r="B168" s="86"/>
      <c r="C168" s="87" t="str">
        <f aca="false">IF(D168="","",IFERROR(INDEX(CADASTRO_VIVO_3CRE!$B$2:$B$150,MATCH(D168,CADASTRO_VIVO_3CRE!$E$2:$E$150,0)),""))</f>
        <v/>
      </c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8"/>
      <c r="S168" s="89" t="str">
        <f aca="true">IF(R168="","",TODAY()-INT(R168))</f>
        <v/>
      </c>
      <c r="T168" s="86"/>
      <c r="U168" s="86"/>
      <c r="V168" s="86"/>
      <c r="W168" s="88"/>
      <c r="X168" s="89" t="str">
        <f aca="true">IF(W168="","",IF(OR(O168="28 - Encerrado",O168="27 - Instalação concluída"),"Concluído",TODAY()-INT(W168)))</f>
        <v/>
      </c>
      <c r="Y168" s="90" t="str">
        <f aca="false">IF(OR(O168="28 - Encerrado",O168="27 - Instalação concluída"),"OK",IF(AND(B168&lt;&gt;"",S168=""),"ATENÇÃO (Sem data de atualização)",IF(S168="","",IF(S168&gt;30,"CRÍTICO (Sem Atualização &gt;30 dias)",IF(S168&gt;15,"ATENÇÃO (Sem Atualização &gt;15 dias)",IF(X168&gt;90,"CRÍTICO (Aberto &gt;90 dias)","OK"))))))</f>
        <v/>
      </c>
      <c r="Z168" s="90" t="str">
        <f aca="false">IF(B168="","",IF(OR(O168="27 - Instalação concluída",O168="28 - Encerrado"),"OK",IF(NOT(ISNUMBER(X168)),"",IF(X168&gt;365,"MUITO ANTIGO (&gt;1 ano)",IF(X168&gt;180,"ANTIGO (&gt;6 meses)",IF(X168&gt;90,"ATENÇÃO ANTIG. (&gt;3 meses)","OK"))))))</f>
        <v/>
      </c>
      <c r="AA168" s="86"/>
      <c r="AB168" s="69" t="str">
        <f aca="false">IF(AND(B168&lt;&gt;"",OR(T168="Pendente de Vistoria",T168="Não validada")),MAX($AB$1:$AB$167)+1,"")</f>
        <v/>
      </c>
      <c r="AC168" s="69" t="str">
        <f aca="false">IF(AND(B168&lt;&gt;"",OR(ISNUMBER(SEARCH("CTIN",P168)),U168="Alta",O168="07 - Relatório recebido — unidade apta",O168="11 - Orçamentos em análise técnica",O168="22 - Instalação/substituição autorizada")),MAX($AC$1:$AC$167)+1,"")</f>
        <v/>
      </c>
      <c r="AD168" s="69" t="str">
        <f aca="false">IF(AND(B168&lt;&gt;"",OR(ISNUMBER(SEARCH("CTO",P168)),LEFT(O168,2)="22",LEFT(O168,2)="23",LEFT(O168,2)="24",LEFT(O168,2)="25",LEFT(O168,2)="26",LEFT(O168,2)="27")),MAX($AD$1:$AD$167)+1,"")</f>
        <v/>
      </c>
      <c r="AE168" s="69" t="str">
        <f aca="false">IF(AND(B168&lt;&gt;"",D168=CONSULTA_UNIDADE!$B$4),MAX($AE$1:$AE$167)+1,"")</f>
        <v/>
      </c>
      <c r="AF168" s="69" t="str">
        <f aca="false">IF(AND(B168&lt;&gt;"",O168&lt;&gt;"27 - Instalação concluída",O168&lt;&gt;"28 - Encerrado",ISNUMBER(S168)),S168*1000+(1000-ROW()),"")</f>
        <v/>
      </c>
      <c r="AG168" s="69" t="str">
        <f aca="false">IF(AF168="","",RANK(AF168,$AF$2:$AF$500))</f>
        <v/>
      </c>
    </row>
    <row r="169" customFormat="false" ht="16.5" hidden="false" customHeight="true" outlineLevel="0" collapsed="false">
      <c r="A169" s="86"/>
      <c r="B169" s="86"/>
      <c r="C169" s="87" t="str">
        <f aca="false">IF(D169="","",IFERROR(INDEX(CADASTRO_VIVO_3CRE!$B$2:$B$150,MATCH(D169,CADASTRO_VIVO_3CRE!$E$2:$E$150,0)),""))</f>
        <v/>
      </c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8"/>
      <c r="S169" s="89" t="str">
        <f aca="true">IF(R169="","",TODAY()-INT(R169))</f>
        <v/>
      </c>
      <c r="T169" s="86"/>
      <c r="U169" s="86"/>
      <c r="V169" s="86"/>
      <c r="W169" s="88"/>
      <c r="X169" s="89" t="str">
        <f aca="true">IF(W169="","",IF(OR(O169="28 - Encerrado",O169="27 - Instalação concluída"),"Concluído",TODAY()-INT(W169)))</f>
        <v/>
      </c>
      <c r="Y169" s="90" t="str">
        <f aca="false">IF(OR(O169="28 - Encerrado",O169="27 - Instalação concluída"),"OK",IF(AND(B169&lt;&gt;"",S169=""),"ATENÇÃO (Sem data de atualização)",IF(S169="","",IF(S169&gt;30,"CRÍTICO (Sem Atualização &gt;30 dias)",IF(S169&gt;15,"ATENÇÃO (Sem Atualização &gt;15 dias)",IF(X169&gt;90,"CRÍTICO (Aberto &gt;90 dias)","OK"))))))</f>
        <v/>
      </c>
      <c r="Z169" s="90" t="str">
        <f aca="false">IF(B169="","",IF(OR(O169="27 - Instalação concluída",O169="28 - Encerrado"),"OK",IF(NOT(ISNUMBER(X169)),"",IF(X169&gt;365,"MUITO ANTIGO (&gt;1 ano)",IF(X169&gt;180,"ANTIGO (&gt;6 meses)",IF(X169&gt;90,"ATENÇÃO ANTIG. (&gt;3 meses)","OK"))))))</f>
        <v/>
      </c>
      <c r="AA169" s="86"/>
      <c r="AB169" s="69" t="str">
        <f aca="false">IF(AND(B169&lt;&gt;"",OR(T169="Pendente de Vistoria",T169="Não validada")),MAX($AB$1:$AB$168)+1,"")</f>
        <v/>
      </c>
      <c r="AC169" s="69" t="str">
        <f aca="false">IF(AND(B169&lt;&gt;"",OR(ISNUMBER(SEARCH("CTIN",P169)),U169="Alta",O169="07 - Relatório recebido — unidade apta",O169="11 - Orçamentos em análise técnica",O169="22 - Instalação/substituição autorizada")),MAX($AC$1:$AC$168)+1,"")</f>
        <v/>
      </c>
      <c r="AD169" s="69" t="str">
        <f aca="false">IF(AND(B169&lt;&gt;"",OR(ISNUMBER(SEARCH("CTO",P169)),LEFT(O169,2)="22",LEFT(O169,2)="23",LEFT(O169,2)="24",LEFT(O169,2)="25",LEFT(O169,2)="26",LEFT(O169,2)="27")),MAX($AD$1:$AD$168)+1,"")</f>
        <v/>
      </c>
      <c r="AE169" s="69" t="str">
        <f aca="false">IF(AND(B169&lt;&gt;"",D169=CONSULTA_UNIDADE!$B$4),MAX($AE$1:$AE$168)+1,"")</f>
        <v/>
      </c>
      <c r="AF169" s="69" t="str">
        <f aca="false">IF(AND(B169&lt;&gt;"",O169&lt;&gt;"27 - Instalação concluída",O169&lt;&gt;"28 - Encerrado",ISNUMBER(S169)),S169*1000+(1000-ROW()),"")</f>
        <v/>
      </c>
      <c r="AG169" s="69" t="str">
        <f aca="false">IF(AF169="","",RANK(AF169,$AF$2:$AF$500))</f>
        <v/>
      </c>
    </row>
    <row r="170" customFormat="false" ht="16.5" hidden="false" customHeight="true" outlineLevel="0" collapsed="false">
      <c r="A170" s="86"/>
      <c r="B170" s="86"/>
      <c r="C170" s="87" t="str">
        <f aca="false">IF(D170="","",IFERROR(INDEX(CADASTRO_VIVO_3CRE!$B$2:$B$150,MATCH(D170,CADASTRO_VIVO_3CRE!$E$2:$E$150,0)),""))</f>
        <v/>
      </c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8"/>
      <c r="S170" s="89" t="str">
        <f aca="true">IF(R170="","",TODAY()-INT(R170))</f>
        <v/>
      </c>
      <c r="T170" s="86"/>
      <c r="U170" s="86"/>
      <c r="V170" s="86"/>
      <c r="W170" s="88"/>
      <c r="X170" s="89" t="str">
        <f aca="true">IF(W170="","",IF(OR(O170="28 - Encerrado",O170="27 - Instalação concluída"),"Concluído",TODAY()-INT(W170)))</f>
        <v/>
      </c>
      <c r="Y170" s="90" t="str">
        <f aca="false">IF(OR(O170="28 - Encerrado",O170="27 - Instalação concluída"),"OK",IF(AND(B170&lt;&gt;"",S170=""),"ATENÇÃO (Sem data de atualização)",IF(S170="","",IF(S170&gt;30,"CRÍTICO (Sem Atualização &gt;30 dias)",IF(S170&gt;15,"ATENÇÃO (Sem Atualização &gt;15 dias)",IF(X170&gt;90,"CRÍTICO (Aberto &gt;90 dias)","OK"))))))</f>
        <v/>
      </c>
      <c r="Z170" s="90" t="str">
        <f aca="false">IF(B170="","",IF(OR(O170="27 - Instalação concluída",O170="28 - Encerrado"),"OK",IF(NOT(ISNUMBER(X170)),"",IF(X170&gt;365,"MUITO ANTIGO (&gt;1 ano)",IF(X170&gt;180,"ANTIGO (&gt;6 meses)",IF(X170&gt;90,"ATENÇÃO ANTIG. (&gt;3 meses)","OK"))))))</f>
        <v/>
      </c>
      <c r="AA170" s="86"/>
      <c r="AB170" s="69" t="str">
        <f aca="false">IF(AND(B170&lt;&gt;"",OR(T170="Pendente de Vistoria",T170="Não validada")),MAX($AB$1:$AB$169)+1,"")</f>
        <v/>
      </c>
      <c r="AC170" s="69" t="str">
        <f aca="false">IF(AND(B170&lt;&gt;"",OR(ISNUMBER(SEARCH("CTIN",P170)),U170="Alta",O170="07 - Relatório recebido — unidade apta",O170="11 - Orçamentos em análise técnica",O170="22 - Instalação/substituição autorizada")),MAX($AC$1:$AC$169)+1,"")</f>
        <v/>
      </c>
      <c r="AD170" s="69" t="str">
        <f aca="false">IF(AND(B170&lt;&gt;"",OR(ISNUMBER(SEARCH("CTO",P170)),LEFT(O170,2)="22",LEFT(O170,2)="23",LEFT(O170,2)="24",LEFT(O170,2)="25",LEFT(O170,2)="26",LEFT(O170,2)="27")),MAX($AD$1:$AD$169)+1,"")</f>
        <v/>
      </c>
      <c r="AE170" s="69" t="str">
        <f aca="false">IF(AND(B170&lt;&gt;"",D170=CONSULTA_UNIDADE!$B$4),MAX($AE$1:$AE$169)+1,"")</f>
        <v/>
      </c>
      <c r="AF170" s="69" t="str">
        <f aca="false">IF(AND(B170&lt;&gt;"",O170&lt;&gt;"27 - Instalação concluída",O170&lt;&gt;"28 - Encerrado",ISNUMBER(S170)),S170*1000+(1000-ROW()),"")</f>
        <v/>
      </c>
      <c r="AG170" s="69" t="str">
        <f aca="false">IF(AF170="","",RANK(AF170,$AF$2:$AF$500))</f>
        <v/>
      </c>
    </row>
    <row r="171" customFormat="false" ht="16.5" hidden="false" customHeight="true" outlineLevel="0" collapsed="false">
      <c r="A171" s="86"/>
      <c r="B171" s="86"/>
      <c r="C171" s="87" t="str">
        <f aca="false">IF(D171="","",IFERROR(INDEX(CADASTRO_VIVO_3CRE!$B$2:$B$150,MATCH(D171,CADASTRO_VIVO_3CRE!$E$2:$E$150,0)),""))</f>
        <v/>
      </c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8"/>
      <c r="S171" s="89" t="str">
        <f aca="true">IF(R171="","",TODAY()-INT(R171))</f>
        <v/>
      </c>
      <c r="T171" s="86"/>
      <c r="U171" s="86"/>
      <c r="V171" s="86"/>
      <c r="W171" s="88"/>
      <c r="X171" s="89" t="str">
        <f aca="true">IF(W171="","",IF(OR(O171="28 - Encerrado",O171="27 - Instalação concluída"),"Concluído",TODAY()-INT(W171)))</f>
        <v/>
      </c>
      <c r="Y171" s="90" t="str">
        <f aca="false">IF(OR(O171="28 - Encerrado",O171="27 - Instalação concluída"),"OK",IF(AND(B171&lt;&gt;"",S171=""),"ATENÇÃO (Sem data de atualização)",IF(S171="","",IF(S171&gt;30,"CRÍTICO (Sem Atualização &gt;30 dias)",IF(S171&gt;15,"ATENÇÃO (Sem Atualização &gt;15 dias)",IF(X171&gt;90,"CRÍTICO (Aberto &gt;90 dias)","OK"))))))</f>
        <v/>
      </c>
      <c r="Z171" s="90" t="str">
        <f aca="false">IF(B171="","",IF(OR(O171="27 - Instalação concluída",O171="28 - Encerrado"),"OK",IF(NOT(ISNUMBER(X171)),"",IF(X171&gt;365,"MUITO ANTIGO (&gt;1 ano)",IF(X171&gt;180,"ANTIGO (&gt;6 meses)",IF(X171&gt;90,"ATENÇÃO ANTIG. (&gt;3 meses)","OK"))))))</f>
        <v/>
      </c>
      <c r="AA171" s="86"/>
      <c r="AB171" s="69" t="str">
        <f aca="false">IF(AND(B171&lt;&gt;"",OR(T171="Pendente de Vistoria",T171="Não validada")),MAX($AB$1:$AB$170)+1,"")</f>
        <v/>
      </c>
      <c r="AC171" s="69" t="str">
        <f aca="false">IF(AND(B171&lt;&gt;"",OR(ISNUMBER(SEARCH("CTIN",P171)),U171="Alta",O171="07 - Relatório recebido — unidade apta",O171="11 - Orçamentos em análise técnica",O171="22 - Instalação/substituição autorizada")),MAX($AC$1:$AC$170)+1,"")</f>
        <v/>
      </c>
      <c r="AD171" s="69" t="str">
        <f aca="false">IF(AND(B171&lt;&gt;"",OR(ISNUMBER(SEARCH("CTO",P171)),LEFT(O171,2)="22",LEFT(O171,2)="23",LEFT(O171,2)="24",LEFT(O171,2)="25",LEFT(O171,2)="26",LEFT(O171,2)="27")),MAX($AD$1:$AD$170)+1,"")</f>
        <v/>
      </c>
      <c r="AE171" s="69" t="str">
        <f aca="false">IF(AND(B171&lt;&gt;"",D171=CONSULTA_UNIDADE!$B$4),MAX($AE$1:$AE$170)+1,"")</f>
        <v/>
      </c>
      <c r="AF171" s="69" t="str">
        <f aca="false">IF(AND(B171&lt;&gt;"",O171&lt;&gt;"27 - Instalação concluída",O171&lt;&gt;"28 - Encerrado",ISNUMBER(S171)),S171*1000+(1000-ROW()),"")</f>
        <v/>
      </c>
      <c r="AG171" s="69" t="str">
        <f aca="false">IF(AF171="","",RANK(AF171,$AF$2:$AF$500))</f>
        <v/>
      </c>
    </row>
    <row r="172" customFormat="false" ht="16.5" hidden="false" customHeight="true" outlineLevel="0" collapsed="false">
      <c r="A172" s="86"/>
      <c r="B172" s="86"/>
      <c r="C172" s="87" t="str">
        <f aca="false">IF(D172="","",IFERROR(INDEX(CADASTRO_VIVO_3CRE!$B$2:$B$150,MATCH(D172,CADASTRO_VIVO_3CRE!$E$2:$E$150,0)),""))</f>
        <v/>
      </c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8"/>
      <c r="S172" s="89" t="str">
        <f aca="true">IF(R172="","",TODAY()-INT(R172))</f>
        <v/>
      </c>
      <c r="T172" s="86"/>
      <c r="U172" s="86"/>
      <c r="V172" s="86"/>
      <c r="W172" s="88"/>
      <c r="X172" s="89" t="str">
        <f aca="true">IF(W172="","",IF(OR(O172="28 - Encerrado",O172="27 - Instalação concluída"),"Concluído",TODAY()-INT(W172)))</f>
        <v/>
      </c>
      <c r="Y172" s="90" t="str">
        <f aca="false">IF(OR(O172="28 - Encerrado",O172="27 - Instalação concluída"),"OK",IF(AND(B172&lt;&gt;"",S172=""),"ATENÇÃO (Sem data de atualização)",IF(S172="","",IF(S172&gt;30,"CRÍTICO (Sem Atualização &gt;30 dias)",IF(S172&gt;15,"ATENÇÃO (Sem Atualização &gt;15 dias)",IF(X172&gt;90,"CRÍTICO (Aberto &gt;90 dias)","OK"))))))</f>
        <v/>
      </c>
      <c r="Z172" s="90" t="str">
        <f aca="false">IF(B172="","",IF(OR(O172="27 - Instalação concluída",O172="28 - Encerrado"),"OK",IF(NOT(ISNUMBER(X172)),"",IF(X172&gt;365,"MUITO ANTIGO (&gt;1 ano)",IF(X172&gt;180,"ANTIGO (&gt;6 meses)",IF(X172&gt;90,"ATENÇÃO ANTIG. (&gt;3 meses)","OK"))))))</f>
        <v/>
      </c>
      <c r="AA172" s="86"/>
      <c r="AB172" s="69" t="str">
        <f aca="false">IF(AND(B172&lt;&gt;"",OR(T172="Pendente de Vistoria",T172="Não validada")),MAX($AB$1:$AB$171)+1,"")</f>
        <v/>
      </c>
      <c r="AC172" s="69" t="str">
        <f aca="false">IF(AND(B172&lt;&gt;"",OR(ISNUMBER(SEARCH("CTIN",P172)),U172="Alta",O172="07 - Relatório recebido — unidade apta",O172="11 - Orçamentos em análise técnica",O172="22 - Instalação/substituição autorizada")),MAX($AC$1:$AC$171)+1,"")</f>
        <v/>
      </c>
      <c r="AD172" s="69" t="str">
        <f aca="false">IF(AND(B172&lt;&gt;"",OR(ISNUMBER(SEARCH("CTO",P172)),LEFT(O172,2)="22",LEFT(O172,2)="23",LEFT(O172,2)="24",LEFT(O172,2)="25",LEFT(O172,2)="26",LEFT(O172,2)="27")),MAX($AD$1:$AD$171)+1,"")</f>
        <v/>
      </c>
      <c r="AE172" s="69" t="str">
        <f aca="false">IF(AND(B172&lt;&gt;"",D172=CONSULTA_UNIDADE!$B$4),MAX($AE$1:$AE$171)+1,"")</f>
        <v/>
      </c>
      <c r="AF172" s="69" t="str">
        <f aca="false">IF(AND(B172&lt;&gt;"",O172&lt;&gt;"27 - Instalação concluída",O172&lt;&gt;"28 - Encerrado",ISNUMBER(S172)),S172*1000+(1000-ROW()),"")</f>
        <v/>
      </c>
      <c r="AG172" s="69" t="str">
        <f aca="false">IF(AF172="","",RANK(AF172,$AF$2:$AF$500))</f>
        <v/>
      </c>
    </row>
    <row r="173" customFormat="false" ht="16.5" hidden="false" customHeight="true" outlineLevel="0" collapsed="false">
      <c r="A173" s="86"/>
      <c r="B173" s="86"/>
      <c r="C173" s="87" t="str">
        <f aca="false">IF(D173="","",IFERROR(INDEX(CADASTRO_VIVO_3CRE!$B$2:$B$150,MATCH(D173,CADASTRO_VIVO_3CRE!$E$2:$E$150,0)),""))</f>
        <v/>
      </c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8"/>
      <c r="S173" s="89" t="str">
        <f aca="true">IF(R173="","",TODAY()-INT(R173))</f>
        <v/>
      </c>
      <c r="T173" s="86"/>
      <c r="U173" s="86"/>
      <c r="V173" s="86"/>
      <c r="W173" s="88"/>
      <c r="X173" s="89" t="str">
        <f aca="true">IF(W173="","",IF(OR(O173="28 - Encerrado",O173="27 - Instalação concluída"),"Concluído",TODAY()-INT(W173)))</f>
        <v/>
      </c>
      <c r="Y173" s="90" t="str">
        <f aca="false">IF(OR(O173="28 - Encerrado",O173="27 - Instalação concluída"),"OK",IF(AND(B173&lt;&gt;"",S173=""),"ATENÇÃO (Sem data de atualização)",IF(S173="","",IF(S173&gt;30,"CRÍTICO (Sem Atualização &gt;30 dias)",IF(S173&gt;15,"ATENÇÃO (Sem Atualização &gt;15 dias)",IF(X173&gt;90,"CRÍTICO (Aberto &gt;90 dias)","OK"))))))</f>
        <v/>
      </c>
      <c r="Z173" s="90" t="str">
        <f aca="false">IF(B173="","",IF(OR(O173="27 - Instalação concluída",O173="28 - Encerrado"),"OK",IF(NOT(ISNUMBER(X173)),"",IF(X173&gt;365,"MUITO ANTIGO (&gt;1 ano)",IF(X173&gt;180,"ANTIGO (&gt;6 meses)",IF(X173&gt;90,"ATENÇÃO ANTIG. (&gt;3 meses)","OK"))))))</f>
        <v/>
      </c>
      <c r="AA173" s="86"/>
      <c r="AB173" s="69" t="str">
        <f aca="false">IF(AND(B173&lt;&gt;"",OR(T173="Pendente de Vistoria",T173="Não validada")),MAX($AB$1:$AB$172)+1,"")</f>
        <v/>
      </c>
      <c r="AC173" s="69" t="str">
        <f aca="false">IF(AND(B173&lt;&gt;"",OR(ISNUMBER(SEARCH("CTIN",P173)),U173="Alta",O173="07 - Relatório recebido — unidade apta",O173="11 - Orçamentos em análise técnica",O173="22 - Instalação/substituição autorizada")),MAX($AC$1:$AC$172)+1,"")</f>
        <v/>
      </c>
      <c r="AD173" s="69" t="str">
        <f aca="false">IF(AND(B173&lt;&gt;"",OR(ISNUMBER(SEARCH("CTO",P173)),LEFT(O173,2)="22",LEFT(O173,2)="23",LEFT(O173,2)="24",LEFT(O173,2)="25",LEFT(O173,2)="26",LEFT(O173,2)="27")),MAX($AD$1:$AD$172)+1,"")</f>
        <v/>
      </c>
      <c r="AE173" s="69" t="str">
        <f aca="false">IF(AND(B173&lt;&gt;"",D173=CONSULTA_UNIDADE!$B$4),MAX($AE$1:$AE$172)+1,"")</f>
        <v/>
      </c>
      <c r="AF173" s="69" t="str">
        <f aca="false">IF(AND(B173&lt;&gt;"",O173&lt;&gt;"27 - Instalação concluída",O173&lt;&gt;"28 - Encerrado",ISNUMBER(S173)),S173*1000+(1000-ROW()),"")</f>
        <v/>
      </c>
      <c r="AG173" s="69" t="str">
        <f aca="false">IF(AF173="","",RANK(AF173,$AF$2:$AF$500))</f>
        <v/>
      </c>
    </row>
    <row r="174" customFormat="false" ht="16.5" hidden="false" customHeight="true" outlineLevel="0" collapsed="false">
      <c r="A174" s="86"/>
      <c r="B174" s="86"/>
      <c r="C174" s="87" t="str">
        <f aca="false">IF(D174="","",IFERROR(INDEX(CADASTRO_VIVO_3CRE!$B$2:$B$150,MATCH(D174,CADASTRO_VIVO_3CRE!$E$2:$E$150,0)),""))</f>
        <v/>
      </c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8"/>
      <c r="S174" s="89" t="str">
        <f aca="true">IF(R174="","",TODAY()-INT(R174))</f>
        <v/>
      </c>
      <c r="T174" s="86"/>
      <c r="U174" s="86"/>
      <c r="V174" s="86"/>
      <c r="W174" s="88"/>
      <c r="X174" s="89" t="str">
        <f aca="true">IF(W174="","",IF(OR(O174="28 - Encerrado",O174="27 - Instalação concluída"),"Concluído",TODAY()-INT(W174)))</f>
        <v/>
      </c>
      <c r="Y174" s="90" t="str">
        <f aca="false">IF(OR(O174="28 - Encerrado",O174="27 - Instalação concluída"),"OK",IF(AND(B174&lt;&gt;"",S174=""),"ATENÇÃO (Sem data de atualização)",IF(S174="","",IF(S174&gt;30,"CRÍTICO (Sem Atualização &gt;30 dias)",IF(S174&gt;15,"ATENÇÃO (Sem Atualização &gt;15 dias)",IF(X174&gt;90,"CRÍTICO (Aberto &gt;90 dias)","OK"))))))</f>
        <v/>
      </c>
      <c r="Z174" s="90" t="str">
        <f aca="false">IF(B174="","",IF(OR(O174="27 - Instalação concluída",O174="28 - Encerrado"),"OK",IF(NOT(ISNUMBER(X174)),"",IF(X174&gt;365,"MUITO ANTIGO (&gt;1 ano)",IF(X174&gt;180,"ANTIGO (&gt;6 meses)",IF(X174&gt;90,"ATENÇÃO ANTIG. (&gt;3 meses)","OK"))))))</f>
        <v/>
      </c>
      <c r="AA174" s="86"/>
      <c r="AB174" s="69" t="str">
        <f aca="false">IF(AND(B174&lt;&gt;"",OR(T174="Pendente de Vistoria",T174="Não validada")),MAX($AB$1:$AB$173)+1,"")</f>
        <v/>
      </c>
      <c r="AC174" s="69" t="str">
        <f aca="false">IF(AND(B174&lt;&gt;"",OR(ISNUMBER(SEARCH("CTIN",P174)),U174="Alta",O174="07 - Relatório recebido — unidade apta",O174="11 - Orçamentos em análise técnica",O174="22 - Instalação/substituição autorizada")),MAX($AC$1:$AC$173)+1,"")</f>
        <v/>
      </c>
      <c r="AD174" s="69" t="str">
        <f aca="false">IF(AND(B174&lt;&gt;"",OR(ISNUMBER(SEARCH("CTO",P174)),LEFT(O174,2)="22",LEFT(O174,2)="23",LEFT(O174,2)="24",LEFT(O174,2)="25",LEFT(O174,2)="26",LEFT(O174,2)="27")),MAX($AD$1:$AD$173)+1,"")</f>
        <v/>
      </c>
      <c r="AE174" s="69" t="str">
        <f aca="false">IF(AND(B174&lt;&gt;"",D174=CONSULTA_UNIDADE!$B$4),MAX($AE$1:$AE$173)+1,"")</f>
        <v/>
      </c>
      <c r="AF174" s="69" t="str">
        <f aca="false">IF(AND(B174&lt;&gt;"",O174&lt;&gt;"27 - Instalação concluída",O174&lt;&gt;"28 - Encerrado",ISNUMBER(S174)),S174*1000+(1000-ROW()),"")</f>
        <v/>
      </c>
      <c r="AG174" s="69" t="str">
        <f aca="false">IF(AF174="","",RANK(AF174,$AF$2:$AF$500))</f>
        <v/>
      </c>
    </row>
    <row r="175" customFormat="false" ht="16.5" hidden="false" customHeight="true" outlineLevel="0" collapsed="false">
      <c r="A175" s="86"/>
      <c r="B175" s="86"/>
      <c r="C175" s="87" t="str">
        <f aca="false">IF(D175="","",IFERROR(INDEX(CADASTRO_VIVO_3CRE!$B$2:$B$150,MATCH(D175,CADASTRO_VIVO_3CRE!$E$2:$E$150,0)),""))</f>
        <v/>
      </c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8"/>
      <c r="S175" s="89" t="str">
        <f aca="true">IF(R175="","",TODAY()-INT(R175))</f>
        <v/>
      </c>
      <c r="T175" s="86"/>
      <c r="U175" s="86"/>
      <c r="V175" s="86"/>
      <c r="W175" s="88"/>
      <c r="X175" s="89" t="str">
        <f aca="true">IF(W175="","",IF(OR(O175="28 - Encerrado",O175="27 - Instalação concluída"),"Concluído",TODAY()-INT(W175)))</f>
        <v/>
      </c>
      <c r="Y175" s="90" t="str">
        <f aca="false">IF(OR(O175="28 - Encerrado",O175="27 - Instalação concluída"),"OK",IF(AND(B175&lt;&gt;"",S175=""),"ATENÇÃO (Sem data de atualização)",IF(S175="","",IF(S175&gt;30,"CRÍTICO (Sem Atualização &gt;30 dias)",IF(S175&gt;15,"ATENÇÃO (Sem Atualização &gt;15 dias)",IF(X175&gt;90,"CRÍTICO (Aberto &gt;90 dias)","OK"))))))</f>
        <v/>
      </c>
      <c r="Z175" s="90" t="str">
        <f aca="false">IF(B175="","",IF(OR(O175="27 - Instalação concluída",O175="28 - Encerrado"),"OK",IF(NOT(ISNUMBER(X175)),"",IF(X175&gt;365,"MUITO ANTIGO (&gt;1 ano)",IF(X175&gt;180,"ANTIGO (&gt;6 meses)",IF(X175&gt;90,"ATENÇÃO ANTIG. (&gt;3 meses)","OK"))))))</f>
        <v/>
      </c>
      <c r="AA175" s="86"/>
      <c r="AB175" s="69" t="str">
        <f aca="false">IF(AND(B175&lt;&gt;"",OR(T175="Pendente de Vistoria",T175="Não validada")),MAX($AB$1:$AB$174)+1,"")</f>
        <v/>
      </c>
      <c r="AC175" s="69" t="str">
        <f aca="false">IF(AND(B175&lt;&gt;"",OR(ISNUMBER(SEARCH("CTIN",P175)),U175="Alta",O175="07 - Relatório recebido — unidade apta",O175="11 - Orçamentos em análise técnica",O175="22 - Instalação/substituição autorizada")),MAX($AC$1:$AC$174)+1,"")</f>
        <v/>
      </c>
      <c r="AD175" s="69" t="str">
        <f aca="false">IF(AND(B175&lt;&gt;"",OR(ISNUMBER(SEARCH("CTO",P175)),LEFT(O175,2)="22",LEFT(O175,2)="23",LEFT(O175,2)="24",LEFT(O175,2)="25",LEFT(O175,2)="26",LEFT(O175,2)="27")),MAX($AD$1:$AD$174)+1,"")</f>
        <v/>
      </c>
      <c r="AE175" s="69" t="str">
        <f aca="false">IF(AND(B175&lt;&gt;"",D175=CONSULTA_UNIDADE!$B$4),MAX($AE$1:$AE$174)+1,"")</f>
        <v/>
      </c>
      <c r="AF175" s="69" t="str">
        <f aca="false">IF(AND(B175&lt;&gt;"",O175&lt;&gt;"27 - Instalação concluída",O175&lt;&gt;"28 - Encerrado",ISNUMBER(S175)),S175*1000+(1000-ROW()),"")</f>
        <v/>
      </c>
      <c r="AG175" s="69" t="str">
        <f aca="false">IF(AF175="","",RANK(AF175,$AF$2:$AF$500))</f>
        <v/>
      </c>
    </row>
    <row r="176" customFormat="false" ht="16.5" hidden="false" customHeight="true" outlineLevel="0" collapsed="false">
      <c r="A176" s="86"/>
      <c r="B176" s="86"/>
      <c r="C176" s="87" t="str">
        <f aca="false">IF(D176="","",IFERROR(INDEX(CADASTRO_VIVO_3CRE!$B$2:$B$150,MATCH(D176,CADASTRO_VIVO_3CRE!$E$2:$E$150,0)),""))</f>
        <v/>
      </c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8"/>
      <c r="S176" s="89" t="str">
        <f aca="true">IF(R176="","",TODAY()-INT(R176))</f>
        <v/>
      </c>
      <c r="T176" s="86"/>
      <c r="U176" s="86"/>
      <c r="V176" s="86"/>
      <c r="W176" s="88"/>
      <c r="X176" s="89" t="str">
        <f aca="true">IF(W176="","",IF(OR(O176="28 - Encerrado",O176="27 - Instalação concluída"),"Concluído",TODAY()-INT(W176)))</f>
        <v/>
      </c>
      <c r="Y176" s="90" t="str">
        <f aca="false">IF(OR(O176="28 - Encerrado",O176="27 - Instalação concluída"),"OK",IF(AND(B176&lt;&gt;"",S176=""),"ATENÇÃO (Sem data de atualização)",IF(S176="","",IF(S176&gt;30,"CRÍTICO (Sem Atualização &gt;30 dias)",IF(S176&gt;15,"ATENÇÃO (Sem Atualização &gt;15 dias)",IF(X176&gt;90,"CRÍTICO (Aberto &gt;90 dias)","OK"))))))</f>
        <v/>
      </c>
      <c r="Z176" s="90" t="str">
        <f aca="false">IF(B176="","",IF(OR(O176="27 - Instalação concluída",O176="28 - Encerrado"),"OK",IF(NOT(ISNUMBER(X176)),"",IF(X176&gt;365,"MUITO ANTIGO (&gt;1 ano)",IF(X176&gt;180,"ANTIGO (&gt;6 meses)",IF(X176&gt;90,"ATENÇÃO ANTIG. (&gt;3 meses)","OK"))))))</f>
        <v/>
      </c>
      <c r="AA176" s="86"/>
      <c r="AB176" s="69" t="str">
        <f aca="false">IF(AND(B176&lt;&gt;"",OR(T176="Pendente de Vistoria",T176="Não validada")),MAX($AB$1:$AB$175)+1,"")</f>
        <v/>
      </c>
      <c r="AC176" s="69" t="str">
        <f aca="false">IF(AND(B176&lt;&gt;"",OR(ISNUMBER(SEARCH("CTIN",P176)),U176="Alta",O176="07 - Relatório recebido — unidade apta",O176="11 - Orçamentos em análise técnica",O176="22 - Instalação/substituição autorizada")),MAX($AC$1:$AC$175)+1,"")</f>
        <v/>
      </c>
      <c r="AD176" s="69" t="str">
        <f aca="false">IF(AND(B176&lt;&gt;"",OR(ISNUMBER(SEARCH("CTO",P176)),LEFT(O176,2)="22",LEFT(O176,2)="23",LEFT(O176,2)="24",LEFT(O176,2)="25",LEFT(O176,2)="26",LEFT(O176,2)="27")),MAX($AD$1:$AD$175)+1,"")</f>
        <v/>
      </c>
      <c r="AE176" s="69" t="str">
        <f aca="false">IF(AND(B176&lt;&gt;"",D176=CONSULTA_UNIDADE!$B$4),MAX($AE$1:$AE$175)+1,"")</f>
        <v/>
      </c>
      <c r="AF176" s="69" t="str">
        <f aca="false">IF(AND(B176&lt;&gt;"",O176&lt;&gt;"27 - Instalação concluída",O176&lt;&gt;"28 - Encerrado",ISNUMBER(S176)),S176*1000+(1000-ROW()),"")</f>
        <v/>
      </c>
      <c r="AG176" s="69" t="str">
        <f aca="false">IF(AF176="","",RANK(AF176,$AF$2:$AF$500))</f>
        <v/>
      </c>
    </row>
    <row r="177" customFormat="false" ht="16.5" hidden="false" customHeight="true" outlineLevel="0" collapsed="false">
      <c r="A177" s="86"/>
      <c r="B177" s="86"/>
      <c r="C177" s="87" t="str">
        <f aca="false">IF(D177="","",IFERROR(INDEX(CADASTRO_VIVO_3CRE!$B$2:$B$150,MATCH(D177,CADASTRO_VIVO_3CRE!$E$2:$E$150,0)),""))</f>
        <v/>
      </c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8"/>
      <c r="S177" s="89" t="str">
        <f aca="true">IF(R177="","",TODAY()-INT(R177))</f>
        <v/>
      </c>
      <c r="T177" s="86"/>
      <c r="U177" s="86"/>
      <c r="V177" s="86"/>
      <c r="W177" s="88"/>
      <c r="X177" s="89" t="str">
        <f aca="true">IF(W177="","",IF(OR(O177="28 - Encerrado",O177="27 - Instalação concluída"),"Concluído",TODAY()-INT(W177)))</f>
        <v/>
      </c>
      <c r="Y177" s="90" t="str">
        <f aca="false">IF(OR(O177="28 - Encerrado",O177="27 - Instalação concluída"),"OK",IF(AND(B177&lt;&gt;"",S177=""),"ATENÇÃO (Sem data de atualização)",IF(S177="","",IF(S177&gt;30,"CRÍTICO (Sem Atualização &gt;30 dias)",IF(S177&gt;15,"ATENÇÃO (Sem Atualização &gt;15 dias)",IF(X177&gt;90,"CRÍTICO (Aberto &gt;90 dias)","OK"))))))</f>
        <v/>
      </c>
      <c r="Z177" s="90" t="str">
        <f aca="false">IF(B177="","",IF(OR(O177="27 - Instalação concluída",O177="28 - Encerrado"),"OK",IF(NOT(ISNUMBER(X177)),"",IF(X177&gt;365,"MUITO ANTIGO (&gt;1 ano)",IF(X177&gt;180,"ANTIGO (&gt;6 meses)",IF(X177&gt;90,"ATENÇÃO ANTIG. (&gt;3 meses)","OK"))))))</f>
        <v/>
      </c>
      <c r="AA177" s="86"/>
      <c r="AB177" s="69" t="str">
        <f aca="false">IF(AND(B177&lt;&gt;"",OR(T177="Pendente de Vistoria",T177="Não validada")),MAX($AB$1:$AB$176)+1,"")</f>
        <v/>
      </c>
      <c r="AC177" s="69" t="str">
        <f aca="false">IF(AND(B177&lt;&gt;"",OR(ISNUMBER(SEARCH("CTIN",P177)),U177="Alta",O177="07 - Relatório recebido — unidade apta",O177="11 - Orçamentos em análise técnica",O177="22 - Instalação/substituição autorizada")),MAX($AC$1:$AC$176)+1,"")</f>
        <v/>
      </c>
      <c r="AD177" s="69" t="str">
        <f aca="false">IF(AND(B177&lt;&gt;"",OR(ISNUMBER(SEARCH("CTO",P177)),LEFT(O177,2)="22",LEFT(O177,2)="23",LEFT(O177,2)="24",LEFT(O177,2)="25",LEFT(O177,2)="26",LEFT(O177,2)="27")),MAX($AD$1:$AD$176)+1,"")</f>
        <v/>
      </c>
      <c r="AE177" s="69" t="str">
        <f aca="false">IF(AND(B177&lt;&gt;"",D177=CONSULTA_UNIDADE!$B$4),MAX($AE$1:$AE$176)+1,"")</f>
        <v/>
      </c>
      <c r="AF177" s="69" t="str">
        <f aca="false">IF(AND(B177&lt;&gt;"",O177&lt;&gt;"27 - Instalação concluída",O177&lt;&gt;"28 - Encerrado",ISNUMBER(S177)),S177*1000+(1000-ROW()),"")</f>
        <v/>
      </c>
      <c r="AG177" s="69" t="str">
        <f aca="false">IF(AF177="","",RANK(AF177,$AF$2:$AF$500))</f>
        <v/>
      </c>
    </row>
    <row r="178" customFormat="false" ht="16.5" hidden="false" customHeight="true" outlineLevel="0" collapsed="false">
      <c r="A178" s="86"/>
      <c r="B178" s="86"/>
      <c r="C178" s="87" t="str">
        <f aca="false">IF(D178="","",IFERROR(INDEX(CADASTRO_VIVO_3CRE!$B$2:$B$150,MATCH(D178,CADASTRO_VIVO_3CRE!$E$2:$E$150,0)),""))</f>
        <v/>
      </c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8"/>
      <c r="S178" s="89" t="str">
        <f aca="true">IF(R178="","",TODAY()-INT(R178))</f>
        <v/>
      </c>
      <c r="T178" s="86"/>
      <c r="U178" s="86"/>
      <c r="V178" s="86"/>
      <c r="W178" s="88"/>
      <c r="X178" s="89" t="str">
        <f aca="true">IF(W178="","",IF(OR(O178="28 - Encerrado",O178="27 - Instalação concluída"),"Concluído",TODAY()-INT(W178)))</f>
        <v/>
      </c>
      <c r="Y178" s="90" t="str">
        <f aca="false">IF(OR(O178="28 - Encerrado",O178="27 - Instalação concluída"),"OK",IF(AND(B178&lt;&gt;"",S178=""),"ATENÇÃO (Sem data de atualização)",IF(S178="","",IF(S178&gt;30,"CRÍTICO (Sem Atualização &gt;30 dias)",IF(S178&gt;15,"ATENÇÃO (Sem Atualização &gt;15 dias)",IF(X178&gt;90,"CRÍTICO (Aberto &gt;90 dias)","OK"))))))</f>
        <v/>
      </c>
      <c r="Z178" s="90" t="str">
        <f aca="false">IF(B178="","",IF(OR(O178="27 - Instalação concluída",O178="28 - Encerrado"),"OK",IF(NOT(ISNUMBER(X178)),"",IF(X178&gt;365,"MUITO ANTIGO (&gt;1 ano)",IF(X178&gt;180,"ANTIGO (&gt;6 meses)",IF(X178&gt;90,"ATENÇÃO ANTIG. (&gt;3 meses)","OK"))))))</f>
        <v/>
      </c>
      <c r="AA178" s="86"/>
      <c r="AB178" s="69" t="str">
        <f aca="false">IF(AND(B178&lt;&gt;"",OR(T178="Pendente de Vistoria",T178="Não validada")),MAX($AB$1:$AB$177)+1,"")</f>
        <v/>
      </c>
      <c r="AC178" s="69" t="str">
        <f aca="false">IF(AND(B178&lt;&gt;"",OR(ISNUMBER(SEARCH("CTIN",P178)),U178="Alta",O178="07 - Relatório recebido — unidade apta",O178="11 - Orçamentos em análise técnica",O178="22 - Instalação/substituição autorizada")),MAX($AC$1:$AC$177)+1,"")</f>
        <v/>
      </c>
      <c r="AD178" s="69" t="str">
        <f aca="false">IF(AND(B178&lt;&gt;"",OR(ISNUMBER(SEARCH("CTO",P178)),LEFT(O178,2)="22",LEFT(O178,2)="23",LEFT(O178,2)="24",LEFT(O178,2)="25",LEFT(O178,2)="26",LEFT(O178,2)="27")),MAX($AD$1:$AD$177)+1,"")</f>
        <v/>
      </c>
      <c r="AE178" s="69" t="str">
        <f aca="false">IF(AND(B178&lt;&gt;"",D178=CONSULTA_UNIDADE!$B$4),MAX($AE$1:$AE$177)+1,"")</f>
        <v/>
      </c>
      <c r="AF178" s="69" t="str">
        <f aca="false">IF(AND(B178&lt;&gt;"",O178&lt;&gt;"27 - Instalação concluída",O178&lt;&gt;"28 - Encerrado",ISNUMBER(S178)),S178*1000+(1000-ROW()),"")</f>
        <v/>
      </c>
      <c r="AG178" s="69" t="str">
        <f aca="false">IF(AF178="","",RANK(AF178,$AF$2:$AF$500))</f>
        <v/>
      </c>
    </row>
    <row r="179" customFormat="false" ht="16.5" hidden="false" customHeight="true" outlineLevel="0" collapsed="false">
      <c r="A179" s="86"/>
      <c r="B179" s="86"/>
      <c r="C179" s="87" t="str">
        <f aca="false">IF(D179="","",IFERROR(INDEX(CADASTRO_VIVO_3CRE!$B$2:$B$150,MATCH(D179,CADASTRO_VIVO_3CRE!$E$2:$E$150,0)),""))</f>
        <v/>
      </c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8"/>
      <c r="S179" s="89" t="str">
        <f aca="true">IF(R179="","",TODAY()-INT(R179))</f>
        <v/>
      </c>
      <c r="T179" s="86"/>
      <c r="U179" s="86"/>
      <c r="V179" s="86"/>
      <c r="W179" s="88"/>
      <c r="X179" s="89" t="str">
        <f aca="true">IF(W179="","",IF(OR(O179="28 - Encerrado",O179="27 - Instalação concluída"),"Concluído",TODAY()-INT(W179)))</f>
        <v/>
      </c>
      <c r="Y179" s="90" t="str">
        <f aca="false">IF(OR(O179="28 - Encerrado",O179="27 - Instalação concluída"),"OK",IF(AND(B179&lt;&gt;"",S179=""),"ATENÇÃO (Sem data de atualização)",IF(S179="","",IF(S179&gt;30,"CRÍTICO (Sem Atualização &gt;30 dias)",IF(S179&gt;15,"ATENÇÃO (Sem Atualização &gt;15 dias)",IF(X179&gt;90,"CRÍTICO (Aberto &gt;90 dias)","OK"))))))</f>
        <v/>
      </c>
      <c r="Z179" s="90" t="str">
        <f aca="false">IF(B179="","",IF(OR(O179="27 - Instalação concluída",O179="28 - Encerrado"),"OK",IF(NOT(ISNUMBER(X179)),"",IF(X179&gt;365,"MUITO ANTIGO (&gt;1 ano)",IF(X179&gt;180,"ANTIGO (&gt;6 meses)",IF(X179&gt;90,"ATENÇÃO ANTIG. (&gt;3 meses)","OK"))))))</f>
        <v/>
      </c>
      <c r="AA179" s="86"/>
      <c r="AB179" s="69" t="str">
        <f aca="false">IF(AND(B179&lt;&gt;"",OR(T179="Pendente de Vistoria",T179="Não validada")),MAX($AB$1:$AB$178)+1,"")</f>
        <v/>
      </c>
      <c r="AC179" s="69" t="str">
        <f aca="false">IF(AND(B179&lt;&gt;"",OR(ISNUMBER(SEARCH("CTIN",P179)),U179="Alta",O179="07 - Relatório recebido — unidade apta",O179="11 - Orçamentos em análise técnica",O179="22 - Instalação/substituição autorizada")),MAX($AC$1:$AC$178)+1,"")</f>
        <v/>
      </c>
      <c r="AD179" s="69" t="str">
        <f aca="false">IF(AND(B179&lt;&gt;"",OR(ISNUMBER(SEARCH("CTO",P179)),LEFT(O179,2)="22",LEFT(O179,2)="23",LEFT(O179,2)="24",LEFT(O179,2)="25",LEFT(O179,2)="26",LEFT(O179,2)="27")),MAX($AD$1:$AD$178)+1,"")</f>
        <v/>
      </c>
      <c r="AE179" s="69" t="str">
        <f aca="false">IF(AND(B179&lt;&gt;"",D179=CONSULTA_UNIDADE!$B$4),MAX($AE$1:$AE$178)+1,"")</f>
        <v/>
      </c>
      <c r="AF179" s="69" t="str">
        <f aca="false">IF(AND(B179&lt;&gt;"",O179&lt;&gt;"27 - Instalação concluída",O179&lt;&gt;"28 - Encerrado",ISNUMBER(S179)),S179*1000+(1000-ROW()),"")</f>
        <v/>
      </c>
      <c r="AG179" s="69" t="str">
        <f aca="false">IF(AF179="","",RANK(AF179,$AF$2:$AF$500))</f>
        <v/>
      </c>
    </row>
    <row r="180" customFormat="false" ht="16.5" hidden="false" customHeight="true" outlineLevel="0" collapsed="false">
      <c r="A180" s="86"/>
      <c r="B180" s="86"/>
      <c r="C180" s="87" t="str">
        <f aca="false">IF(D180="","",IFERROR(INDEX(CADASTRO_VIVO_3CRE!$B$2:$B$150,MATCH(D180,CADASTRO_VIVO_3CRE!$E$2:$E$150,0)),""))</f>
        <v/>
      </c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8"/>
      <c r="S180" s="89" t="str">
        <f aca="true">IF(R180="","",TODAY()-INT(R180))</f>
        <v/>
      </c>
      <c r="T180" s="86"/>
      <c r="U180" s="86"/>
      <c r="V180" s="86"/>
      <c r="W180" s="88"/>
      <c r="X180" s="89" t="str">
        <f aca="true">IF(W180="","",IF(OR(O180="28 - Encerrado",O180="27 - Instalação concluída"),"Concluído",TODAY()-INT(W180)))</f>
        <v/>
      </c>
      <c r="Y180" s="90" t="str">
        <f aca="false">IF(OR(O180="28 - Encerrado",O180="27 - Instalação concluída"),"OK",IF(AND(B180&lt;&gt;"",S180=""),"ATENÇÃO (Sem data de atualização)",IF(S180="","",IF(S180&gt;30,"CRÍTICO (Sem Atualização &gt;30 dias)",IF(S180&gt;15,"ATENÇÃO (Sem Atualização &gt;15 dias)",IF(X180&gt;90,"CRÍTICO (Aberto &gt;90 dias)","OK"))))))</f>
        <v/>
      </c>
      <c r="Z180" s="90" t="str">
        <f aca="false">IF(B180="","",IF(OR(O180="27 - Instalação concluída",O180="28 - Encerrado"),"OK",IF(NOT(ISNUMBER(X180)),"",IF(X180&gt;365,"MUITO ANTIGO (&gt;1 ano)",IF(X180&gt;180,"ANTIGO (&gt;6 meses)",IF(X180&gt;90,"ATENÇÃO ANTIG. (&gt;3 meses)","OK"))))))</f>
        <v/>
      </c>
      <c r="AA180" s="86"/>
      <c r="AB180" s="69" t="str">
        <f aca="false">IF(AND(B180&lt;&gt;"",OR(T180="Pendente de Vistoria",T180="Não validada")),MAX($AB$1:$AB$179)+1,"")</f>
        <v/>
      </c>
      <c r="AC180" s="69" t="str">
        <f aca="false">IF(AND(B180&lt;&gt;"",OR(ISNUMBER(SEARCH("CTIN",P180)),U180="Alta",O180="07 - Relatório recebido — unidade apta",O180="11 - Orçamentos em análise técnica",O180="22 - Instalação/substituição autorizada")),MAX($AC$1:$AC$179)+1,"")</f>
        <v/>
      </c>
      <c r="AD180" s="69" t="str">
        <f aca="false">IF(AND(B180&lt;&gt;"",OR(ISNUMBER(SEARCH("CTO",P180)),LEFT(O180,2)="22",LEFT(O180,2)="23",LEFT(O180,2)="24",LEFT(O180,2)="25",LEFT(O180,2)="26",LEFT(O180,2)="27")),MAX($AD$1:$AD$179)+1,"")</f>
        <v/>
      </c>
      <c r="AE180" s="69" t="str">
        <f aca="false">IF(AND(B180&lt;&gt;"",D180=CONSULTA_UNIDADE!$B$4),MAX($AE$1:$AE$179)+1,"")</f>
        <v/>
      </c>
      <c r="AF180" s="69" t="str">
        <f aca="false">IF(AND(B180&lt;&gt;"",O180&lt;&gt;"27 - Instalação concluída",O180&lt;&gt;"28 - Encerrado",ISNUMBER(S180)),S180*1000+(1000-ROW()),"")</f>
        <v/>
      </c>
      <c r="AG180" s="69" t="str">
        <f aca="false">IF(AF180="","",RANK(AF180,$AF$2:$AF$500))</f>
        <v/>
      </c>
    </row>
    <row r="181" customFormat="false" ht="16.5" hidden="false" customHeight="true" outlineLevel="0" collapsed="false">
      <c r="A181" s="86"/>
      <c r="B181" s="86"/>
      <c r="C181" s="87" t="str">
        <f aca="false">IF(D181="","",IFERROR(INDEX(CADASTRO_VIVO_3CRE!$B$2:$B$150,MATCH(D181,CADASTRO_VIVO_3CRE!$E$2:$E$150,0)),""))</f>
        <v/>
      </c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8"/>
      <c r="S181" s="89" t="str">
        <f aca="true">IF(R181="","",TODAY()-INT(R181))</f>
        <v/>
      </c>
      <c r="T181" s="86"/>
      <c r="U181" s="86"/>
      <c r="V181" s="86"/>
      <c r="W181" s="88"/>
      <c r="X181" s="89" t="str">
        <f aca="true">IF(W181="","",IF(OR(O181="28 - Encerrado",O181="27 - Instalação concluída"),"Concluído",TODAY()-INT(W181)))</f>
        <v/>
      </c>
      <c r="Y181" s="90" t="str">
        <f aca="false">IF(OR(O181="28 - Encerrado",O181="27 - Instalação concluída"),"OK",IF(AND(B181&lt;&gt;"",S181=""),"ATENÇÃO (Sem data de atualização)",IF(S181="","",IF(S181&gt;30,"CRÍTICO (Sem Atualização &gt;30 dias)",IF(S181&gt;15,"ATENÇÃO (Sem Atualização &gt;15 dias)",IF(X181&gt;90,"CRÍTICO (Aberto &gt;90 dias)","OK"))))))</f>
        <v/>
      </c>
      <c r="Z181" s="90" t="str">
        <f aca="false">IF(B181="","",IF(OR(O181="27 - Instalação concluída",O181="28 - Encerrado"),"OK",IF(NOT(ISNUMBER(X181)),"",IF(X181&gt;365,"MUITO ANTIGO (&gt;1 ano)",IF(X181&gt;180,"ANTIGO (&gt;6 meses)",IF(X181&gt;90,"ATENÇÃO ANTIG. (&gt;3 meses)","OK"))))))</f>
        <v/>
      </c>
      <c r="AA181" s="86"/>
      <c r="AB181" s="69" t="str">
        <f aca="false">IF(AND(B181&lt;&gt;"",OR(T181="Pendente de Vistoria",T181="Não validada")),MAX($AB$1:$AB$180)+1,"")</f>
        <v/>
      </c>
      <c r="AC181" s="69" t="str">
        <f aca="false">IF(AND(B181&lt;&gt;"",OR(ISNUMBER(SEARCH("CTIN",P181)),U181="Alta",O181="07 - Relatório recebido — unidade apta",O181="11 - Orçamentos em análise técnica",O181="22 - Instalação/substituição autorizada")),MAX($AC$1:$AC$180)+1,"")</f>
        <v/>
      </c>
      <c r="AD181" s="69" t="str">
        <f aca="false">IF(AND(B181&lt;&gt;"",OR(ISNUMBER(SEARCH("CTO",P181)),LEFT(O181,2)="22",LEFT(O181,2)="23",LEFT(O181,2)="24",LEFT(O181,2)="25",LEFT(O181,2)="26",LEFT(O181,2)="27")),MAX($AD$1:$AD$180)+1,"")</f>
        <v/>
      </c>
      <c r="AE181" s="69" t="str">
        <f aca="false">IF(AND(B181&lt;&gt;"",D181=CONSULTA_UNIDADE!$B$4),MAX($AE$1:$AE$180)+1,"")</f>
        <v/>
      </c>
      <c r="AF181" s="69" t="str">
        <f aca="false">IF(AND(B181&lt;&gt;"",O181&lt;&gt;"27 - Instalação concluída",O181&lt;&gt;"28 - Encerrado",ISNUMBER(S181)),S181*1000+(1000-ROW()),"")</f>
        <v/>
      </c>
      <c r="AG181" s="69" t="str">
        <f aca="false">IF(AF181="","",RANK(AF181,$AF$2:$AF$500))</f>
        <v/>
      </c>
    </row>
    <row r="182" customFormat="false" ht="16.5" hidden="false" customHeight="true" outlineLevel="0" collapsed="false">
      <c r="A182" s="86"/>
      <c r="B182" s="86"/>
      <c r="C182" s="87" t="str">
        <f aca="false">IF(D182="","",IFERROR(INDEX(CADASTRO_VIVO_3CRE!$B$2:$B$150,MATCH(D182,CADASTRO_VIVO_3CRE!$E$2:$E$150,0)),""))</f>
        <v/>
      </c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8"/>
      <c r="S182" s="89" t="str">
        <f aca="true">IF(R182="","",TODAY()-INT(R182))</f>
        <v/>
      </c>
      <c r="T182" s="86"/>
      <c r="U182" s="86"/>
      <c r="V182" s="86"/>
      <c r="W182" s="88"/>
      <c r="X182" s="89" t="str">
        <f aca="true">IF(W182="","",IF(OR(O182="28 - Encerrado",O182="27 - Instalação concluída"),"Concluído",TODAY()-INT(W182)))</f>
        <v/>
      </c>
      <c r="Y182" s="90" t="str">
        <f aca="false">IF(OR(O182="28 - Encerrado",O182="27 - Instalação concluída"),"OK",IF(AND(B182&lt;&gt;"",S182=""),"ATENÇÃO (Sem data de atualização)",IF(S182="","",IF(S182&gt;30,"CRÍTICO (Sem Atualização &gt;30 dias)",IF(S182&gt;15,"ATENÇÃO (Sem Atualização &gt;15 dias)",IF(X182&gt;90,"CRÍTICO (Aberto &gt;90 dias)","OK"))))))</f>
        <v/>
      </c>
      <c r="Z182" s="90" t="str">
        <f aca="false">IF(B182="","",IF(OR(O182="27 - Instalação concluída",O182="28 - Encerrado"),"OK",IF(NOT(ISNUMBER(X182)),"",IF(X182&gt;365,"MUITO ANTIGO (&gt;1 ano)",IF(X182&gt;180,"ANTIGO (&gt;6 meses)",IF(X182&gt;90,"ATENÇÃO ANTIG. (&gt;3 meses)","OK"))))))</f>
        <v/>
      </c>
      <c r="AA182" s="86"/>
      <c r="AB182" s="69" t="str">
        <f aca="false">IF(AND(B182&lt;&gt;"",OR(T182="Pendente de Vistoria",T182="Não validada")),MAX($AB$1:$AB$181)+1,"")</f>
        <v/>
      </c>
      <c r="AC182" s="69" t="str">
        <f aca="false">IF(AND(B182&lt;&gt;"",OR(ISNUMBER(SEARCH("CTIN",P182)),U182="Alta",O182="07 - Relatório recebido — unidade apta",O182="11 - Orçamentos em análise técnica",O182="22 - Instalação/substituição autorizada")),MAX($AC$1:$AC$181)+1,"")</f>
        <v/>
      </c>
      <c r="AD182" s="69" t="str">
        <f aca="false">IF(AND(B182&lt;&gt;"",OR(ISNUMBER(SEARCH("CTO",P182)),LEFT(O182,2)="22",LEFT(O182,2)="23",LEFT(O182,2)="24",LEFT(O182,2)="25",LEFT(O182,2)="26",LEFT(O182,2)="27")),MAX($AD$1:$AD$181)+1,"")</f>
        <v/>
      </c>
      <c r="AE182" s="69" t="str">
        <f aca="false">IF(AND(B182&lt;&gt;"",D182=CONSULTA_UNIDADE!$B$4),MAX($AE$1:$AE$181)+1,"")</f>
        <v/>
      </c>
      <c r="AF182" s="69" t="str">
        <f aca="false">IF(AND(B182&lt;&gt;"",O182&lt;&gt;"27 - Instalação concluída",O182&lt;&gt;"28 - Encerrado",ISNUMBER(S182)),S182*1000+(1000-ROW()),"")</f>
        <v/>
      </c>
      <c r="AG182" s="69" t="str">
        <f aca="false">IF(AF182="","",RANK(AF182,$AF$2:$AF$500))</f>
        <v/>
      </c>
    </row>
    <row r="183" customFormat="false" ht="16.5" hidden="false" customHeight="true" outlineLevel="0" collapsed="false">
      <c r="A183" s="86"/>
      <c r="B183" s="86"/>
      <c r="C183" s="87" t="str">
        <f aca="false">IF(D183="","",IFERROR(INDEX(CADASTRO_VIVO_3CRE!$B$2:$B$150,MATCH(D183,CADASTRO_VIVO_3CRE!$E$2:$E$150,0)),""))</f>
        <v/>
      </c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8"/>
      <c r="S183" s="89" t="str">
        <f aca="true">IF(R183="","",TODAY()-INT(R183))</f>
        <v/>
      </c>
      <c r="T183" s="86"/>
      <c r="U183" s="86"/>
      <c r="V183" s="86"/>
      <c r="W183" s="88"/>
      <c r="X183" s="89" t="str">
        <f aca="true">IF(W183="","",IF(OR(O183="28 - Encerrado",O183="27 - Instalação concluída"),"Concluído",TODAY()-INT(W183)))</f>
        <v/>
      </c>
      <c r="Y183" s="90" t="str">
        <f aca="false">IF(OR(O183="28 - Encerrado",O183="27 - Instalação concluída"),"OK",IF(AND(B183&lt;&gt;"",S183=""),"ATENÇÃO (Sem data de atualização)",IF(S183="","",IF(S183&gt;30,"CRÍTICO (Sem Atualização &gt;30 dias)",IF(S183&gt;15,"ATENÇÃO (Sem Atualização &gt;15 dias)",IF(X183&gt;90,"CRÍTICO (Aberto &gt;90 dias)","OK"))))))</f>
        <v/>
      </c>
      <c r="Z183" s="90" t="str">
        <f aca="false">IF(B183="","",IF(OR(O183="27 - Instalação concluída",O183="28 - Encerrado"),"OK",IF(NOT(ISNUMBER(X183)),"",IF(X183&gt;365,"MUITO ANTIGO (&gt;1 ano)",IF(X183&gt;180,"ANTIGO (&gt;6 meses)",IF(X183&gt;90,"ATENÇÃO ANTIG. (&gt;3 meses)","OK"))))))</f>
        <v/>
      </c>
      <c r="AA183" s="86"/>
      <c r="AB183" s="69" t="str">
        <f aca="false">IF(AND(B183&lt;&gt;"",OR(T183="Pendente de Vistoria",T183="Não validada")),MAX($AB$1:$AB$182)+1,"")</f>
        <v/>
      </c>
      <c r="AC183" s="69" t="str">
        <f aca="false">IF(AND(B183&lt;&gt;"",OR(ISNUMBER(SEARCH("CTIN",P183)),U183="Alta",O183="07 - Relatório recebido — unidade apta",O183="11 - Orçamentos em análise técnica",O183="22 - Instalação/substituição autorizada")),MAX($AC$1:$AC$182)+1,"")</f>
        <v/>
      </c>
      <c r="AD183" s="69" t="str">
        <f aca="false">IF(AND(B183&lt;&gt;"",OR(ISNUMBER(SEARCH("CTO",P183)),LEFT(O183,2)="22",LEFT(O183,2)="23",LEFT(O183,2)="24",LEFT(O183,2)="25",LEFT(O183,2)="26",LEFT(O183,2)="27")),MAX($AD$1:$AD$182)+1,"")</f>
        <v/>
      </c>
      <c r="AE183" s="69" t="str">
        <f aca="false">IF(AND(B183&lt;&gt;"",D183=CONSULTA_UNIDADE!$B$4),MAX($AE$1:$AE$182)+1,"")</f>
        <v/>
      </c>
      <c r="AF183" s="69" t="str">
        <f aca="false">IF(AND(B183&lt;&gt;"",O183&lt;&gt;"27 - Instalação concluída",O183&lt;&gt;"28 - Encerrado",ISNUMBER(S183)),S183*1000+(1000-ROW()),"")</f>
        <v/>
      </c>
      <c r="AG183" s="69" t="str">
        <f aca="false">IF(AF183="","",RANK(AF183,$AF$2:$AF$500))</f>
        <v/>
      </c>
    </row>
    <row r="184" customFormat="false" ht="16.5" hidden="false" customHeight="true" outlineLevel="0" collapsed="false">
      <c r="A184" s="86"/>
      <c r="B184" s="86"/>
      <c r="C184" s="87" t="str">
        <f aca="false">IF(D184="","",IFERROR(INDEX(CADASTRO_VIVO_3CRE!$B$2:$B$150,MATCH(D184,CADASTRO_VIVO_3CRE!$E$2:$E$150,0)),""))</f>
        <v/>
      </c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8"/>
      <c r="S184" s="89" t="str">
        <f aca="true">IF(R184="","",TODAY()-INT(R184))</f>
        <v/>
      </c>
      <c r="T184" s="86"/>
      <c r="U184" s="86"/>
      <c r="V184" s="86"/>
      <c r="W184" s="88"/>
      <c r="X184" s="89" t="str">
        <f aca="true">IF(W184="","",IF(OR(O184="28 - Encerrado",O184="27 - Instalação concluída"),"Concluído",TODAY()-INT(W184)))</f>
        <v/>
      </c>
      <c r="Y184" s="90" t="str">
        <f aca="false">IF(OR(O184="28 - Encerrado",O184="27 - Instalação concluída"),"OK",IF(AND(B184&lt;&gt;"",S184=""),"ATENÇÃO (Sem data de atualização)",IF(S184="","",IF(S184&gt;30,"CRÍTICO (Sem Atualização &gt;30 dias)",IF(S184&gt;15,"ATENÇÃO (Sem Atualização &gt;15 dias)",IF(X184&gt;90,"CRÍTICO (Aberto &gt;90 dias)","OK"))))))</f>
        <v/>
      </c>
      <c r="Z184" s="90" t="str">
        <f aca="false">IF(B184="","",IF(OR(O184="27 - Instalação concluída",O184="28 - Encerrado"),"OK",IF(NOT(ISNUMBER(X184)),"",IF(X184&gt;365,"MUITO ANTIGO (&gt;1 ano)",IF(X184&gt;180,"ANTIGO (&gt;6 meses)",IF(X184&gt;90,"ATENÇÃO ANTIG. (&gt;3 meses)","OK"))))))</f>
        <v/>
      </c>
      <c r="AA184" s="86"/>
      <c r="AB184" s="69" t="str">
        <f aca="false">IF(AND(B184&lt;&gt;"",OR(T184="Pendente de Vistoria",T184="Não validada")),MAX($AB$1:$AB$183)+1,"")</f>
        <v/>
      </c>
      <c r="AC184" s="69" t="str">
        <f aca="false">IF(AND(B184&lt;&gt;"",OR(ISNUMBER(SEARCH("CTIN",P184)),U184="Alta",O184="07 - Relatório recebido — unidade apta",O184="11 - Orçamentos em análise técnica",O184="22 - Instalação/substituição autorizada")),MAX($AC$1:$AC$183)+1,"")</f>
        <v/>
      </c>
      <c r="AD184" s="69" t="str">
        <f aca="false">IF(AND(B184&lt;&gt;"",OR(ISNUMBER(SEARCH("CTO",P184)),LEFT(O184,2)="22",LEFT(O184,2)="23",LEFT(O184,2)="24",LEFT(O184,2)="25",LEFT(O184,2)="26",LEFT(O184,2)="27")),MAX($AD$1:$AD$183)+1,"")</f>
        <v/>
      </c>
      <c r="AE184" s="69" t="str">
        <f aca="false">IF(AND(B184&lt;&gt;"",D184=CONSULTA_UNIDADE!$B$4),MAX($AE$1:$AE$183)+1,"")</f>
        <v/>
      </c>
      <c r="AF184" s="69" t="str">
        <f aca="false">IF(AND(B184&lt;&gt;"",O184&lt;&gt;"27 - Instalação concluída",O184&lt;&gt;"28 - Encerrado",ISNUMBER(S184)),S184*1000+(1000-ROW()),"")</f>
        <v/>
      </c>
      <c r="AG184" s="69" t="str">
        <f aca="false">IF(AF184="","",RANK(AF184,$AF$2:$AF$500))</f>
        <v/>
      </c>
    </row>
    <row r="185" customFormat="false" ht="16.5" hidden="false" customHeight="true" outlineLevel="0" collapsed="false">
      <c r="A185" s="86"/>
      <c r="B185" s="86"/>
      <c r="C185" s="87" t="str">
        <f aca="false">IF(D185="","",IFERROR(INDEX(CADASTRO_VIVO_3CRE!$B$2:$B$150,MATCH(D185,CADASTRO_VIVO_3CRE!$E$2:$E$150,0)),""))</f>
        <v/>
      </c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8"/>
      <c r="S185" s="89" t="str">
        <f aca="true">IF(R185="","",TODAY()-INT(R185))</f>
        <v/>
      </c>
      <c r="T185" s="86"/>
      <c r="U185" s="86"/>
      <c r="V185" s="86"/>
      <c r="W185" s="88"/>
      <c r="X185" s="89" t="str">
        <f aca="true">IF(W185="","",IF(OR(O185="28 - Encerrado",O185="27 - Instalação concluída"),"Concluído",TODAY()-INT(W185)))</f>
        <v/>
      </c>
      <c r="Y185" s="90" t="str">
        <f aca="false">IF(OR(O185="28 - Encerrado",O185="27 - Instalação concluída"),"OK",IF(AND(B185&lt;&gt;"",S185=""),"ATENÇÃO (Sem data de atualização)",IF(S185="","",IF(S185&gt;30,"CRÍTICO (Sem Atualização &gt;30 dias)",IF(S185&gt;15,"ATENÇÃO (Sem Atualização &gt;15 dias)",IF(X185&gt;90,"CRÍTICO (Aberto &gt;90 dias)","OK"))))))</f>
        <v/>
      </c>
      <c r="Z185" s="90" t="str">
        <f aca="false">IF(B185="","",IF(OR(O185="27 - Instalação concluída",O185="28 - Encerrado"),"OK",IF(NOT(ISNUMBER(X185)),"",IF(X185&gt;365,"MUITO ANTIGO (&gt;1 ano)",IF(X185&gt;180,"ANTIGO (&gt;6 meses)",IF(X185&gt;90,"ATENÇÃO ANTIG. (&gt;3 meses)","OK"))))))</f>
        <v/>
      </c>
      <c r="AA185" s="86"/>
      <c r="AB185" s="69" t="str">
        <f aca="false">IF(AND(B185&lt;&gt;"",OR(T185="Pendente de Vistoria",T185="Não validada")),MAX($AB$1:$AB$184)+1,"")</f>
        <v/>
      </c>
      <c r="AC185" s="69" t="str">
        <f aca="false">IF(AND(B185&lt;&gt;"",OR(ISNUMBER(SEARCH("CTIN",P185)),U185="Alta",O185="07 - Relatório recebido — unidade apta",O185="11 - Orçamentos em análise técnica",O185="22 - Instalação/substituição autorizada")),MAX($AC$1:$AC$184)+1,"")</f>
        <v/>
      </c>
      <c r="AD185" s="69" t="str">
        <f aca="false">IF(AND(B185&lt;&gt;"",OR(ISNUMBER(SEARCH("CTO",P185)),LEFT(O185,2)="22",LEFT(O185,2)="23",LEFT(O185,2)="24",LEFT(O185,2)="25",LEFT(O185,2)="26",LEFT(O185,2)="27")),MAX($AD$1:$AD$184)+1,"")</f>
        <v/>
      </c>
      <c r="AE185" s="69" t="str">
        <f aca="false">IF(AND(B185&lt;&gt;"",D185=CONSULTA_UNIDADE!$B$4),MAX($AE$1:$AE$184)+1,"")</f>
        <v/>
      </c>
      <c r="AF185" s="69" t="str">
        <f aca="false">IF(AND(B185&lt;&gt;"",O185&lt;&gt;"27 - Instalação concluída",O185&lt;&gt;"28 - Encerrado",ISNUMBER(S185)),S185*1000+(1000-ROW()),"")</f>
        <v/>
      </c>
      <c r="AG185" s="69" t="str">
        <f aca="false">IF(AF185="","",RANK(AF185,$AF$2:$AF$500))</f>
        <v/>
      </c>
    </row>
    <row r="186" customFormat="false" ht="16.5" hidden="false" customHeight="true" outlineLevel="0" collapsed="false">
      <c r="A186" s="86"/>
      <c r="B186" s="86"/>
      <c r="C186" s="87" t="str">
        <f aca="false">IF(D186="","",IFERROR(INDEX(CADASTRO_VIVO_3CRE!$B$2:$B$150,MATCH(D186,CADASTRO_VIVO_3CRE!$E$2:$E$150,0)),""))</f>
        <v/>
      </c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8"/>
      <c r="S186" s="89" t="str">
        <f aca="true">IF(R186="","",TODAY()-INT(R186))</f>
        <v/>
      </c>
      <c r="T186" s="86"/>
      <c r="U186" s="86"/>
      <c r="V186" s="86"/>
      <c r="W186" s="88"/>
      <c r="X186" s="89" t="str">
        <f aca="true">IF(W186="","",IF(OR(O186="28 - Encerrado",O186="27 - Instalação concluída"),"Concluído",TODAY()-INT(W186)))</f>
        <v/>
      </c>
      <c r="Y186" s="90" t="str">
        <f aca="false">IF(OR(O186="28 - Encerrado",O186="27 - Instalação concluída"),"OK",IF(AND(B186&lt;&gt;"",S186=""),"ATENÇÃO (Sem data de atualização)",IF(S186="","",IF(S186&gt;30,"CRÍTICO (Sem Atualização &gt;30 dias)",IF(S186&gt;15,"ATENÇÃO (Sem Atualização &gt;15 dias)",IF(X186&gt;90,"CRÍTICO (Aberto &gt;90 dias)","OK"))))))</f>
        <v/>
      </c>
      <c r="Z186" s="90" t="str">
        <f aca="false">IF(B186="","",IF(OR(O186="27 - Instalação concluída",O186="28 - Encerrado"),"OK",IF(NOT(ISNUMBER(X186)),"",IF(X186&gt;365,"MUITO ANTIGO (&gt;1 ano)",IF(X186&gt;180,"ANTIGO (&gt;6 meses)",IF(X186&gt;90,"ATENÇÃO ANTIG. (&gt;3 meses)","OK"))))))</f>
        <v/>
      </c>
      <c r="AA186" s="86"/>
      <c r="AB186" s="69" t="str">
        <f aca="false">IF(AND(B186&lt;&gt;"",OR(T186="Pendente de Vistoria",T186="Não validada")),MAX($AB$1:$AB$185)+1,"")</f>
        <v/>
      </c>
      <c r="AC186" s="69" t="str">
        <f aca="false">IF(AND(B186&lt;&gt;"",OR(ISNUMBER(SEARCH("CTIN",P186)),U186="Alta",O186="07 - Relatório recebido — unidade apta",O186="11 - Orçamentos em análise técnica",O186="22 - Instalação/substituição autorizada")),MAX($AC$1:$AC$185)+1,"")</f>
        <v/>
      </c>
      <c r="AD186" s="69" t="str">
        <f aca="false">IF(AND(B186&lt;&gt;"",OR(ISNUMBER(SEARCH("CTO",P186)),LEFT(O186,2)="22",LEFT(O186,2)="23",LEFT(O186,2)="24",LEFT(O186,2)="25",LEFT(O186,2)="26",LEFT(O186,2)="27")),MAX($AD$1:$AD$185)+1,"")</f>
        <v/>
      </c>
      <c r="AE186" s="69" t="str">
        <f aca="false">IF(AND(B186&lt;&gt;"",D186=CONSULTA_UNIDADE!$B$4),MAX($AE$1:$AE$185)+1,"")</f>
        <v/>
      </c>
      <c r="AF186" s="69" t="str">
        <f aca="false">IF(AND(B186&lt;&gt;"",O186&lt;&gt;"27 - Instalação concluída",O186&lt;&gt;"28 - Encerrado",ISNUMBER(S186)),S186*1000+(1000-ROW()),"")</f>
        <v/>
      </c>
      <c r="AG186" s="69" t="str">
        <f aca="false">IF(AF186="","",RANK(AF186,$AF$2:$AF$500))</f>
        <v/>
      </c>
    </row>
    <row r="187" customFormat="false" ht="16.5" hidden="false" customHeight="true" outlineLevel="0" collapsed="false">
      <c r="A187" s="86"/>
      <c r="B187" s="86"/>
      <c r="C187" s="87" t="str">
        <f aca="false">IF(D187="","",IFERROR(INDEX(CADASTRO_VIVO_3CRE!$B$2:$B$150,MATCH(D187,CADASTRO_VIVO_3CRE!$E$2:$E$150,0)),""))</f>
        <v/>
      </c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8"/>
      <c r="S187" s="89" t="str">
        <f aca="true">IF(R187="","",TODAY()-INT(R187))</f>
        <v/>
      </c>
      <c r="T187" s="86"/>
      <c r="U187" s="86"/>
      <c r="V187" s="86"/>
      <c r="W187" s="88"/>
      <c r="X187" s="89" t="str">
        <f aca="true">IF(W187="","",IF(OR(O187="28 - Encerrado",O187="27 - Instalação concluída"),"Concluído",TODAY()-INT(W187)))</f>
        <v/>
      </c>
      <c r="Y187" s="90" t="str">
        <f aca="false">IF(OR(O187="28 - Encerrado",O187="27 - Instalação concluída"),"OK",IF(AND(B187&lt;&gt;"",S187=""),"ATENÇÃO (Sem data de atualização)",IF(S187="","",IF(S187&gt;30,"CRÍTICO (Sem Atualização &gt;30 dias)",IF(S187&gt;15,"ATENÇÃO (Sem Atualização &gt;15 dias)",IF(X187&gt;90,"CRÍTICO (Aberto &gt;90 dias)","OK"))))))</f>
        <v/>
      </c>
      <c r="Z187" s="90" t="str">
        <f aca="false">IF(B187="","",IF(OR(O187="27 - Instalação concluída",O187="28 - Encerrado"),"OK",IF(NOT(ISNUMBER(X187)),"",IF(X187&gt;365,"MUITO ANTIGO (&gt;1 ano)",IF(X187&gt;180,"ANTIGO (&gt;6 meses)",IF(X187&gt;90,"ATENÇÃO ANTIG. (&gt;3 meses)","OK"))))))</f>
        <v/>
      </c>
      <c r="AA187" s="86"/>
      <c r="AB187" s="69" t="str">
        <f aca="false">IF(AND(B187&lt;&gt;"",OR(T187="Pendente de Vistoria",T187="Não validada")),MAX($AB$1:$AB$186)+1,"")</f>
        <v/>
      </c>
      <c r="AC187" s="69" t="str">
        <f aca="false">IF(AND(B187&lt;&gt;"",OR(ISNUMBER(SEARCH("CTIN",P187)),U187="Alta",O187="07 - Relatório recebido — unidade apta",O187="11 - Orçamentos em análise técnica",O187="22 - Instalação/substituição autorizada")),MAX($AC$1:$AC$186)+1,"")</f>
        <v/>
      </c>
      <c r="AD187" s="69" t="str">
        <f aca="false">IF(AND(B187&lt;&gt;"",OR(ISNUMBER(SEARCH("CTO",P187)),LEFT(O187,2)="22",LEFT(O187,2)="23",LEFT(O187,2)="24",LEFT(O187,2)="25",LEFT(O187,2)="26",LEFT(O187,2)="27")),MAX($AD$1:$AD$186)+1,"")</f>
        <v/>
      </c>
      <c r="AE187" s="69" t="str">
        <f aca="false">IF(AND(B187&lt;&gt;"",D187=CONSULTA_UNIDADE!$B$4),MAX($AE$1:$AE$186)+1,"")</f>
        <v/>
      </c>
      <c r="AF187" s="69" t="str">
        <f aca="false">IF(AND(B187&lt;&gt;"",O187&lt;&gt;"27 - Instalação concluída",O187&lt;&gt;"28 - Encerrado",ISNUMBER(S187)),S187*1000+(1000-ROW()),"")</f>
        <v/>
      </c>
      <c r="AG187" s="69" t="str">
        <f aca="false">IF(AF187="","",RANK(AF187,$AF$2:$AF$500))</f>
        <v/>
      </c>
    </row>
    <row r="188" customFormat="false" ht="16.5" hidden="false" customHeight="true" outlineLevel="0" collapsed="false">
      <c r="A188" s="86"/>
      <c r="B188" s="86"/>
      <c r="C188" s="87" t="str">
        <f aca="false">IF(D188="","",IFERROR(INDEX(CADASTRO_VIVO_3CRE!$B$2:$B$150,MATCH(D188,CADASTRO_VIVO_3CRE!$E$2:$E$150,0)),""))</f>
        <v/>
      </c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8"/>
      <c r="S188" s="89" t="str">
        <f aca="true">IF(R188="","",TODAY()-INT(R188))</f>
        <v/>
      </c>
      <c r="T188" s="86"/>
      <c r="U188" s="86"/>
      <c r="V188" s="86"/>
      <c r="W188" s="88"/>
      <c r="X188" s="89" t="str">
        <f aca="true">IF(W188="","",IF(OR(O188="28 - Encerrado",O188="27 - Instalação concluída"),"Concluído",TODAY()-INT(W188)))</f>
        <v/>
      </c>
      <c r="Y188" s="90" t="str">
        <f aca="false">IF(OR(O188="28 - Encerrado",O188="27 - Instalação concluída"),"OK",IF(AND(B188&lt;&gt;"",S188=""),"ATENÇÃO (Sem data de atualização)",IF(S188="","",IF(S188&gt;30,"CRÍTICO (Sem Atualização &gt;30 dias)",IF(S188&gt;15,"ATENÇÃO (Sem Atualização &gt;15 dias)",IF(X188&gt;90,"CRÍTICO (Aberto &gt;90 dias)","OK"))))))</f>
        <v/>
      </c>
      <c r="Z188" s="90" t="str">
        <f aca="false">IF(B188="","",IF(OR(O188="27 - Instalação concluída",O188="28 - Encerrado"),"OK",IF(NOT(ISNUMBER(X188)),"",IF(X188&gt;365,"MUITO ANTIGO (&gt;1 ano)",IF(X188&gt;180,"ANTIGO (&gt;6 meses)",IF(X188&gt;90,"ATENÇÃO ANTIG. (&gt;3 meses)","OK"))))))</f>
        <v/>
      </c>
      <c r="AA188" s="86"/>
      <c r="AB188" s="69" t="str">
        <f aca="false">IF(AND(B188&lt;&gt;"",OR(T188="Pendente de Vistoria",T188="Não validada")),MAX($AB$1:$AB$187)+1,"")</f>
        <v/>
      </c>
      <c r="AC188" s="69" t="str">
        <f aca="false">IF(AND(B188&lt;&gt;"",OR(ISNUMBER(SEARCH("CTIN",P188)),U188="Alta",O188="07 - Relatório recebido — unidade apta",O188="11 - Orçamentos em análise técnica",O188="22 - Instalação/substituição autorizada")),MAX($AC$1:$AC$187)+1,"")</f>
        <v/>
      </c>
      <c r="AD188" s="69" t="str">
        <f aca="false">IF(AND(B188&lt;&gt;"",OR(ISNUMBER(SEARCH("CTO",P188)),LEFT(O188,2)="22",LEFT(O188,2)="23",LEFT(O188,2)="24",LEFT(O188,2)="25",LEFT(O188,2)="26",LEFT(O188,2)="27")),MAX($AD$1:$AD$187)+1,"")</f>
        <v/>
      </c>
      <c r="AE188" s="69" t="str">
        <f aca="false">IF(AND(B188&lt;&gt;"",D188=CONSULTA_UNIDADE!$B$4),MAX($AE$1:$AE$187)+1,"")</f>
        <v/>
      </c>
      <c r="AF188" s="69" t="str">
        <f aca="false">IF(AND(B188&lt;&gt;"",O188&lt;&gt;"27 - Instalação concluída",O188&lt;&gt;"28 - Encerrado",ISNUMBER(S188)),S188*1000+(1000-ROW()),"")</f>
        <v/>
      </c>
      <c r="AG188" s="69" t="str">
        <f aca="false">IF(AF188="","",RANK(AF188,$AF$2:$AF$500))</f>
        <v/>
      </c>
    </row>
    <row r="189" customFormat="false" ht="16.5" hidden="false" customHeight="true" outlineLevel="0" collapsed="false">
      <c r="A189" s="86"/>
      <c r="B189" s="86"/>
      <c r="C189" s="87" t="str">
        <f aca="false">IF(D189="","",IFERROR(INDEX(CADASTRO_VIVO_3CRE!$B$2:$B$150,MATCH(D189,CADASTRO_VIVO_3CRE!$E$2:$E$150,0)),""))</f>
        <v/>
      </c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8"/>
      <c r="S189" s="89" t="str">
        <f aca="true">IF(R189="","",TODAY()-INT(R189))</f>
        <v/>
      </c>
      <c r="T189" s="86"/>
      <c r="U189" s="86"/>
      <c r="V189" s="86"/>
      <c r="W189" s="88"/>
      <c r="X189" s="89" t="str">
        <f aca="true">IF(W189="","",IF(OR(O189="28 - Encerrado",O189="27 - Instalação concluída"),"Concluído",TODAY()-INT(W189)))</f>
        <v/>
      </c>
      <c r="Y189" s="90" t="str">
        <f aca="false">IF(OR(O189="28 - Encerrado",O189="27 - Instalação concluída"),"OK",IF(AND(B189&lt;&gt;"",S189=""),"ATENÇÃO (Sem data de atualização)",IF(S189="","",IF(S189&gt;30,"CRÍTICO (Sem Atualização &gt;30 dias)",IF(S189&gt;15,"ATENÇÃO (Sem Atualização &gt;15 dias)",IF(X189&gt;90,"CRÍTICO (Aberto &gt;90 dias)","OK"))))))</f>
        <v/>
      </c>
      <c r="Z189" s="90" t="str">
        <f aca="false">IF(B189="","",IF(OR(O189="27 - Instalação concluída",O189="28 - Encerrado"),"OK",IF(NOT(ISNUMBER(X189)),"",IF(X189&gt;365,"MUITO ANTIGO (&gt;1 ano)",IF(X189&gt;180,"ANTIGO (&gt;6 meses)",IF(X189&gt;90,"ATENÇÃO ANTIG. (&gt;3 meses)","OK"))))))</f>
        <v/>
      </c>
      <c r="AA189" s="86"/>
      <c r="AB189" s="69" t="str">
        <f aca="false">IF(AND(B189&lt;&gt;"",OR(T189="Pendente de Vistoria",T189="Não validada")),MAX($AB$1:$AB$188)+1,"")</f>
        <v/>
      </c>
      <c r="AC189" s="69" t="str">
        <f aca="false">IF(AND(B189&lt;&gt;"",OR(ISNUMBER(SEARCH("CTIN",P189)),U189="Alta",O189="07 - Relatório recebido — unidade apta",O189="11 - Orçamentos em análise técnica",O189="22 - Instalação/substituição autorizada")),MAX($AC$1:$AC$188)+1,"")</f>
        <v/>
      </c>
      <c r="AD189" s="69" t="str">
        <f aca="false">IF(AND(B189&lt;&gt;"",OR(ISNUMBER(SEARCH("CTO",P189)),LEFT(O189,2)="22",LEFT(O189,2)="23",LEFT(O189,2)="24",LEFT(O189,2)="25",LEFT(O189,2)="26",LEFT(O189,2)="27")),MAX($AD$1:$AD$188)+1,"")</f>
        <v/>
      </c>
      <c r="AE189" s="69" t="str">
        <f aca="false">IF(AND(B189&lt;&gt;"",D189=CONSULTA_UNIDADE!$B$4),MAX($AE$1:$AE$188)+1,"")</f>
        <v/>
      </c>
      <c r="AF189" s="69" t="str">
        <f aca="false">IF(AND(B189&lt;&gt;"",O189&lt;&gt;"27 - Instalação concluída",O189&lt;&gt;"28 - Encerrado",ISNUMBER(S189)),S189*1000+(1000-ROW()),"")</f>
        <v/>
      </c>
      <c r="AG189" s="69" t="str">
        <f aca="false">IF(AF189="","",RANK(AF189,$AF$2:$AF$500))</f>
        <v/>
      </c>
    </row>
    <row r="190" customFormat="false" ht="16.5" hidden="false" customHeight="true" outlineLevel="0" collapsed="false">
      <c r="A190" s="86"/>
      <c r="B190" s="86"/>
      <c r="C190" s="87" t="str">
        <f aca="false">IF(D190="","",IFERROR(INDEX(CADASTRO_VIVO_3CRE!$B$2:$B$150,MATCH(D190,CADASTRO_VIVO_3CRE!$E$2:$E$150,0)),""))</f>
        <v/>
      </c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8"/>
      <c r="S190" s="89" t="str">
        <f aca="true">IF(R190="","",TODAY()-INT(R190))</f>
        <v/>
      </c>
      <c r="T190" s="86"/>
      <c r="U190" s="86"/>
      <c r="V190" s="86"/>
      <c r="W190" s="88"/>
      <c r="X190" s="89" t="str">
        <f aca="true">IF(W190="","",IF(OR(O190="28 - Encerrado",O190="27 - Instalação concluída"),"Concluído",TODAY()-INT(W190)))</f>
        <v/>
      </c>
      <c r="Y190" s="90" t="str">
        <f aca="false">IF(OR(O190="28 - Encerrado",O190="27 - Instalação concluída"),"OK",IF(AND(B190&lt;&gt;"",S190=""),"ATENÇÃO (Sem data de atualização)",IF(S190="","",IF(S190&gt;30,"CRÍTICO (Sem Atualização &gt;30 dias)",IF(S190&gt;15,"ATENÇÃO (Sem Atualização &gt;15 dias)",IF(X190&gt;90,"CRÍTICO (Aberto &gt;90 dias)","OK"))))))</f>
        <v/>
      </c>
      <c r="Z190" s="90" t="str">
        <f aca="false">IF(B190="","",IF(OR(O190="27 - Instalação concluída",O190="28 - Encerrado"),"OK",IF(NOT(ISNUMBER(X190)),"",IF(X190&gt;365,"MUITO ANTIGO (&gt;1 ano)",IF(X190&gt;180,"ANTIGO (&gt;6 meses)",IF(X190&gt;90,"ATENÇÃO ANTIG. (&gt;3 meses)","OK"))))))</f>
        <v/>
      </c>
      <c r="AA190" s="86"/>
      <c r="AB190" s="69" t="str">
        <f aca="false">IF(AND(B190&lt;&gt;"",OR(T190="Pendente de Vistoria",T190="Não validada")),MAX($AB$1:$AB$189)+1,"")</f>
        <v/>
      </c>
      <c r="AC190" s="69" t="str">
        <f aca="false">IF(AND(B190&lt;&gt;"",OR(ISNUMBER(SEARCH("CTIN",P190)),U190="Alta",O190="07 - Relatório recebido — unidade apta",O190="11 - Orçamentos em análise técnica",O190="22 - Instalação/substituição autorizada")),MAX($AC$1:$AC$189)+1,"")</f>
        <v/>
      </c>
      <c r="AD190" s="69" t="str">
        <f aca="false">IF(AND(B190&lt;&gt;"",OR(ISNUMBER(SEARCH("CTO",P190)),LEFT(O190,2)="22",LEFT(O190,2)="23",LEFT(O190,2)="24",LEFT(O190,2)="25",LEFT(O190,2)="26",LEFT(O190,2)="27")),MAX($AD$1:$AD$189)+1,"")</f>
        <v/>
      </c>
      <c r="AE190" s="69" t="str">
        <f aca="false">IF(AND(B190&lt;&gt;"",D190=CONSULTA_UNIDADE!$B$4),MAX($AE$1:$AE$189)+1,"")</f>
        <v/>
      </c>
      <c r="AF190" s="69" t="str">
        <f aca="false">IF(AND(B190&lt;&gt;"",O190&lt;&gt;"27 - Instalação concluída",O190&lt;&gt;"28 - Encerrado",ISNUMBER(S190)),S190*1000+(1000-ROW()),"")</f>
        <v/>
      </c>
      <c r="AG190" s="69" t="str">
        <f aca="false">IF(AF190="","",RANK(AF190,$AF$2:$AF$500))</f>
        <v/>
      </c>
    </row>
    <row r="191" customFormat="false" ht="16.5" hidden="false" customHeight="true" outlineLevel="0" collapsed="false">
      <c r="A191" s="86"/>
      <c r="B191" s="86"/>
      <c r="C191" s="87" t="str">
        <f aca="false">IF(D191="","",IFERROR(INDEX(CADASTRO_VIVO_3CRE!$B$2:$B$150,MATCH(D191,CADASTRO_VIVO_3CRE!$E$2:$E$150,0)),""))</f>
        <v/>
      </c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8"/>
      <c r="S191" s="89" t="str">
        <f aca="true">IF(R191="","",TODAY()-INT(R191))</f>
        <v/>
      </c>
      <c r="T191" s="86"/>
      <c r="U191" s="86"/>
      <c r="V191" s="86"/>
      <c r="W191" s="88"/>
      <c r="X191" s="89" t="str">
        <f aca="true">IF(W191="","",IF(OR(O191="28 - Encerrado",O191="27 - Instalação concluída"),"Concluído",TODAY()-INT(W191)))</f>
        <v/>
      </c>
      <c r="Y191" s="90" t="str">
        <f aca="false">IF(OR(O191="28 - Encerrado",O191="27 - Instalação concluída"),"OK",IF(AND(B191&lt;&gt;"",S191=""),"ATENÇÃO (Sem data de atualização)",IF(S191="","",IF(S191&gt;30,"CRÍTICO (Sem Atualização &gt;30 dias)",IF(S191&gt;15,"ATENÇÃO (Sem Atualização &gt;15 dias)",IF(X191&gt;90,"CRÍTICO (Aberto &gt;90 dias)","OK"))))))</f>
        <v/>
      </c>
      <c r="Z191" s="90" t="str">
        <f aca="false">IF(B191="","",IF(OR(O191="27 - Instalação concluída",O191="28 - Encerrado"),"OK",IF(NOT(ISNUMBER(X191)),"",IF(X191&gt;365,"MUITO ANTIGO (&gt;1 ano)",IF(X191&gt;180,"ANTIGO (&gt;6 meses)",IF(X191&gt;90,"ATENÇÃO ANTIG. (&gt;3 meses)","OK"))))))</f>
        <v/>
      </c>
      <c r="AA191" s="86"/>
      <c r="AB191" s="69" t="str">
        <f aca="false">IF(AND(B191&lt;&gt;"",OR(T191="Pendente de Vistoria",T191="Não validada")),MAX($AB$1:$AB$190)+1,"")</f>
        <v/>
      </c>
      <c r="AC191" s="69" t="str">
        <f aca="false">IF(AND(B191&lt;&gt;"",OR(ISNUMBER(SEARCH("CTIN",P191)),U191="Alta",O191="07 - Relatório recebido — unidade apta",O191="11 - Orçamentos em análise técnica",O191="22 - Instalação/substituição autorizada")),MAX($AC$1:$AC$190)+1,"")</f>
        <v/>
      </c>
      <c r="AD191" s="69" t="str">
        <f aca="false">IF(AND(B191&lt;&gt;"",OR(ISNUMBER(SEARCH("CTO",P191)),LEFT(O191,2)="22",LEFT(O191,2)="23",LEFT(O191,2)="24",LEFT(O191,2)="25",LEFT(O191,2)="26",LEFT(O191,2)="27")),MAX($AD$1:$AD$190)+1,"")</f>
        <v/>
      </c>
      <c r="AE191" s="69" t="str">
        <f aca="false">IF(AND(B191&lt;&gt;"",D191=CONSULTA_UNIDADE!$B$4),MAX($AE$1:$AE$190)+1,"")</f>
        <v/>
      </c>
      <c r="AF191" s="69" t="str">
        <f aca="false">IF(AND(B191&lt;&gt;"",O191&lt;&gt;"27 - Instalação concluída",O191&lt;&gt;"28 - Encerrado",ISNUMBER(S191)),S191*1000+(1000-ROW()),"")</f>
        <v/>
      </c>
      <c r="AG191" s="69" t="str">
        <f aca="false">IF(AF191="","",RANK(AF191,$AF$2:$AF$500))</f>
        <v/>
      </c>
    </row>
    <row r="192" customFormat="false" ht="16.5" hidden="false" customHeight="true" outlineLevel="0" collapsed="false">
      <c r="A192" s="86"/>
      <c r="B192" s="86"/>
      <c r="C192" s="87" t="str">
        <f aca="false">IF(D192="","",IFERROR(INDEX(CADASTRO_VIVO_3CRE!$B$2:$B$150,MATCH(D192,CADASTRO_VIVO_3CRE!$E$2:$E$150,0)),""))</f>
        <v/>
      </c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8"/>
      <c r="S192" s="89" t="str">
        <f aca="true">IF(R192="","",TODAY()-INT(R192))</f>
        <v/>
      </c>
      <c r="T192" s="86"/>
      <c r="U192" s="86"/>
      <c r="V192" s="86"/>
      <c r="W192" s="88"/>
      <c r="X192" s="89" t="str">
        <f aca="true">IF(W192="","",IF(OR(O192="28 - Encerrado",O192="27 - Instalação concluída"),"Concluído",TODAY()-INT(W192)))</f>
        <v/>
      </c>
      <c r="Y192" s="90" t="str">
        <f aca="false">IF(OR(O192="28 - Encerrado",O192="27 - Instalação concluída"),"OK",IF(AND(B192&lt;&gt;"",S192=""),"ATENÇÃO (Sem data de atualização)",IF(S192="","",IF(S192&gt;30,"CRÍTICO (Sem Atualização &gt;30 dias)",IF(S192&gt;15,"ATENÇÃO (Sem Atualização &gt;15 dias)",IF(X192&gt;90,"CRÍTICO (Aberto &gt;90 dias)","OK"))))))</f>
        <v/>
      </c>
      <c r="Z192" s="90" t="str">
        <f aca="false">IF(B192="","",IF(OR(O192="27 - Instalação concluída",O192="28 - Encerrado"),"OK",IF(NOT(ISNUMBER(X192)),"",IF(X192&gt;365,"MUITO ANTIGO (&gt;1 ano)",IF(X192&gt;180,"ANTIGO (&gt;6 meses)",IF(X192&gt;90,"ATENÇÃO ANTIG. (&gt;3 meses)","OK"))))))</f>
        <v/>
      </c>
      <c r="AA192" s="86"/>
      <c r="AB192" s="69" t="str">
        <f aca="false">IF(AND(B192&lt;&gt;"",OR(T192="Pendente de Vistoria",T192="Não validada")),MAX($AB$1:$AB$191)+1,"")</f>
        <v/>
      </c>
      <c r="AC192" s="69" t="str">
        <f aca="false">IF(AND(B192&lt;&gt;"",OR(ISNUMBER(SEARCH("CTIN",P192)),U192="Alta",O192="07 - Relatório recebido — unidade apta",O192="11 - Orçamentos em análise técnica",O192="22 - Instalação/substituição autorizada")),MAX($AC$1:$AC$191)+1,"")</f>
        <v/>
      </c>
      <c r="AD192" s="69" t="str">
        <f aca="false">IF(AND(B192&lt;&gt;"",OR(ISNUMBER(SEARCH("CTO",P192)),LEFT(O192,2)="22",LEFT(O192,2)="23",LEFT(O192,2)="24",LEFT(O192,2)="25",LEFT(O192,2)="26",LEFT(O192,2)="27")),MAX($AD$1:$AD$191)+1,"")</f>
        <v/>
      </c>
      <c r="AE192" s="69" t="str">
        <f aca="false">IF(AND(B192&lt;&gt;"",D192=CONSULTA_UNIDADE!$B$4),MAX($AE$1:$AE$191)+1,"")</f>
        <v/>
      </c>
      <c r="AF192" s="69" t="str">
        <f aca="false">IF(AND(B192&lt;&gt;"",O192&lt;&gt;"27 - Instalação concluída",O192&lt;&gt;"28 - Encerrado",ISNUMBER(S192)),S192*1000+(1000-ROW()),"")</f>
        <v/>
      </c>
      <c r="AG192" s="69" t="str">
        <f aca="false">IF(AF192="","",RANK(AF192,$AF$2:$AF$500))</f>
        <v/>
      </c>
    </row>
    <row r="193" customFormat="false" ht="16.5" hidden="false" customHeight="true" outlineLevel="0" collapsed="false">
      <c r="A193" s="86"/>
      <c r="B193" s="86"/>
      <c r="C193" s="87" t="str">
        <f aca="false">IF(D193="","",IFERROR(INDEX(CADASTRO_VIVO_3CRE!$B$2:$B$150,MATCH(D193,CADASTRO_VIVO_3CRE!$E$2:$E$150,0)),""))</f>
        <v/>
      </c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8"/>
      <c r="S193" s="89" t="str">
        <f aca="true">IF(R193="","",TODAY()-INT(R193))</f>
        <v/>
      </c>
      <c r="T193" s="86"/>
      <c r="U193" s="86"/>
      <c r="V193" s="86"/>
      <c r="W193" s="88"/>
      <c r="X193" s="89" t="str">
        <f aca="true">IF(W193="","",IF(OR(O193="28 - Encerrado",O193="27 - Instalação concluída"),"Concluído",TODAY()-INT(W193)))</f>
        <v/>
      </c>
      <c r="Y193" s="90" t="str">
        <f aca="false">IF(OR(O193="28 - Encerrado",O193="27 - Instalação concluída"),"OK",IF(AND(B193&lt;&gt;"",S193=""),"ATENÇÃO (Sem data de atualização)",IF(S193="","",IF(S193&gt;30,"CRÍTICO (Sem Atualização &gt;30 dias)",IF(S193&gt;15,"ATENÇÃO (Sem Atualização &gt;15 dias)",IF(X193&gt;90,"CRÍTICO (Aberto &gt;90 dias)","OK"))))))</f>
        <v/>
      </c>
      <c r="Z193" s="90" t="str">
        <f aca="false">IF(B193="","",IF(OR(O193="27 - Instalação concluída",O193="28 - Encerrado"),"OK",IF(NOT(ISNUMBER(X193)),"",IF(X193&gt;365,"MUITO ANTIGO (&gt;1 ano)",IF(X193&gt;180,"ANTIGO (&gt;6 meses)",IF(X193&gt;90,"ATENÇÃO ANTIG. (&gt;3 meses)","OK"))))))</f>
        <v/>
      </c>
      <c r="AA193" s="86"/>
      <c r="AB193" s="69" t="str">
        <f aca="false">IF(AND(B193&lt;&gt;"",OR(T193="Pendente de Vistoria",T193="Não validada")),MAX($AB$1:$AB$192)+1,"")</f>
        <v/>
      </c>
      <c r="AC193" s="69" t="str">
        <f aca="false">IF(AND(B193&lt;&gt;"",OR(ISNUMBER(SEARCH("CTIN",P193)),U193="Alta",O193="07 - Relatório recebido — unidade apta",O193="11 - Orçamentos em análise técnica",O193="22 - Instalação/substituição autorizada")),MAX($AC$1:$AC$192)+1,"")</f>
        <v/>
      </c>
      <c r="AD193" s="69" t="str">
        <f aca="false">IF(AND(B193&lt;&gt;"",OR(ISNUMBER(SEARCH("CTO",P193)),LEFT(O193,2)="22",LEFT(O193,2)="23",LEFT(O193,2)="24",LEFT(O193,2)="25",LEFT(O193,2)="26",LEFT(O193,2)="27")),MAX($AD$1:$AD$192)+1,"")</f>
        <v/>
      </c>
      <c r="AE193" s="69" t="str">
        <f aca="false">IF(AND(B193&lt;&gt;"",D193=CONSULTA_UNIDADE!$B$4),MAX($AE$1:$AE$192)+1,"")</f>
        <v/>
      </c>
      <c r="AF193" s="69" t="str">
        <f aca="false">IF(AND(B193&lt;&gt;"",O193&lt;&gt;"27 - Instalação concluída",O193&lt;&gt;"28 - Encerrado",ISNUMBER(S193)),S193*1000+(1000-ROW()),"")</f>
        <v/>
      </c>
      <c r="AG193" s="69" t="str">
        <f aca="false">IF(AF193="","",RANK(AF193,$AF$2:$AF$500))</f>
        <v/>
      </c>
    </row>
    <row r="194" customFormat="false" ht="16.5" hidden="false" customHeight="true" outlineLevel="0" collapsed="false">
      <c r="A194" s="86"/>
      <c r="B194" s="86"/>
      <c r="C194" s="87" t="str">
        <f aca="false">IF(D194="","",IFERROR(INDEX(CADASTRO_VIVO_3CRE!$B$2:$B$150,MATCH(D194,CADASTRO_VIVO_3CRE!$E$2:$E$150,0)),""))</f>
        <v/>
      </c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8"/>
      <c r="S194" s="89" t="str">
        <f aca="true">IF(R194="","",TODAY()-INT(R194))</f>
        <v/>
      </c>
      <c r="T194" s="86"/>
      <c r="U194" s="86"/>
      <c r="V194" s="86"/>
      <c r="W194" s="88"/>
      <c r="X194" s="89" t="str">
        <f aca="true">IF(W194="","",IF(OR(O194="28 - Encerrado",O194="27 - Instalação concluída"),"Concluído",TODAY()-INT(W194)))</f>
        <v/>
      </c>
      <c r="Y194" s="90" t="str">
        <f aca="false">IF(OR(O194="28 - Encerrado",O194="27 - Instalação concluída"),"OK",IF(AND(B194&lt;&gt;"",S194=""),"ATENÇÃO (Sem data de atualização)",IF(S194="","",IF(S194&gt;30,"CRÍTICO (Sem Atualização &gt;30 dias)",IF(S194&gt;15,"ATENÇÃO (Sem Atualização &gt;15 dias)",IF(X194&gt;90,"CRÍTICO (Aberto &gt;90 dias)","OK"))))))</f>
        <v/>
      </c>
      <c r="Z194" s="90" t="str">
        <f aca="false">IF(B194="","",IF(OR(O194="27 - Instalação concluída",O194="28 - Encerrado"),"OK",IF(NOT(ISNUMBER(X194)),"",IF(X194&gt;365,"MUITO ANTIGO (&gt;1 ano)",IF(X194&gt;180,"ANTIGO (&gt;6 meses)",IF(X194&gt;90,"ATENÇÃO ANTIG. (&gt;3 meses)","OK"))))))</f>
        <v/>
      </c>
      <c r="AA194" s="86"/>
      <c r="AB194" s="69" t="str">
        <f aca="false">IF(AND(B194&lt;&gt;"",OR(T194="Pendente de Vistoria",T194="Não validada")),MAX($AB$1:$AB$193)+1,"")</f>
        <v/>
      </c>
      <c r="AC194" s="69" t="str">
        <f aca="false">IF(AND(B194&lt;&gt;"",OR(ISNUMBER(SEARCH("CTIN",P194)),U194="Alta",O194="07 - Relatório recebido — unidade apta",O194="11 - Orçamentos em análise técnica",O194="22 - Instalação/substituição autorizada")),MAX($AC$1:$AC$193)+1,"")</f>
        <v/>
      </c>
      <c r="AD194" s="69" t="str">
        <f aca="false">IF(AND(B194&lt;&gt;"",OR(ISNUMBER(SEARCH("CTO",P194)),LEFT(O194,2)="22",LEFT(O194,2)="23",LEFT(O194,2)="24",LEFT(O194,2)="25",LEFT(O194,2)="26",LEFT(O194,2)="27")),MAX($AD$1:$AD$193)+1,"")</f>
        <v/>
      </c>
      <c r="AE194" s="69" t="str">
        <f aca="false">IF(AND(B194&lt;&gt;"",D194=CONSULTA_UNIDADE!$B$4),MAX($AE$1:$AE$193)+1,"")</f>
        <v/>
      </c>
      <c r="AF194" s="69" t="str">
        <f aca="false">IF(AND(B194&lt;&gt;"",O194&lt;&gt;"27 - Instalação concluída",O194&lt;&gt;"28 - Encerrado",ISNUMBER(S194)),S194*1000+(1000-ROW()),"")</f>
        <v/>
      </c>
      <c r="AG194" s="69" t="str">
        <f aca="false">IF(AF194="","",RANK(AF194,$AF$2:$AF$500))</f>
        <v/>
      </c>
    </row>
    <row r="195" customFormat="false" ht="16.5" hidden="false" customHeight="true" outlineLevel="0" collapsed="false">
      <c r="A195" s="86"/>
      <c r="B195" s="86"/>
      <c r="C195" s="87" t="str">
        <f aca="false">IF(D195="","",IFERROR(INDEX(CADASTRO_VIVO_3CRE!$B$2:$B$150,MATCH(D195,CADASTRO_VIVO_3CRE!$E$2:$E$150,0)),""))</f>
        <v/>
      </c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8"/>
      <c r="S195" s="89" t="str">
        <f aca="true">IF(R195="","",TODAY()-INT(R195))</f>
        <v/>
      </c>
      <c r="T195" s="86"/>
      <c r="U195" s="86"/>
      <c r="V195" s="86"/>
      <c r="W195" s="88"/>
      <c r="X195" s="89" t="str">
        <f aca="true">IF(W195="","",IF(OR(O195="28 - Encerrado",O195="27 - Instalação concluída"),"Concluído",TODAY()-INT(W195)))</f>
        <v/>
      </c>
      <c r="Y195" s="90" t="str">
        <f aca="false">IF(OR(O195="28 - Encerrado",O195="27 - Instalação concluída"),"OK",IF(AND(B195&lt;&gt;"",S195=""),"ATENÇÃO (Sem data de atualização)",IF(S195="","",IF(S195&gt;30,"CRÍTICO (Sem Atualização &gt;30 dias)",IF(S195&gt;15,"ATENÇÃO (Sem Atualização &gt;15 dias)",IF(X195&gt;90,"CRÍTICO (Aberto &gt;90 dias)","OK"))))))</f>
        <v/>
      </c>
      <c r="Z195" s="90" t="str">
        <f aca="false">IF(B195="","",IF(OR(O195="27 - Instalação concluída",O195="28 - Encerrado"),"OK",IF(NOT(ISNUMBER(X195)),"",IF(X195&gt;365,"MUITO ANTIGO (&gt;1 ano)",IF(X195&gt;180,"ANTIGO (&gt;6 meses)",IF(X195&gt;90,"ATENÇÃO ANTIG. (&gt;3 meses)","OK"))))))</f>
        <v/>
      </c>
      <c r="AA195" s="86"/>
      <c r="AB195" s="69" t="str">
        <f aca="false">IF(AND(B195&lt;&gt;"",OR(T195="Pendente de Vistoria",T195="Não validada")),MAX($AB$1:$AB$194)+1,"")</f>
        <v/>
      </c>
      <c r="AC195" s="69" t="str">
        <f aca="false">IF(AND(B195&lt;&gt;"",OR(ISNUMBER(SEARCH("CTIN",P195)),U195="Alta",O195="07 - Relatório recebido — unidade apta",O195="11 - Orçamentos em análise técnica",O195="22 - Instalação/substituição autorizada")),MAX($AC$1:$AC$194)+1,"")</f>
        <v/>
      </c>
      <c r="AD195" s="69" t="str">
        <f aca="false">IF(AND(B195&lt;&gt;"",OR(ISNUMBER(SEARCH("CTO",P195)),LEFT(O195,2)="22",LEFT(O195,2)="23",LEFT(O195,2)="24",LEFT(O195,2)="25",LEFT(O195,2)="26",LEFT(O195,2)="27")),MAX($AD$1:$AD$194)+1,"")</f>
        <v/>
      </c>
      <c r="AE195" s="69" t="str">
        <f aca="false">IF(AND(B195&lt;&gt;"",D195=CONSULTA_UNIDADE!$B$4),MAX($AE$1:$AE$194)+1,"")</f>
        <v/>
      </c>
      <c r="AF195" s="69" t="str">
        <f aca="false">IF(AND(B195&lt;&gt;"",O195&lt;&gt;"27 - Instalação concluída",O195&lt;&gt;"28 - Encerrado",ISNUMBER(S195)),S195*1000+(1000-ROW()),"")</f>
        <v/>
      </c>
      <c r="AG195" s="69" t="str">
        <f aca="false">IF(AF195="","",RANK(AF195,$AF$2:$AF$500))</f>
        <v/>
      </c>
    </row>
    <row r="196" customFormat="false" ht="16.5" hidden="false" customHeight="true" outlineLevel="0" collapsed="false">
      <c r="A196" s="86"/>
      <c r="B196" s="86"/>
      <c r="C196" s="87" t="str">
        <f aca="false">IF(D196="","",IFERROR(INDEX(CADASTRO_VIVO_3CRE!$B$2:$B$150,MATCH(D196,CADASTRO_VIVO_3CRE!$E$2:$E$150,0)),""))</f>
        <v/>
      </c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8"/>
      <c r="S196" s="89" t="str">
        <f aca="true">IF(R196="","",TODAY()-INT(R196))</f>
        <v/>
      </c>
      <c r="T196" s="86"/>
      <c r="U196" s="86"/>
      <c r="V196" s="86"/>
      <c r="W196" s="88"/>
      <c r="X196" s="89" t="str">
        <f aca="true">IF(W196="","",IF(OR(O196="28 - Encerrado",O196="27 - Instalação concluída"),"Concluído",TODAY()-INT(W196)))</f>
        <v/>
      </c>
      <c r="Y196" s="90" t="str">
        <f aca="false">IF(OR(O196="28 - Encerrado",O196="27 - Instalação concluída"),"OK",IF(AND(B196&lt;&gt;"",S196=""),"ATENÇÃO (Sem data de atualização)",IF(S196="","",IF(S196&gt;30,"CRÍTICO (Sem Atualização &gt;30 dias)",IF(S196&gt;15,"ATENÇÃO (Sem Atualização &gt;15 dias)",IF(X196&gt;90,"CRÍTICO (Aberto &gt;90 dias)","OK"))))))</f>
        <v/>
      </c>
      <c r="Z196" s="90" t="str">
        <f aca="false">IF(B196="","",IF(OR(O196="27 - Instalação concluída",O196="28 - Encerrado"),"OK",IF(NOT(ISNUMBER(X196)),"",IF(X196&gt;365,"MUITO ANTIGO (&gt;1 ano)",IF(X196&gt;180,"ANTIGO (&gt;6 meses)",IF(X196&gt;90,"ATENÇÃO ANTIG. (&gt;3 meses)","OK"))))))</f>
        <v/>
      </c>
      <c r="AA196" s="86"/>
      <c r="AB196" s="69" t="str">
        <f aca="false">IF(AND(B196&lt;&gt;"",OR(T196="Pendente de Vistoria",T196="Não validada")),MAX($AB$1:$AB$195)+1,"")</f>
        <v/>
      </c>
      <c r="AC196" s="69" t="str">
        <f aca="false">IF(AND(B196&lt;&gt;"",OR(ISNUMBER(SEARCH("CTIN",P196)),U196="Alta",O196="07 - Relatório recebido — unidade apta",O196="11 - Orçamentos em análise técnica",O196="22 - Instalação/substituição autorizada")),MAX($AC$1:$AC$195)+1,"")</f>
        <v/>
      </c>
      <c r="AD196" s="69" t="str">
        <f aca="false">IF(AND(B196&lt;&gt;"",OR(ISNUMBER(SEARCH("CTO",P196)),LEFT(O196,2)="22",LEFT(O196,2)="23",LEFT(O196,2)="24",LEFT(O196,2)="25",LEFT(O196,2)="26",LEFT(O196,2)="27")),MAX($AD$1:$AD$195)+1,"")</f>
        <v/>
      </c>
      <c r="AE196" s="69" t="str">
        <f aca="false">IF(AND(B196&lt;&gt;"",D196=CONSULTA_UNIDADE!$B$4),MAX($AE$1:$AE$195)+1,"")</f>
        <v/>
      </c>
      <c r="AF196" s="69" t="str">
        <f aca="false">IF(AND(B196&lt;&gt;"",O196&lt;&gt;"27 - Instalação concluída",O196&lt;&gt;"28 - Encerrado",ISNUMBER(S196)),S196*1000+(1000-ROW()),"")</f>
        <v/>
      </c>
      <c r="AG196" s="69" t="str">
        <f aca="false">IF(AF196="","",RANK(AF196,$AF$2:$AF$500))</f>
        <v/>
      </c>
    </row>
    <row r="197" customFormat="false" ht="16.5" hidden="false" customHeight="true" outlineLevel="0" collapsed="false">
      <c r="A197" s="86"/>
      <c r="B197" s="86"/>
      <c r="C197" s="87" t="str">
        <f aca="false">IF(D197="","",IFERROR(INDEX(CADASTRO_VIVO_3CRE!$B$2:$B$150,MATCH(D197,CADASTRO_VIVO_3CRE!$E$2:$E$150,0)),""))</f>
        <v/>
      </c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8"/>
      <c r="S197" s="89" t="str">
        <f aca="true">IF(R197="","",TODAY()-INT(R197))</f>
        <v/>
      </c>
      <c r="T197" s="86"/>
      <c r="U197" s="86"/>
      <c r="V197" s="86"/>
      <c r="W197" s="88"/>
      <c r="X197" s="89" t="str">
        <f aca="true">IF(W197="","",IF(OR(O197="28 - Encerrado",O197="27 - Instalação concluída"),"Concluído",TODAY()-INT(W197)))</f>
        <v/>
      </c>
      <c r="Y197" s="90" t="str">
        <f aca="false">IF(OR(O197="28 - Encerrado",O197="27 - Instalação concluída"),"OK",IF(AND(B197&lt;&gt;"",S197=""),"ATENÇÃO (Sem data de atualização)",IF(S197="","",IF(S197&gt;30,"CRÍTICO (Sem Atualização &gt;30 dias)",IF(S197&gt;15,"ATENÇÃO (Sem Atualização &gt;15 dias)",IF(X197&gt;90,"CRÍTICO (Aberto &gt;90 dias)","OK"))))))</f>
        <v/>
      </c>
      <c r="Z197" s="90" t="str">
        <f aca="false">IF(B197="","",IF(OR(O197="27 - Instalação concluída",O197="28 - Encerrado"),"OK",IF(NOT(ISNUMBER(X197)),"",IF(X197&gt;365,"MUITO ANTIGO (&gt;1 ano)",IF(X197&gt;180,"ANTIGO (&gt;6 meses)",IF(X197&gt;90,"ATENÇÃO ANTIG. (&gt;3 meses)","OK"))))))</f>
        <v/>
      </c>
      <c r="AA197" s="86"/>
      <c r="AB197" s="69" t="str">
        <f aca="false">IF(AND(B197&lt;&gt;"",OR(T197="Pendente de Vistoria",T197="Não validada")),MAX($AB$1:$AB$196)+1,"")</f>
        <v/>
      </c>
      <c r="AC197" s="69" t="str">
        <f aca="false">IF(AND(B197&lt;&gt;"",OR(ISNUMBER(SEARCH("CTIN",P197)),U197="Alta",O197="07 - Relatório recebido — unidade apta",O197="11 - Orçamentos em análise técnica",O197="22 - Instalação/substituição autorizada")),MAX($AC$1:$AC$196)+1,"")</f>
        <v/>
      </c>
      <c r="AD197" s="69" t="str">
        <f aca="false">IF(AND(B197&lt;&gt;"",OR(ISNUMBER(SEARCH("CTO",P197)),LEFT(O197,2)="22",LEFT(O197,2)="23",LEFT(O197,2)="24",LEFT(O197,2)="25",LEFT(O197,2)="26",LEFT(O197,2)="27")),MAX($AD$1:$AD$196)+1,"")</f>
        <v/>
      </c>
      <c r="AE197" s="69" t="str">
        <f aca="false">IF(AND(B197&lt;&gt;"",D197=CONSULTA_UNIDADE!$B$4),MAX($AE$1:$AE$196)+1,"")</f>
        <v/>
      </c>
      <c r="AF197" s="69" t="str">
        <f aca="false">IF(AND(B197&lt;&gt;"",O197&lt;&gt;"27 - Instalação concluída",O197&lt;&gt;"28 - Encerrado",ISNUMBER(S197)),S197*1000+(1000-ROW()),"")</f>
        <v/>
      </c>
      <c r="AG197" s="69" t="str">
        <f aca="false">IF(AF197="","",RANK(AF197,$AF$2:$AF$500))</f>
        <v/>
      </c>
    </row>
    <row r="198" customFormat="false" ht="16.5" hidden="false" customHeight="true" outlineLevel="0" collapsed="false">
      <c r="A198" s="86"/>
      <c r="B198" s="86"/>
      <c r="C198" s="87" t="str">
        <f aca="false">IF(D198="","",IFERROR(INDEX(CADASTRO_VIVO_3CRE!$B$2:$B$150,MATCH(D198,CADASTRO_VIVO_3CRE!$E$2:$E$150,0)),""))</f>
        <v/>
      </c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8"/>
      <c r="S198" s="89" t="str">
        <f aca="true">IF(R198="","",TODAY()-INT(R198))</f>
        <v/>
      </c>
      <c r="T198" s="86"/>
      <c r="U198" s="86"/>
      <c r="V198" s="86"/>
      <c r="W198" s="88"/>
      <c r="X198" s="89" t="str">
        <f aca="true">IF(W198="","",IF(OR(O198="28 - Encerrado",O198="27 - Instalação concluída"),"Concluído",TODAY()-INT(W198)))</f>
        <v/>
      </c>
      <c r="Y198" s="90" t="str">
        <f aca="false">IF(OR(O198="28 - Encerrado",O198="27 - Instalação concluída"),"OK",IF(AND(B198&lt;&gt;"",S198=""),"ATENÇÃO (Sem data de atualização)",IF(S198="","",IF(S198&gt;30,"CRÍTICO (Sem Atualização &gt;30 dias)",IF(S198&gt;15,"ATENÇÃO (Sem Atualização &gt;15 dias)",IF(X198&gt;90,"CRÍTICO (Aberto &gt;90 dias)","OK"))))))</f>
        <v/>
      </c>
      <c r="Z198" s="90" t="str">
        <f aca="false">IF(B198="","",IF(OR(O198="27 - Instalação concluída",O198="28 - Encerrado"),"OK",IF(NOT(ISNUMBER(X198)),"",IF(X198&gt;365,"MUITO ANTIGO (&gt;1 ano)",IF(X198&gt;180,"ANTIGO (&gt;6 meses)",IF(X198&gt;90,"ATENÇÃO ANTIG. (&gt;3 meses)","OK"))))))</f>
        <v/>
      </c>
      <c r="AA198" s="86"/>
      <c r="AB198" s="69" t="str">
        <f aca="false">IF(AND(B198&lt;&gt;"",OR(T198="Pendente de Vistoria",T198="Não validada")),MAX($AB$1:$AB$197)+1,"")</f>
        <v/>
      </c>
      <c r="AC198" s="69" t="str">
        <f aca="false">IF(AND(B198&lt;&gt;"",OR(ISNUMBER(SEARCH("CTIN",P198)),U198="Alta",O198="07 - Relatório recebido — unidade apta",O198="11 - Orçamentos em análise técnica",O198="22 - Instalação/substituição autorizada")),MAX($AC$1:$AC$197)+1,"")</f>
        <v/>
      </c>
      <c r="AD198" s="69" t="str">
        <f aca="false">IF(AND(B198&lt;&gt;"",OR(ISNUMBER(SEARCH("CTO",P198)),LEFT(O198,2)="22",LEFT(O198,2)="23",LEFT(O198,2)="24",LEFT(O198,2)="25",LEFT(O198,2)="26",LEFT(O198,2)="27")),MAX($AD$1:$AD$197)+1,"")</f>
        <v/>
      </c>
      <c r="AE198" s="69" t="str">
        <f aca="false">IF(AND(B198&lt;&gt;"",D198=CONSULTA_UNIDADE!$B$4),MAX($AE$1:$AE$197)+1,"")</f>
        <v/>
      </c>
      <c r="AF198" s="69" t="str">
        <f aca="false">IF(AND(B198&lt;&gt;"",O198&lt;&gt;"27 - Instalação concluída",O198&lt;&gt;"28 - Encerrado",ISNUMBER(S198)),S198*1000+(1000-ROW()),"")</f>
        <v/>
      </c>
      <c r="AG198" s="69" t="str">
        <f aca="false">IF(AF198="","",RANK(AF198,$AF$2:$AF$500))</f>
        <v/>
      </c>
    </row>
    <row r="199" customFormat="false" ht="16.5" hidden="false" customHeight="true" outlineLevel="0" collapsed="false">
      <c r="A199" s="86"/>
      <c r="B199" s="86"/>
      <c r="C199" s="87" t="str">
        <f aca="false">IF(D199="","",IFERROR(INDEX(CADASTRO_VIVO_3CRE!$B$2:$B$150,MATCH(D199,CADASTRO_VIVO_3CRE!$E$2:$E$150,0)),""))</f>
        <v/>
      </c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8"/>
      <c r="S199" s="89" t="str">
        <f aca="true">IF(R199="","",TODAY()-INT(R199))</f>
        <v/>
      </c>
      <c r="T199" s="86"/>
      <c r="U199" s="86"/>
      <c r="V199" s="86"/>
      <c r="W199" s="88"/>
      <c r="X199" s="89" t="str">
        <f aca="true">IF(W199="","",IF(OR(O199="28 - Encerrado",O199="27 - Instalação concluída"),"Concluído",TODAY()-INT(W199)))</f>
        <v/>
      </c>
      <c r="Y199" s="90" t="str">
        <f aca="false">IF(OR(O199="28 - Encerrado",O199="27 - Instalação concluída"),"OK",IF(AND(B199&lt;&gt;"",S199=""),"ATENÇÃO (Sem data de atualização)",IF(S199="","",IF(S199&gt;30,"CRÍTICO (Sem Atualização &gt;30 dias)",IF(S199&gt;15,"ATENÇÃO (Sem Atualização &gt;15 dias)",IF(X199&gt;90,"CRÍTICO (Aberto &gt;90 dias)","OK"))))))</f>
        <v/>
      </c>
      <c r="Z199" s="90" t="str">
        <f aca="false">IF(B199="","",IF(OR(O199="27 - Instalação concluída",O199="28 - Encerrado"),"OK",IF(NOT(ISNUMBER(X199)),"",IF(X199&gt;365,"MUITO ANTIGO (&gt;1 ano)",IF(X199&gt;180,"ANTIGO (&gt;6 meses)",IF(X199&gt;90,"ATENÇÃO ANTIG. (&gt;3 meses)","OK"))))))</f>
        <v/>
      </c>
      <c r="AA199" s="86"/>
      <c r="AB199" s="69" t="str">
        <f aca="false">IF(AND(B199&lt;&gt;"",OR(T199="Pendente de Vistoria",T199="Não validada")),MAX($AB$1:$AB$198)+1,"")</f>
        <v/>
      </c>
      <c r="AC199" s="69" t="str">
        <f aca="false">IF(AND(B199&lt;&gt;"",OR(ISNUMBER(SEARCH("CTIN",P199)),U199="Alta",O199="07 - Relatório recebido — unidade apta",O199="11 - Orçamentos em análise técnica",O199="22 - Instalação/substituição autorizada")),MAX($AC$1:$AC$198)+1,"")</f>
        <v/>
      </c>
      <c r="AD199" s="69" t="str">
        <f aca="false">IF(AND(B199&lt;&gt;"",OR(ISNUMBER(SEARCH("CTO",P199)),LEFT(O199,2)="22",LEFT(O199,2)="23",LEFT(O199,2)="24",LEFT(O199,2)="25",LEFT(O199,2)="26",LEFT(O199,2)="27")),MAX($AD$1:$AD$198)+1,"")</f>
        <v/>
      </c>
      <c r="AE199" s="69" t="str">
        <f aca="false">IF(AND(B199&lt;&gt;"",D199=CONSULTA_UNIDADE!$B$4),MAX($AE$1:$AE$198)+1,"")</f>
        <v/>
      </c>
      <c r="AF199" s="69" t="str">
        <f aca="false">IF(AND(B199&lt;&gt;"",O199&lt;&gt;"27 - Instalação concluída",O199&lt;&gt;"28 - Encerrado",ISNUMBER(S199)),S199*1000+(1000-ROW()),"")</f>
        <v/>
      </c>
      <c r="AG199" s="69" t="str">
        <f aca="false">IF(AF199="","",RANK(AF199,$AF$2:$AF$500))</f>
        <v/>
      </c>
    </row>
    <row r="200" customFormat="false" ht="16.5" hidden="false" customHeight="true" outlineLevel="0" collapsed="false">
      <c r="A200" s="86"/>
      <c r="B200" s="86"/>
      <c r="C200" s="87" t="str">
        <f aca="false">IF(D200="","",IFERROR(INDEX(CADASTRO_VIVO_3CRE!$B$2:$B$150,MATCH(D200,CADASTRO_VIVO_3CRE!$E$2:$E$150,0)),""))</f>
        <v/>
      </c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8"/>
      <c r="S200" s="89" t="str">
        <f aca="true">IF(R200="","",TODAY()-INT(R200))</f>
        <v/>
      </c>
      <c r="T200" s="86"/>
      <c r="U200" s="86"/>
      <c r="V200" s="86"/>
      <c r="W200" s="88"/>
      <c r="X200" s="89" t="str">
        <f aca="true">IF(W200="","",IF(OR(O200="28 - Encerrado",O200="27 - Instalação concluída"),"Concluído",TODAY()-INT(W200)))</f>
        <v/>
      </c>
      <c r="Y200" s="90" t="str">
        <f aca="false">IF(OR(O200="28 - Encerrado",O200="27 - Instalação concluída"),"OK",IF(AND(B200&lt;&gt;"",S200=""),"ATENÇÃO (Sem data de atualização)",IF(S200="","",IF(S200&gt;30,"CRÍTICO (Sem Atualização &gt;30 dias)",IF(S200&gt;15,"ATENÇÃO (Sem Atualização &gt;15 dias)",IF(X200&gt;90,"CRÍTICO (Aberto &gt;90 dias)","OK"))))))</f>
        <v/>
      </c>
      <c r="Z200" s="90" t="str">
        <f aca="false">IF(B200="","",IF(OR(O200="27 - Instalação concluída",O200="28 - Encerrado"),"OK",IF(NOT(ISNUMBER(X200)),"",IF(X200&gt;365,"MUITO ANTIGO (&gt;1 ano)",IF(X200&gt;180,"ANTIGO (&gt;6 meses)",IF(X200&gt;90,"ATENÇÃO ANTIG. (&gt;3 meses)","OK"))))))</f>
        <v/>
      </c>
      <c r="AA200" s="86"/>
      <c r="AB200" s="69" t="str">
        <f aca="false">IF(AND(B200&lt;&gt;"",OR(T200="Pendente de Vistoria",T200="Não validada")),MAX($AB$1:$AB$199)+1,"")</f>
        <v/>
      </c>
      <c r="AC200" s="69" t="str">
        <f aca="false">IF(AND(B200&lt;&gt;"",OR(ISNUMBER(SEARCH("CTIN",P200)),U200="Alta",O200="07 - Relatório recebido — unidade apta",O200="11 - Orçamentos em análise técnica",O200="22 - Instalação/substituição autorizada")),MAX($AC$1:$AC$199)+1,"")</f>
        <v/>
      </c>
      <c r="AD200" s="69" t="str">
        <f aca="false">IF(AND(B200&lt;&gt;"",OR(ISNUMBER(SEARCH("CTO",P200)),LEFT(O200,2)="22",LEFT(O200,2)="23",LEFT(O200,2)="24",LEFT(O200,2)="25",LEFT(O200,2)="26",LEFT(O200,2)="27")),MAX($AD$1:$AD$199)+1,"")</f>
        <v/>
      </c>
      <c r="AE200" s="69" t="str">
        <f aca="false">IF(AND(B200&lt;&gt;"",D200=CONSULTA_UNIDADE!$B$4),MAX($AE$1:$AE$199)+1,"")</f>
        <v/>
      </c>
      <c r="AF200" s="69" t="str">
        <f aca="false">IF(AND(B200&lt;&gt;"",O200&lt;&gt;"27 - Instalação concluída",O200&lt;&gt;"28 - Encerrado",ISNUMBER(S200)),S200*1000+(1000-ROW()),"")</f>
        <v/>
      </c>
      <c r="AG200" s="69" t="str">
        <f aca="false">IF(AF200="","",RANK(AF200,$AF$2:$AF$500))</f>
        <v/>
      </c>
    </row>
    <row r="201" customFormat="false" ht="16.5" hidden="false" customHeight="true" outlineLevel="0" collapsed="false">
      <c r="A201" s="86"/>
      <c r="B201" s="86"/>
      <c r="C201" s="87" t="str">
        <f aca="false">IF(D201="","",IFERROR(INDEX(CADASTRO_VIVO_3CRE!$B$2:$B$150,MATCH(D201,CADASTRO_VIVO_3CRE!$E$2:$E$150,0)),""))</f>
        <v/>
      </c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8"/>
      <c r="S201" s="89" t="str">
        <f aca="true">IF(R201="","",TODAY()-INT(R201))</f>
        <v/>
      </c>
      <c r="T201" s="86"/>
      <c r="U201" s="86"/>
      <c r="V201" s="86"/>
      <c r="W201" s="88"/>
      <c r="X201" s="89" t="str">
        <f aca="true">IF(W201="","",IF(OR(O201="28 - Encerrado",O201="27 - Instalação concluída"),"Concluído",TODAY()-INT(W201)))</f>
        <v/>
      </c>
      <c r="Y201" s="90" t="str">
        <f aca="false">IF(OR(O201="28 - Encerrado",O201="27 - Instalação concluída"),"OK",IF(AND(B201&lt;&gt;"",S201=""),"ATENÇÃO (Sem data de atualização)",IF(S201="","",IF(S201&gt;30,"CRÍTICO (Sem Atualização &gt;30 dias)",IF(S201&gt;15,"ATENÇÃO (Sem Atualização &gt;15 dias)",IF(X201&gt;90,"CRÍTICO (Aberto &gt;90 dias)","OK"))))))</f>
        <v/>
      </c>
      <c r="Z201" s="90" t="str">
        <f aca="false">IF(B201="","",IF(OR(O201="27 - Instalação concluída",O201="28 - Encerrado"),"OK",IF(NOT(ISNUMBER(X201)),"",IF(X201&gt;365,"MUITO ANTIGO (&gt;1 ano)",IF(X201&gt;180,"ANTIGO (&gt;6 meses)",IF(X201&gt;90,"ATENÇÃO ANTIG. (&gt;3 meses)","OK"))))))</f>
        <v/>
      </c>
      <c r="AA201" s="86"/>
      <c r="AB201" s="69" t="str">
        <f aca="false">IF(AND(B201&lt;&gt;"",OR(T201="Pendente de Vistoria",T201="Não validada")),MAX($AB$1:$AB$200)+1,"")</f>
        <v/>
      </c>
      <c r="AC201" s="69" t="str">
        <f aca="false">IF(AND(B201&lt;&gt;"",OR(ISNUMBER(SEARCH("CTIN",P201)),U201="Alta",O201="07 - Relatório recebido — unidade apta",O201="11 - Orçamentos em análise técnica",O201="22 - Instalação/substituição autorizada")),MAX($AC$1:$AC$200)+1,"")</f>
        <v/>
      </c>
      <c r="AD201" s="69" t="str">
        <f aca="false">IF(AND(B201&lt;&gt;"",OR(ISNUMBER(SEARCH("CTO",P201)),LEFT(O201,2)="22",LEFT(O201,2)="23",LEFT(O201,2)="24",LEFT(O201,2)="25",LEFT(O201,2)="26",LEFT(O201,2)="27")),MAX($AD$1:$AD$200)+1,"")</f>
        <v/>
      </c>
      <c r="AE201" s="69" t="str">
        <f aca="false">IF(AND(B201&lt;&gt;"",D201=CONSULTA_UNIDADE!$B$4),MAX($AE$1:$AE$200)+1,"")</f>
        <v/>
      </c>
      <c r="AF201" s="69" t="str">
        <f aca="false">IF(AND(B201&lt;&gt;"",O201&lt;&gt;"27 - Instalação concluída",O201&lt;&gt;"28 - Encerrado",ISNUMBER(S201)),S201*1000+(1000-ROW()),"")</f>
        <v/>
      </c>
      <c r="AG201" s="69" t="str">
        <f aca="false">IF(AF201="","",RANK(AF201,$AF$2:$AF$500))</f>
        <v/>
      </c>
    </row>
    <row r="202" customFormat="false" ht="16.5" hidden="false" customHeight="true" outlineLevel="0" collapsed="false">
      <c r="A202" s="86"/>
      <c r="B202" s="86"/>
      <c r="C202" s="87" t="str">
        <f aca="false">IF(D202="","",IFERROR(INDEX(CADASTRO_VIVO_3CRE!$B$2:$B$150,MATCH(D202,CADASTRO_VIVO_3CRE!$E$2:$E$150,0)),""))</f>
        <v/>
      </c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8"/>
      <c r="S202" s="89" t="str">
        <f aca="true">IF(R202="","",TODAY()-INT(R202))</f>
        <v/>
      </c>
      <c r="T202" s="86"/>
      <c r="U202" s="86"/>
      <c r="V202" s="86"/>
      <c r="W202" s="88"/>
      <c r="X202" s="89" t="str">
        <f aca="true">IF(W202="","",IF(OR(O202="28 - Encerrado",O202="27 - Instalação concluída"),"Concluído",TODAY()-INT(W202)))</f>
        <v/>
      </c>
      <c r="Y202" s="90" t="str">
        <f aca="false">IF(OR(O202="28 - Encerrado",O202="27 - Instalação concluída"),"OK",IF(AND(B202&lt;&gt;"",S202=""),"ATENÇÃO (Sem data de atualização)",IF(S202="","",IF(S202&gt;30,"CRÍTICO (Sem Atualização &gt;30 dias)",IF(S202&gt;15,"ATENÇÃO (Sem Atualização &gt;15 dias)",IF(X202&gt;90,"CRÍTICO (Aberto &gt;90 dias)","OK"))))))</f>
        <v/>
      </c>
      <c r="Z202" s="90" t="str">
        <f aca="false">IF(B202="","",IF(OR(O202="27 - Instalação concluída",O202="28 - Encerrado"),"OK",IF(NOT(ISNUMBER(X202)),"",IF(X202&gt;365,"MUITO ANTIGO (&gt;1 ano)",IF(X202&gt;180,"ANTIGO (&gt;6 meses)",IF(X202&gt;90,"ATENÇÃO ANTIG. (&gt;3 meses)","OK"))))))</f>
        <v/>
      </c>
      <c r="AA202" s="86"/>
      <c r="AB202" s="69" t="str">
        <f aca="false">IF(AND(B202&lt;&gt;"",OR(T202="Pendente de Vistoria",T202="Não validada")),MAX($AB$1:$AB$201)+1,"")</f>
        <v/>
      </c>
      <c r="AC202" s="69" t="str">
        <f aca="false">IF(AND(B202&lt;&gt;"",OR(ISNUMBER(SEARCH("CTIN",P202)),U202="Alta",O202="07 - Relatório recebido — unidade apta",O202="11 - Orçamentos em análise técnica",O202="22 - Instalação/substituição autorizada")),MAX($AC$1:$AC$201)+1,"")</f>
        <v/>
      </c>
      <c r="AD202" s="69" t="str">
        <f aca="false">IF(AND(B202&lt;&gt;"",OR(ISNUMBER(SEARCH("CTO",P202)),LEFT(O202,2)="22",LEFT(O202,2)="23",LEFT(O202,2)="24",LEFT(O202,2)="25",LEFT(O202,2)="26",LEFT(O202,2)="27")),MAX($AD$1:$AD$201)+1,"")</f>
        <v/>
      </c>
      <c r="AE202" s="69" t="str">
        <f aca="false">IF(AND(B202&lt;&gt;"",D202=CONSULTA_UNIDADE!$B$4),MAX($AE$1:$AE$201)+1,"")</f>
        <v/>
      </c>
      <c r="AF202" s="69" t="str">
        <f aca="false">IF(AND(B202&lt;&gt;"",O202&lt;&gt;"27 - Instalação concluída",O202&lt;&gt;"28 - Encerrado",ISNUMBER(S202)),S202*1000+(1000-ROW()),"")</f>
        <v/>
      </c>
      <c r="AG202" s="69" t="str">
        <f aca="false">IF(AF202="","",RANK(AF202,$AF$2:$AF$500))</f>
        <v/>
      </c>
    </row>
    <row r="203" customFormat="false" ht="16.5" hidden="false" customHeight="true" outlineLevel="0" collapsed="false">
      <c r="A203" s="86"/>
      <c r="B203" s="86"/>
      <c r="C203" s="87" t="str">
        <f aca="false">IF(D203="","",IFERROR(INDEX(CADASTRO_VIVO_3CRE!$B$2:$B$150,MATCH(D203,CADASTRO_VIVO_3CRE!$E$2:$E$150,0)),""))</f>
        <v/>
      </c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8"/>
      <c r="S203" s="89" t="str">
        <f aca="true">IF(R203="","",TODAY()-INT(R203))</f>
        <v/>
      </c>
      <c r="T203" s="86"/>
      <c r="U203" s="86"/>
      <c r="V203" s="86"/>
      <c r="W203" s="88"/>
      <c r="X203" s="89" t="str">
        <f aca="true">IF(W203="","",IF(OR(O203="28 - Encerrado",O203="27 - Instalação concluída"),"Concluído",TODAY()-INT(W203)))</f>
        <v/>
      </c>
      <c r="Y203" s="90" t="str">
        <f aca="false">IF(OR(O203="28 - Encerrado",O203="27 - Instalação concluída"),"OK",IF(AND(B203&lt;&gt;"",S203=""),"ATENÇÃO (Sem data de atualização)",IF(S203="","",IF(S203&gt;30,"CRÍTICO (Sem Atualização &gt;30 dias)",IF(S203&gt;15,"ATENÇÃO (Sem Atualização &gt;15 dias)",IF(X203&gt;90,"CRÍTICO (Aberto &gt;90 dias)","OK"))))))</f>
        <v/>
      </c>
      <c r="Z203" s="90" t="str">
        <f aca="false">IF(B203="","",IF(OR(O203="27 - Instalação concluída",O203="28 - Encerrado"),"OK",IF(NOT(ISNUMBER(X203)),"",IF(X203&gt;365,"MUITO ANTIGO (&gt;1 ano)",IF(X203&gt;180,"ANTIGO (&gt;6 meses)",IF(X203&gt;90,"ATENÇÃO ANTIG. (&gt;3 meses)","OK"))))))</f>
        <v/>
      </c>
      <c r="AA203" s="86"/>
      <c r="AB203" s="69" t="str">
        <f aca="false">IF(AND(B203&lt;&gt;"",OR(T203="Pendente de Vistoria",T203="Não validada")),MAX($AB$1:$AB$202)+1,"")</f>
        <v/>
      </c>
      <c r="AC203" s="69" t="str">
        <f aca="false">IF(AND(B203&lt;&gt;"",OR(ISNUMBER(SEARCH("CTIN",P203)),U203="Alta",O203="07 - Relatório recebido — unidade apta",O203="11 - Orçamentos em análise técnica",O203="22 - Instalação/substituição autorizada")),MAX($AC$1:$AC$202)+1,"")</f>
        <v/>
      </c>
      <c r="AD203" s="69" t="str">
        <f aca="false">IF(AND(B203&lt;&gt;"",OR(ISNUMBER(SEARCH("CTO",P203)),LEFT(O203,2)="22",LEFT(O203,2)="23",LEFT(O203,2)="24",LEFT(O203,2)="25",LEFT(O203,2)="26",LEFT(O203,2)="27")),MAX($AD$1:$AD$202)+1,"")</f>
        <v/>
      </c>
      <c r="AE203" s="69" t="str">
        <f aca="false">IF(AND(B203&lt;&gt;"",D203=CONSULTA_UNIDADE!$B$4),MAX($AE$1:$AE$202)+1,"")</f>
        <v/>
      </c>
      <c r="AF203" s="69" t="str">
        <f aca="false">IF(AND(B203&lt;&gt;"",O203&lt;&gt;"27 - Instalação concluída",O203&lt;&gt;"28 - Encerrado",ISNUMBER(S203)),S203*1000+(1000-ROW()),"")</f>
        <v/>
      </c>
      <c r="AG203" s="69" t="str">
        <f aca="false">IF(AF203="","",RANK(AF203,$AF$2:$AF$500))</f>
        <v/>
      </c>
    </row>
    <row r="204" customFormat="false" ht="16.5" hidden="false" customHeight="true" outlineLevel="0" collapsed="false">
      <c r="A204" s="86"/>
      <c r="B204" s="86"/>
      <c r="C204" s="87" t="str">
        <f aca="false">IF(D204="","",IFERROR(INDEX(CADASTRO_VIVO_3CRE!$B$2:$B$150,MATCH(D204,CADASTRO_VIVO_3CRE!$E$2:$E$150,0)),""))</f>
        <v/>
      </c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8"/>
      <c r="S204" s="89" t="str">
        <f aca="true">IF(R204="","",TODAY()-INT(R204))</f>
        <v/>
      </c>
      <c r="T204" s="86"/>
      <c r="U204" s="86"/>
      <c r="V204" s="86"/>
      <c r="W204" s="88"/>
      <c r="X204" s="89" t="str">
        <f aca="true">IF(W204="","",IF(OR(O204="28 - Encerrado",O204="27 - Instalação concluída"),"Concluído",TODAY()-INT(W204)))</f>
        <v/>
      </c>
      <c r="Y204" s="90" t="str">
        <f aca="false">IF(OR(O204="28 - Encerrado",O204="27 - Instalação concluída"),"OK",IF(AND(B204&lt;&gt;"",S204=""),"ATENÇÃO (Sem data de atualização)",IF(S204="","",IF(S204&gt;30,"CRÍTICO (Sem Atualização &gt;30 dias)",IF(S204&gt;15,"ATENÇÃO (Sem Atualização &gt;15 dias)",IF(X204&gt;90,"CRÍTICO (Aberto &gt;90 dias)","OK"))))))</f>
        <v/>
      </c>
      <c r="Z204" s="90" t="str">
        <f aca="false">IF(B204="","",IF(OR(O204="27 - Instalação concluída",O204="28 - Encerrado"),"OK",IF(NOT(ISNUMBER(X204)),"",IF(X204&gt;365,"MUITO ANTIGO (&gt;1 ano)",IF(X204&gt;180,"ANTIGO (&gt;6 meses)",IF(X204&gt;90,"ATENÇÃO ANTIG. (&gt;3 meses)","OK"))))))</f>
        <v/>
      </c>
      <c r="AA204" s="86"/>
      <c r="AB204" s="69" t="str">
        <f aca="false">IF(AND(B204&lt;&gt;"",OR(T204="Pendente de Vistoria",T204="Não validada")),MAX($AB$1:$AB$203)+1,"")</f>
        <v/>
      </c>
      <c r="AC204" s="69" t="str">
        <f aca="false">IF(AND(B204&lt;&gt;"",OR(ISNUMBER(SEARCH("CTIN",P204)),U204="Alta",O204="07 - Relatório recebido — unidade apta",O204="11 - Orçamentos em análise técnica",O204="22 - Instalação/substituição autorizada")),MAX($AC$1:$AC$203)+1,"")</f>
        <v/>
      </c>
      <c r="AD204" s="69" t="str">
        <f aca="false">IF(AND(B204&lt;&gt;"",OR(ISNUMBER(SEARCH("CTO",P204)),LEFT(O204,2)="22",LEFT(O204,2)="23",LEFT(O204,2)="24",LEFT(O204,2)="25",LEFT(O204,2)="26",LEFT(O204,2)="27")),MAX($AD$1:$AD$203)+1,"")</f>
        <v/>
      </c>
      <c r="AE204" s="69" t="str">
        <f aca="false">IF(AND(B204&lt;&gt;"",D204=CONSULTA_UNIDADE!$B$4),MAX($AE$1:$AE$203)+1,"")</f>
        <v/>
      </c>
      <c r="AF204" s="69" t="str">
        <f aca="false">IF(AND(B204&lt;&gt;"",O204&lt;&gt;"27 - Instalação concluída",O204&lt;&gt;"28 - Encerrado",ISNUMBER(S204)),S204*1000+(1000-ROW()),"")</f>
        <v/>
      </c>
      <c r="AG204" s="69" t="str">
        <f aca="false">IF(AF204="","",RANK(AF204,$AF$2:$AF$500))</f>
        <v/>
      </c>
    </row>
    <row r="205" customFormat="false" ht="16.5" hidden="false" customHeight="true" outlineLevel="0" collapsed="false">
      <c r="A205" s="86"/>
      <c r="B205" s="86"/>
      <c r="C205" s="87" t="str">
        <f aca="false">IF(D205="","",IFERROR(INDEX(CADASTRO_VIVO_3CRE!$B$2:$B$150,MATCH(D205,CADASTRO_VIVO_3CRE!$E$2:$E$150,0)),""))</f>
        <v/>
      </c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8"/>
      <c r="S205" s="89" t="str">
        <f aca="true">IF(R205="","",TODAY()-INT(R205))</f>
        <v/>
      </c>
      <c r="T205" s="86"/>
      <c r="U205" s="86"/>
      <c r="V205" s="86"/>
      <c r="W205" s="88"/>
      <c r="X205" s="89" t="str">
        <f aca="true">IF(W205="","",IF(OR(O205="28 - Encerrado",O205="27 - Instalação concluída"),"Concluído",TODAY()-INT(W205)))</f>
        <v/>
      </c>
      <c r="Y205" s="90" t="str">
        <f aca="false">IF(OR(O205="28 - Encerrado",O205="27 - Instalação concluída"),"OK",IF(AND(B205&lt;&gt;"",S205=""),"ATENÇÃO (Sem data de atualização)",IF(S205="","",IF(S205&gt;30,"CRÍTICO (Sem Atualização &gt;30 dias)",IF(S205&gt;15,"ATENÇÃO (Sem Atualização &gt;15 dias)",IF(X205&gt;90,"CRÍTICO (Aberto &gt;90 dias)","OK"))))))</f>
        <v/>
      </c>
      <c r="Z205" s="90" t="str">
        <f aca="false">IF(B205="","",IF(OR(O205="27 - Instalação concluída",O205="28 - Encerrado"),"OK",IF(NOT(ISNUMBER(X205)),"",IF(X205&gt;365,"MUITO ANTIGO (&gt;1 ano)",IF(X205&gt;180,"ANTIGO (&gt;6 meses)",IF(X205&gt;90,"ATENÇÃO ANTIG. (&gt;3 meses)","OK"))))))</f>
        <v/>
      </c>
      <c r="AA205" s="86"/>
      <c r="AB205" s="69" t="str">
        <f aca="false">IF(AND(B205&lt;&gt;"",OR(T205="Pendente de Vistoria",T205="Não validada")),MAX($AB$1:$AB$204)+1,"")</f>
        <v/>
      </c>
      <c r="AC205" s="69" t="str">
        <f aca="false">IF(AND(B205&lt;&gt;"",OR(ISNUMBER(SEARCH("CTIN",P205)),U205="Alta",O205="07 - Relatório recebido — unidade apta",O205="11 - Orçamentos em análise técnica",O205="22 - Instalação/substituição autorizada")),MAX($AC$1:$AC$204)+1,"")</f>
        <v/>
      </c>
      <c r="AD205" s="69" t="str">
        <f aca="false">IF(AND(B205&lt;&gt;"",OR(ISNUMBER(SEARCH("CTO",P205)),LEFT(O205,2)="22",LEFT(O205,2)="23",LEFT(O205,2)="24",LEFT(O205,2)="25",LEFT(O205,2)="26",LEFT(O205,2)="27")),MAX($AD$1:$AD$204)+1,"")</f>
        <v/>
      </c>
      <c r="AE205" s="69" t="str">
        <f aca="false">IF(AND(B205&lt;&gt;"",D205=CONSULTA_UNIDADE!$B$4),MAX($AE$1:$AE$204)+1,"")</f>
        <v/>
      </c>
      <c r="AF205" s="69" t="str">
        <f aca="false">IF(AND(B205&lt;&gt;"",O205&lt;&gt;"27 - Instalação concluída",O205&lt;&gt;"28 - Encerrado",ISNUMBER(S205)),S205*1000+(1000-ROW()),"")</f>
        <v/>
      </c>
      <c r="AG205" s="69" t="str">
        <f aca="false">IF(AF205="","",RANK(AF205,$AF$2:$AF$500))</f>
        <v/>
      </c>
    </row>
    <row r="206" customFormat="false" ht="16.5" hidden="false" customHeight="true" outlineLevel="0" collapsed="false">
      <c r="A206" s="86"/>
      <c r="B206" s="86"/>
      <c r="C206" s="87" t="str">
        <f aca="false">IF(D206="","",IFERROR(INDEX(CADASTRO_VIVO_3CRE!$B$2:$B$150,MATCH(D206,CADASTRO_VIVO_3CRE!$E$2:$E$150,0)),""))</f>
        <v/>
      </c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8"/>
      <c r="S206" s="89" t="str">
        <f aca="true">IF(R206="","",TODAY()-INT(R206))</f>
        <v/>
      </c>
      <c r="T206" s="86"/>
      <c r="U206" s="86"/>
      <c r="V206" s="86"/>
      <c r="W206" s="88"/>
      <c r="X206" s="89" t="str">
        <f aca="true">IF(W206="","",IF(OR(O206="28 - Encerrado",O206="27 - Instalação concluída"),"Concluído",TODAY()-INT(W206)))</f>
        <v/>
      </c>
      <c r="Y206" s="90" t="str">
        <f aca="false">IF(OR(O206="28 - Encerrado",O206="27 - Instalação concluída"),"OK",IF(AND(B206&lt;&gt;"",S206=""),"ATENÇÃO (Sem data de atualização)",IF(S206="","",IF(S206&gt;30,"CRÍTICO (Sem Atualização &gt;30 dias)",IF(S206&gt;15,"ATENÇÃO (Sem Atualização &gt;15 dias)",IF(X206&gt;90,"CRÍTICO (Aberto &gt;90 dias)","OK"))))))</f>
        <v/>
      </c>
      <c r="Z206" s="90" t="str">
        <f aca="false">IF(B206="","",IF(OR(O206="27 - Instalação concluída",O206="28 - Encerrado"),"OK",IF(NOT(ISNUMBER(X206)),"",IF(X206&gt;365,"MUITO ANTIGO (&gt;1 ano)",IF(X206&gt;180,"ANTIGO (&gt;6 meses)",IF(X206&gt;90,"ATENÇÃO ANTIG. (&gt;3 meses)","OK"))))))</f>
        <v/>
      </c>
      <c r="AA206" s="86"/>
      <c r="AB206" s="69" t="str">
        <f aca="false">IF(AND(B206&lt;&gt;"",OR(T206="Pendente de Vistoria",T206="Não validada")),MAX($AB$1:$AB$205)+1,"")</f>
        <v/>
      </c>
      <c r="AC206" s="69" t="str">
        <f aca="false">IF(AND(B206&lt;&gt;"",OR(ISNUMBER(SEARCH("CTIN",P206)),U206="Alta",O206="07 - Relatório recebido — unidade apta",O206="11 - Orçamentos em análise técnica",O206="22 - Instalação/substituição autorizada")),MAX($AC$1:$AC$205)+1,"")</f>
        <v/>
      </c>
      <c r="AD206" s="69" t="str">
        <f aca="false">IF(AND(B206&lt;&gt;"",OR(ISNUMBER(SEARCH("CTO",P206)),LEFT(O206,2)="22",LEFT(O206,2)="23",LEFT(O206,2)="24",LEFT(O206,2)="25",LEFT(O206,2)="26",LEFT(O206,2)="27")),MAX($AD$1:$AD$205)+1,"")</f>
        <v/>
      </c>
      <c r="AE206" s="69" t="str">
        <f aca="false">IF(AND(B206&lt;&gt;"",D206=CONSULTA_UNIDADE!$B$4),MAX($AE$1:$AE$205)+1,"")</f>
        <v/>
      </c>
      <c r="AF206" s="69" t="str">
        <f aca="false">IF(AND(B206&lt;&gt;"",O206&lt;&gt;"27 - Instalação concluída",O206&lt;&gt;"28 - Encerrado",ISNUMBER(S206)),S206*1000+(1000-ROW()),"")</f>
        <v/>
      </c>
      <c r="AG206" s="69" t="str">
        <f aca="false">IF(AF206="","",RANK(AF206,$AF$2:$AF$500))</f>
        <v/>
      </c>
    </row>
    <row r="207" customFormat="false" ht="16.5" hidden="false" customHeight="true" outlineLevel="0" collapsed="false">
      <c r="A207" s="86"/>
      <c r="B207" s="86"/>
      <c r="C207" s="87" t="str">
        <f aca="false">IF(D207="","",IFERROR(INDEX(CADASTRO_VIVO_3CRE!$B$2:$B$150,MATCH(D207,CADASTRO_VIVO_3CRE!$E$2:$E$150,0)),""))</f>
        <v/>
      </c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8"/>
      <c r="S207" s="89" t="str">
        <f aca="true">IF(R207="","",TODAY()-INT(R207))</f>
        <v/>
      </c>
      <c r="T207" s="86"/>
      <c r="U207" s="86"/>
      <c r="V207" s="86"/>
      <c r="W207" s="88"/>
      <c r="X207" s="89" t="str">
        <f aca="true">IF(W207="","",IF(OR(O207="28 - Encerrado",O207="27 - Instalação concluída"),"Concluído",TODAY()-INT(W207)))</f>
        <v/>
      </c>
      <c r="Y207" s="90" t="str">
        <f aca="false">IF(OR(O207="28 - Encerrado",O207="27 - Instalação concluída"),"OK",IF(AND(B207&lt;&gt;"",S207=""),"ATENÇÃO (Sem data de atualização)",IF(S207="","",IF(S207&gt;30,"CRÍTICO (Sem Atualização &gt;30 dias)",IF(S207&gt;15,"ATENÇÃO (Sem Atualização &gt;15 dias)",IF(X207&gt;90,"CRÍTICO (Aberto &gt;90 dias)","OK"))))))</f>
        <v/>
      </c>
      <c r="Z207" s="90" t="str">
        <f aca="false">IF(B207="","",IF(OR(O207="27 - Instalação concluída",O207="28 - Encerrado"),"OK",IF(NOT(ISNUMBER(X207)),"",IF(X207&gt;365,"MUITO ANTIGO (&gt;1 ano)",IF(X207&gt;180,"ANTIGO (&gt;6 meses)",IF(X207&gt;90,"ATENÇÃO ANTIG. (&gt;3 meses)","OK"))))))</f>
        <v/>
      </c>
      <c r="AA207" s="86"/>
      <c r="AB207" s="69" t="str">
        <f aca="false">IF(AND(B207&lt;&gt;"",OR(T207="Pendente de Vistoria",T207="Não validada")),MAX($AB$1:$AB$206)+1,"")</f>
        <v/>
      </c>
      <c r="AC207" s="69" t="str">
        <f aca="false">IF(AND(B207&lt;&gt;"",OR(ISNUMBER(SEARCH("CTIN",P207)),U207="Alta",O207="07 - Relatório recebido — unidade apta",O207="11 - Orçamentos em análise técnica",O207="22 - Instalação/substituição autorizada")),MAX($AC$1:$AC$206)+1,"")</f>
        <v/>
      </c>
      <c r="AD207" s="69" t="str">
        <f aca="false">IF(AND(B207&lt;&gt;"",OR(ISNUMBER(SEARCH("CTO",P207)),LEFT(O207,2)="22",LEFT(O207,2)="23",LEFT(O207,2)="24",LEFT(O207,2)="25",LEFT(O207,2)="26",LEFT(O207,2)="27")),MAX($AD$1:$AD$206)+1,"")</f>
        <v/>
      </c>
      <c r="AE207" s="69" t="str">
        <f aca="false">IF(AND(B207&lt;&gt;"",D207=CONSULTA_UNIDADE!$B$4),MAX($AE$1:$AE$206)+1,"")</f>
        <v/>
      </c>
      <c r="AF207" s="69" t="str">
        <f aca="false">IF(AND(B207&lt;&gt;"",O207&lt;&gt;"27 - Instalação concluída",O207&lt;&gt;"28 - Encerrado",ISNUMBER(S207)),S207*1000+(1000-ROW()),"")</f>
        <v/>
      </c>
      <c r="AG207" s="69" t="str">
        <f aca="false">IF(AF207="","",RANK(AF207,$AF$2:$AF$500))</f>
        <v/>
      </c>
    </row>
    <row r="208" customFormat="false" ht="16.5" hidden="false" customHeight="true" outlineLevel="0" collapsed="false">
      <c r="A208" s="86"/>
      <c r="B208" s="86"/>
      <c r="C208" s="87" t="str">
        <f aca="false">IF(D208="","",IFERROR(INDEX(CADASTRO_VIVO_3CRE!$B$2:$B$150,MATCH(D208,CADASTRO_VIVO_3CRE!$E$2:$E$150,0)),""))</f>
        <v/>
      </c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8"/>
      <c r="S208" s="89" t="str">
        <f aca="true">IF(R208="","",TODAY()-INT(R208))</f>
        <v/>
      </c>
      <c r="T208" s="86"/>
      <c r="U208" s="86"/>
      <c r="V208" s="86"/>
      <c r="W208" s="88"/>
      <c r="X208" s="89" t="str">
        <f aca="true">IF(W208="","",IF(OR(O208="28 - Encerrado",O208="27 - Instalação concluída"),"Concluído",TODAY()-INT(W208)))</f>
        <v/>
      </c>
      <c r="Y208" s="90" t="str">
        <f aca="false">IF(OR(O208="28 - Encerrado",O208="27 - Instalação concluída"),"OK",IF(AND(B208&lt;&gt;"",S208=""),"ATENÇÃO (Sem data de atualização)",IF(S208="","",IF(S208&gt;30,"CRÍTICO (Sem Atualização &gt;30 dias)",IF(S208&gt;15,"ATENÇÃO (Sem Atualização &gt;15 dias)",IF(X208&gt;90,"CRÍTICO (Aberto &gt;90 dias)","OK"))))))</f>
        <v/>
      </c>
      <c r="Z208" s="90" t="str">
        <f aca="false">IF(B208="","",IF(OR(O208="27 - Instalação concluída",O208="28 - Encerrado"),"OK",IF(NOT(ISNUMBER(X208)),"",IF(X208&gt;365,"MUITO ANTIGO (&gt;1 ano)",IF(X208&gt;180,"ANTIGO (&gt;6 meses)",IF(X208&gt;90,"ATENÇÃO ANTIG. (&gt;3 meses)","OK"))))))</f>
        <v/>
      </c>
      <c r="AA208" s="86"/>
      <c r="AB208" s="69" t="str">
        <f aca="false">IF(AND(B208&lt;&gt;"",OR(T208="Pendente de Vistoria",T208="Não validada")),MAX($AB$1:$AB$207)+1,"")</f>
        <v/>
      </c>
      <c r="AC208" s="69" t="str">
        <f aca="false">IF(AND(B208&lt;&gt;"",OR(ISNUMBER(SEARCH("CTIN",P208)),U208="Alta",O208="07 - Relatório recebido — unidade apta",O208="11 - Orçamentos em análise técnica",O208="22 - Instalação/substituição autorizada")),MAX($AC$1:$AC$207)+1,"")</f>
        <v/>
      </c>
      <c r="AD208" s="69" t="str">
        <f aca="false">IF(AND(B208&lt;&gt;"",OR(ISNUMBER(SEARCH("CTO",P208)),LEFT(O208,2)="22",LEFT(O208,2)="23",LEFT(O208,2)="24",LEFT(O208,2)="25",LEFT(O208,2)="26",LEFT(O208,2)="27")),MAX($AD$1:$AD$207)+1,"")</f>
        <v/>
      </c>
      <c r="AE208" s="69" t="str">
        <f aca="false">IF(AND(B208&lt;&gt;"",D208=CONSULTA_UNIDADE!$B$4),MAX($AE$1:$AE$207)+1,"")</f>
        <v/>
      </c>
      <c r="AF208" s="69" t="str">
        <f aca="false">IF(AND(B208&lt;&gt;"",O208&lt;&gt;"27 - Instalação concluída",O208&lt;&gt;"28 - Encerrado",ISNUMBER(S208)),S208*1000+(1000-ROW()),"")</f>
        <v/>
      </c>
      <c r="AG208" s="69" t="str">
        <f aca="false">IF(AF208="","",RANK(AF208,$AF$2:$AF$500))</f>
        <v/>
      </c>
    </row>
    <row r="209" customFormat="false" ht="16.5" hidden="false" customHeight="true" outlineLevel="0" collapsed="false">
      <c r="A209" s="86"/>
      <c r="B209" s="86"/>
      <c r="C209" s="87" t="str">
        <f aca="false">IF(D209="","",IFERROR(INDEX(CADASTRO_VIVO_3CRE!$B$2:$B$150,MATCH(D209,CADASTRO_VIVO_3CRE!$E$2:$E$150,0)),""))</f>
        <v/>
      </c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8"/>
      <c r="S209" s="89" t="str">
        <f aca="true">IF(R209="","",TODAY()-INT(R209))</f>
        <v/>
      </c>
      <c r="T209" s="86"/>
      <c r="U209" s="86"/>
      <c r="V209" s="86"/>
      <c r="W209" s="88"/>
      <c r="X209" s="89" t="str">
        <f aca="true">IF(W209="","",IF(OR(O209="28 - Encerrado",O209="27 - Instalação concluída"),"Concluído",TODAY()-INT(W209)))</f>
        <v/>
      </c>
      <c r="Y209" s="90" t="str">
        <f aca="false">IF(OR(O209="28 - Encerrado",O209="27 - Instalação concluída"),"OK",IF(AND(B209&lt;&gt;"",S209=""),"ATENÇÃO (Sem data de atualização)",IF(S209="","",IF(S209&gt;30,"CRÍTICO (Sem Atualização &gt;30 dias)",IF(S209&gt;15,"ATENÇÃO (Sem Atualização &gt;15 dias)",IF(X209&gt;90,"CRÍTICO (Aberto &gt;90 dias)","OK"))))))</f>
        <v/>
      </c>
      <c r="Z209" s="90" t="str">
        <f aca="false">IF(B209="","",IF(OR(O209="27 - Instalação concluída",O209="28 - Encerrado"),"OK",IF(NOT(ISNUMBER(X209)),"",IF(X209&gt;365,"MUITO ANTIGO (&gt;1 ano)",IF(X209&gt;180,"ANTIGO (&gt;6 meses)",IF(X209&gt;90,"ATENÇÃO ANTIG. (&gt;3 meses)","OK"))))))</f>
        <v/>
      </c>
      <c r="AA209" s="86"/>
      <c r="AB209" s="69" t="str">
        <f aca="false">IF(AND(B209&lt;&gt;"",OR(T209="Pendente de Vistoria",T209="Não validada")),MAX($AB$1:$AB$208)+1,"")</f>
        <v/>
      </c>
      <c r="AC209" s="69" t="str">
        <f aca="false">IF(AND(B209&lt;&gt;"",OR(ISNUMBER(SEARCH("CTIN",P209)),U209="Alta",O209="07 - Relatório recebido — unidade apta",O209="11 - Orçamentos em análise técnica",O209="22 - Instalação/substituição autorizada")),MAX($AC$1:$AC$208)+1,"")</f>
        <v/>
      </c>
      <c r="AD209" s="69" t="str">
        <f aca="false">IF(AND(B209&lt;&gt;"",OR(ISNUMBER(SEARCH("CTO",P209)),LEFT(O209,2)="22",LEFT(O209,2)="23",LEFT(O209,2)="24",LEFT(O209,2)="25",LEFT(O209,2)="26",LEFT(O209,2)="27")),MAX($AD$1:$AD$208)+1,"")</f>
        <v/>
      </c>
      <c r="AE209" s="69" t="str">
        <f aca="false">IF(AND(B209&lt;&gt;"",D209=CONSULTA_UNIDADE!$B$4),MAX($AE$1:$AE$208)+1,"")</f>
        <v/>
      </c>
      <c r="AF209" s="69" t="str">
        <f aca="false">IF(AND(B209&lt;&gt;"",O209&lt;&gt;"27 - Instalação concluída",O209&lt;&gt;"28 - Encerrado",ISNUMBER(S209)),S209*1000+(1000-ROW()),"")</f>
        <v/>
      </c>
      <c r="AG209" s="69" t="str">
        <f aca="false">IF(AF209="","",RANK(AF209,$AF$2:$AF$500))</f>
        <v/>
      </c>
    </row>
    <row r="210" customFormat="false" ht="16.5" hidden="false" customHeight="true" outlineLevel="0" collapsed="false">
      <c r="A210" s="86"/>
      <c r="B210" s="86"/>
      <c r="C210" s="87" t="str">
        <f aca="false">IF(D210="","",IFERROR(INDEX(CADASTRO_VIVO_3CRE!$B$2:$B$150,MATCH(D210,CADASTRO_VIVO_3CRE!$E$2:$E$150,0)),""))</f>
        <v/>
      </c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8"/>
      <c r="S210" s="89" t="str">
        <f aca="true">IF(R210="","",TODAY()-INT(R210))</f>
        <v/>
      </c>
      <c r="T210" s="86"/>
      <c r="U210" s="86"/>
      <c r="V210" s="86"/>
      <c r="W210" s="88"/>
      <c r="X210" s="89" t="str">
        <f aca="true">IF(W210="","",IF(OR(O210="28 - Encerrado",O210="27 - Instalação concluída"),"Concluído",TODAY()-INT(W210)))</f>
        <v/>
      </c>
      <c r="Y210" s="90" t="str">
        <f aca="false">IF(OR(O210="28 - Encerrado",O210="27 - Instalação concluída"),"OK",IF(AND(B210&lt;&gt;"",S210=""),"ATENÇÃO (Sem data de atualização)",IF(S210="","",IF(S210&gt;30,"CRÍTICO (Sem Atualização &gt;30 dias)",IF(S210&gt;15,"ATENÇÃO (Sem Atualização &gt;15 dias)",IF(X210&gt;90,"CRÍTICO (Aberto &gt;90 dias)","OK"))))))</f>
        <v/>
      </c>
      <c r="Z210" s="90" t="str">
        <f aca="false">IF(B210="","",IF(OR(O210="27 - Instalação concluída",O210="28 - Encerrado"),"OK",IF(NOT(ISNUMBER(X210)),"",IF(X210&gt;365,"MUITO ANTIGO (&gt;1 ano)",IF(X210&gt;180,"ANTIGO (&gt;6 meses)",IF(X210&gt;90,"ATENÇÃO ANTIG. (&gt;3 meses)","OK"))))))</f>
        <v/>
      </c>
      <c r="AA210" s="86"/>
      <c r="AB210" s="69" t="str">
        <f aca="false">IF(AND(B210&lt;&gt;"",OR(T210="Pendente de Vistoria",T210="Não validada")),MAX($AB$1:$AB$209)+1,"")</f>
        <v/>
      </c>
      <c r="AC210" s="69" t="str">
        <f aca="false">IF(AND(B210&lt;&gt;"",OR(ISNUMBER(SEARCH("CTIN",P210)),U210="Alta",O210="07 - Relatório recebido — unidade apta",O210="11 - Orçamentos em análise técnica",O210="22 - Instalação/substituição autorizada")),MAX($AC$1:$AC$209)+1,"")</f>
        <v/>
      </c>
      <c r="AD210" s="69" t="str">
        <f aca="false">IF(AND(B210&lt;&gt;"",OR(ISNUMBER(SEARCH("CTO",P210)),LEFT(O210,2)="22",LEFT(O210,2)="23",LEFT(O210,2)="24",LEFT(O210,2)="25",LEFT(O210,2)="26",LEFT(O210,2)="27")),MAX($AD$1:$AD$209)+1,"")</f>
        <v/>
      </c>
      <c r="AE210" s="69" t="str">
        <f aca="false">IF(AND(B210&lt;&gt;"",D210=CONSULTA_UNIDADE!$B$4),MAX($AE$1:$AE$209)+1,"")</f>
        <v/>
      </c>
      <c r="AF210" s="69" t="str">
        <f aca="false">IF(AND(B210&lt;&gt;"",O210&lt;&gt;"27 - Instalação concluída",O210&lt;&gt;"28 - Encerrado",ISNUMBER(S210)),S210*1000+(1000-ROW()),"")</f>
        <v/>
      </c>
      <c r="AG210" s="69" t="str">
        <f aca="false">IF(AF210="","",RANK(AF210,$AF$2:$AF$500))</f>
        <v/>
      </c>
    </row>
    <row r="211" customFormat="false" ht="16.5" hidden="false" customHeight="true" outlineLevel="0" collapsed="false">
      <c r="A211" s="86"/>
      <c r="B211" s="86"/>
      <c r="C211" s="87" t="str">
        <f aca="false">IF(D211="","",IFERROR(INDEX(CADASTRO_VIVO_3CRE!$B$2:$B$150,MATCH(D211,CADASTRO_VIVO_3CRE!$E$2:$E$150,0)),""))</f>
        <v/>
      </c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8"/>
      <c r="S211" s="89" t="str">
        <f aca="true">IF(R211="","",TODAY()-INT(R211))</f>
        <v/>
      </c>
      <c r="T211" s="86"/>
      <c r="U211" s="86"/>
      <c r="V211" s="86"/>
      <c r="W211" s="88"/>
      <c r="X211" s="89" t="str">
        <f aca="true">IF(W211="","",IF(OR(O211="28 - Encerrado",O211="27 - Instalação concluída"),"Concluído",TODAY()-INT(W211)))</f>
        <v/>
      </c>
      <c r="Y211" s="90" t="str">
        <f aca="false">IF(OR(O211="28 - Encerrado",O211="27 - Instalação concluída"),"OK",IF(AND(B211&lt;&gt;"",S211=""),"ATENÇÃO (Sem data de atualização)",IF(S211="","",IF(S211&gt;30,"CRÍTICO (Sem Atualização &gt;30 dias)",IF(S211&gt;15,"ATENÇÃO (Sem Atualização &gt;15 dias)",IF(X211&gt;90,"CRÍTICO (Aberto &gt;90 dias)","OK"))))))</f>
        <v/>
      </c>
      <c r="Z211" s="90" t="str">
        <f aca="false">IF(B211="","",IF(OR(O211="27 - Instalação concluída",O211="28 - Encerrado"),"OK",IF(NOT(ISNUMBER(X211)),"",IF(X211&gt;365,"MUITO ANTIGO (&gt;1 ano)",IF(X211&gt;180,"ANTIGO (&gt;6 meses)",IF(X211&gt;90,"ATENÇÃO ANTIG. (&gt;3 meses)","OK"))))))</f>
        <v/>
      </c>
      <c r="AA211" s="86"/>
      <c r="AB211" s="69" t="str">
        <f aca="false">IF(AND(B211&lt;&gt;"",OR(T211="Pendente de Vistoria",T211="Não validada")),MAX($AB$1:$AB$210)+1,"")</f>
        <v/>
      </c>
      <c r="AC211" s="69" t="str">
        <f aca="false">IF(AND(B211&lt;&gt;"",OR(ISNUMBER(SEARCH("CTIN",P211)),U211="Alta",O211="07 - Relatório recebido — unidade apta",O211="11 - Orçamentos em análise técnica",O211="22 - Instalação/substituição autorizada")),MAX($AC$1:$AC$210)+1,"")</f>
        <v/>
      </c>
      <c r="AD211" s="69" t="str">
        <f aca="false">IF(AND(B211&lt;&gt;"",OR(ISNUMBER(SEARCH("CTO",P211)),LEFT(O211,2)="22",LEFT(O211,2)="23",LEFT(O211,2)="24",LEFT(O211,2)="25",LEFT(O211,2)="26",LEFT(O211,2)="27")),MAX($AD$1:$AD$210)+1,"")</f>
        <v/>
      </c>
      <c r="AE211" s="69" t="str">
        <f aca="false">IF(AND(B211&lt;&gt;"",D211=CONSULTA_UNIDADE!$B$4),MAX($AE$1:$AE$210)+1,"")</f>
        <v/>
      </c>
      <c r="AF211" s="69" t="str">
        <f aca="false">IF(AND(B211&lt;&gt;"",O211&lt;&gt;"27 - Instalação concluída",O211&lt;&gt;"28 - Encerrado",ISNUMBER(S211)),S211*1000+(1000-ROW()),"")</f>
        <v/>
      </c>
      <c r="AG211" s="69" t="str">
        <f aca="false">IF(AF211="","",RANK(AF211,$AF$2:$AF$500))</f>
        <v/>
      </c>
    </row>
    <row r="212" customFormat="false" ht="16.5" hidden="false" customHeight="true" outlineLevel="0" collapsed="false">
      <c r="A212" s="86"/>
      <c r="B212" s="86"/>
      <c r="C212" s="87" t="str">
        <f aca="false">IF(D212="","",IFERROR(INDEX(CADASTRO_VIVO_3CRE!$B$2:$B$150,MATCH(D212,CADASTRO_VIVO_3CRE!$E$2:$E$150,0)),""))</f>
        <v/>
      </c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8"/>
      <c r="S212" s="89" t="str">
        <f aca="true">IF(R212="","",TODAY()-INT(R212))</f>
        <v/>
      </c>
      <c r="T212" s="86"/>
      <c r="U212" s="86"/>
      <c r="V212" s="86"/>
      <c r="W212" s="88"/>
      <c r="X212" s="89" t="str">
        <f aca="true">IF(W212="","",IF(OR(O212="28 - Encerrado",O212="27 - Instalação concluída"),"Concluído",TODAY()-INT(W212)))</f>
        <v/>
      </c>
      <c r="Y212" s="90" t="str">
        <f aca="false">IF(OR(O212="28 - Encerrado",O212="27 - Instalação concluída"),"OK",IF(AND(B212&lt;&gt;"",S212=""),"ATENÇÃO (Sem data de atualização)",IF(S212="","",IF(S212&gt;30,"CRÍTICO (Sem Atualização &gt;30 dias)",IF(S212&gt;15,"ATENÇÃO (Sem Atualização &gt;15 dias)",IF(X212&gt;90,"CRÍTICO (Aberto &gt;90 dias)","OK"))))))</f>
        <v/>
      </c>
      <c r="Z212" s="90" t="str">
        <f aca="false">IF(B212="","",IF(OR(O212="27 - Instalação concluída",O212="28 - Encerrado"),"OK",IF(NOT(ISNUMBER(X212)),"",IF(X212&gt;365,"MUITO ANTIGO (&gt;1 ano)",IF(X212&gt;180,"ANTIGO (&gt;6 meses)",IF(X212&gt;90,"ATENÇÃO ANTIG. (&gt;3 meses)","OK"))))))</f>
        <v/>
      </c>
      <c r="AA212" s="86"/>
      <c r="AB212" s="69" t="str">
        <f aca="false">IF(AND(B212&lt;&gt;"",OR(T212="Pendente de Vistoria",T212="Não validada")),MAX($AB$1:$AB$211)+1,"")</f>
        <v/>
      </c>
      <c r="AC212" s="69" t="str">
        <f aca="false">IF(AND(B212&lt;&gt;"",OR(ISNUMBER(SEARCH("CTIN",P212)),U212="Alta",O212="07 - Relatório recebido — unidade apta",O212="11 - Orçamentos em análise técnica",O212="22 - Instalação/substituição autorizada")),MAX($AC$1:$AC$211)+1,"")</f>
        <v/>
      </c>
      <c r="AD212" s="69" t="str">
        <f aca="false">IF(AND(B212&lt;&gt;"",OR(ISNUMBER(SEARCH("CTO",P212)),LEFT(O212,2)="22",LEFT(O212,2)="23",LEFT(O212,2)="24",LEFT(O212,2)="25",LEFT(O212,2)="26",LEFT(O212,2)="27")),MAX($AD$1:$AD$211)+1,"")</f>
        <v/>
      </c>
      <c r="AE212" s="69" t="str">
        <f aca="false">IF(AND(B212&lt;&gt;"",D212=CONSULTA_UNIDADE!$B$4),MAX($AE$1:$AE$211)+1,"")</f>
        <v/>
      </c>
      <c r="AF212" s="69" t="str">
        <f aca="false">IF(AND(B212&lt;&gt;"",O212&lt;&gt;"27 - Instalação concluída",O212&lt;&gt;"28 - Encerrado",ISNUMBER(S212)),S212*1000+(1000-ROW()),"")</f>
        <v/>
      </c>
      <c r="AG212" s="69" t="str">
        <f aca="false">IF(AF212="","",RANK(AF212,$AF$2:$AF$500))</f>
        <v/>
      </c>
    </row>
    <row r="213" customFormat="false" ht="16.5" hidden="false" customHeight="true" outlineLevel="0" collapsed="false">
      <c r="A213" s="86"/>
      <c r="B213" s="86"/>
      <c r="C213" s="87" t="str">
        <f aca="false">IF(D213="","",IFERROR(INDEX(CADASTRO_VIVO_3CRE!$B$2:$B$150,MATCH(D213,CADASTRO_VIVO_3CRE!$E$2:$E$150,0)),""))</f>
        <v/>
      </c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8"/>
      <c r="S213" s="89" t="str">
        <f aca="true">IF(R213="","",TODAY()-INT(R213))</f>
        <v/>
      </c>
      <c r="T213" s="86"/>
      <c r="U213" s="86"/>
      <c r="V213" s="86"/>
      <c r="W213" s="88"/>
      <c r="X213" s="89" t="str">
        <f aca="true">IF(W213="","",IF(OR(O213="28 - Encerrado",O213="27 - Instalação concluída"),"Concluído",TODAY()-INT(W213)))</f>
        <v/>
      </c>
      <c r="Y213" s="90" t="str">
        <f aca="false">IF(OR(O213="28 - Encerrado",O213="27 - Instalação concluída"),"OK",IF(AND(B213&lt;&gt;"",S213=""),"ATENÇÃO (Sem data de atualização)",IF(S213="","",IF(S213&gt;30,"CRÍTICO (Sem Atualização &gt;30 dias)",IF(S213&gt;15,"ATENÇÃO (Sem Atualização &gt;15 dias)",IF(X213&gt;90,"CRÍTICO (Aberto &gt;90 dias)","OK"))))))</f>
        <v/>
      </c>
      <c r="Z213" s="90" t="str">
        <f aca="false">IF(B213="","",IF(OR(O213="27 - Instalação concluída",O213="28 - Encerrado"),"OK",IF(NOT(ISNUMBER(X213)),"",IF(X213&gt;365,"MUITO ANTIGO (&gt;1 ano)",IF(X213&gt;180,"ANTIGO (&gt;6 meses)",IF(X213&gt;90,"ATENÇÃO ANTIG. (&gt;3 meses)","OK"))))))</f>
        <v/>
      </c>
      <c r="AA213" s="86"/>
      <c r="AB213" s="69" t="str">
        <f aca="false">IF(AND(B213&lt;&gt;"",OR(T213="Pendente de Vistoria",T213="Não validada")),MAX($AB$1:$AB$212)+1,"")</f>
        <v/>
      </c>
      <c r="AC213" s="69" t="str">
        <f aca="false">IF(AND(B213&lt;&gt;"",OR(ISNUMBER(SEARCH("CTIN",P213)),U213="Alta",O213="07 - Relatório recebido — unidade apta",O213="11 - Orçamentos em análise técnica",O213="22 - Instalação/substituição autorizada")),MAX($AC$1:$AC$212)+1,"")</f>
        <v/>
      </c>
      <c r="AD213" s="69" t="str">
        <f aca="false">IF(AND(B213&lt;&gt;"",OR(ISNUMBER(SEARCH("CTO",P213)),LEFT(O213,2)="22",LEFT(O213,2)="23",LEFT(O213,2)="24",LEFT(O213,2)="25",LEFT(O213,2)="26",LEFT(O213,2)="27")),MAX($AD$1:$AD$212)+1,"")</f>
        <v/>
      </c>
      <c r="AE213" s="69" t="str">
        <f aca="false">IF(AND(B213&lt;&gt;"",D213=CONSULTA_UNIDADE!$B$4),MAX($AE$1:$AE$212)+1,"")</f>
        <v/>
      </c>
      <c r="AF213" s="69" t="str">
        <f aca="false">IF(AND(B213&lt;&gt;"",O213&lt;&gt;"27 - Instalação concluída",O213&lt;&gt;"28 - Encerrado",ISNUMBER(S213)),S213*1000+(1000-ROW()),"")</f>
        <v/>
      </c>
      <c r="AG213" s="69" t="str">
        <f aca="false">IF(AF213="","",RANK(AF213,$AF$2:$AF$500))</f>
        <v/>
      </c>
    </row>
    <row r="214" customFormat="false" ht="16.5" hidden="false" customHeight="true" outlineLevel="0" collapsed="false">
      <c r="A214" s="86"/>
      <c r="B214" s="86"/>
      <c r="C214" s="87" t="str">
        <f aca="false">IF(D214="","",IFERROR(INDEX(CADASTRO_VIVO_3CRE!$B$2:$B$150,MATCH(D214,CADASTRO_VIVO_3CRE!$E$2:$E$150,0)),""))</f>
        <v/>
      </c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8"/>
      <c r="S214" s="89" t="str">
        <f aca="true">IF(R214="","",TODAY()-INT(R214))</f>
        <v/>
      </c>
      <c r="T214" s="86"/>
      <c r="U214" s="86"/>
      <c r="V214" s="86"/>
      <c r="W214" s="88"/>
      <c r="X214" s="89" t="str">
        <f aca="true">IF(W214="","",IF(OR(O214="28 - Encerrado",O214="27 - Instalação concluída"),"Concluído",TODAY()-INT(W214)))</f>
        <v/>
      </c>
      <c r="Y214" s="90" t="str">
        <f aca="false">IF(OR(O214="28 - Encerrado",O214="27 - Instalação concluída"),"OK",IF(AND(B214&lt;&gt;"",S214=""),"ATENÇÃO (Sem data de atualização)",IF(S214="","",IF(S214&gt;30,"CRÍTICO (Sem Atualização &gt;30 dias)",IF(S214&gt;15,"ATENÇÃO (Sem Atualização &gt;15 dias)",IF(X214&gt;90,"CRÍTICO (Aberto &gt;90 dias)","OK"))))))</f>
        <v/>
      </c>
      <c r="Z214" s="90" t="str">
        <f aca="false">IF(B214="","",IF(OR(O214="27 - Instalação concluída",O214="28 - Encerrado"),"OK",IF(NOT(ISNUMBER(X214)),"",IF(X214&gt;365,"MUITO ANTIGO (&gt;1 ano)",IF(X214&gt;180,"ANTIGO (&gt;6 meses)",IF(X214&gt;90,"ATENÇÃO ANTIG. (&gt;3 meses)","OK"))))))</f>
        <v/>
      </c>
      <c r="AA214" s="86"/>
      <c r="AB214" s="69" t="str">
        <f aca="false">IF(AND(B214&lt;&gt;"",OR(T214="Pendente de Vistoria",T214="Não validada")),MAX($AB$1:$AB$213)+1,"")</f>
        <v/>
      </c>
      <c r="AC214" s="69" t="str">
        <f aca="false">IF(AND(B214&lt;&gt;"",OR(ISNUMBER(SEARCH("CTIN",P214)),U214="Alta",O214="07 - Relatório recebido — unidade apta",O214="11 - Orçamentos em análise técnica",O214="22 - Instalação/substituição autorizada")),MAX($AC$1:$AC$213)+1,"")</f>
        <v/>
      </c>
      <c r="AD214" s="69" t="str">
        <f aca="false">IF(AND(B214&lt;&gt;"",OR(ISNUMBER(SEARCH("CTO",P214)),LEFT(O214,2)="22",LEFT(O214,2)="23",LEFT(O214,2)="24",LEFT(O214,2)="25",LEFT(O214,2)="26",LEFT(O214,2)="27")),MAX($AD$1:$AD$213)+1,"")</f>
        <v/>
      </c>
      <c r="AE214" s="69" t="str">
        <f aca="false">IF(AND(B214&lt;&gt;"",D214=CONSULTA_UNIDADE!$B$4),MAX($AE$1:$AE$213)+1,"")</f>
        <v/>
      </c>
      <c r="AF214" s="69" t="str">
        <f aca="false">IF(AND(B214&lt;&gt;"",O214&lt;&gt;"27 - Instalação concluída",O214&lt;&gt;"28 - Encerrado",ISNUMBER(S214)),S214*1000+(1000-ROW()),"")</f>
        <v/>
      </c>
      <c r="AG214" s="69" t="str">
        <f aca="false">IF(AF214="","",RANK(AF214,$AF$2:$AF$500))</f>
        <v/>
      </c>
    </row>
    <row r="215" customFormat="false" ht="16.5" hidden="false" customHeight="true" outlineLevel="0" collapsed="false">
      <c r="A215" s="86"/>
      <c r="B215" s="86"/>
      <c r="C215" s="87" t="str">
        <f aca="false">IF(D215="","",IFERROR(INDEX(CADASTRO_VIVO_3CRE!$B$2:$B$150,MATCH(D215,CADASTRO_VIVO_3CRE!$E$2:$E$150,0)),""))</f>
        <v/>
      </c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8"/>
      <c r="S215" s="89" t="str">
        <f aca="true">IF(R215="","",TODAY()-INT(R215))</f>
        <v/>
      </c>
      <c r="T215" s="86"/>
      <c r="U215" s="86"/>
      <c r="V215" s="86"/>
      <c r="W215" s="88"/>
      <c r="X215" s="89" t="str">
        <f aca="true">IF(W215="","",IF(OR(O215="28 - Encerrado",O215="27 - Instalação concluída"),"Concluído",TODAY()-INT(W215)))</f>
        <v/>
      </c>
      <c r="Y215" s="90" t="str">
        <f aca="false">IF(OR(O215="28 - Encerrado",O215="27 - Instalação concluída"),"OK",IF(AND(B215&lt;&gt;"",S215=""),"ATENÇÃO (Sem data de atualização)",IF(S215="","",IF(S215&gt;30,"CRÍTICO (Sem Atualização &gt;30 dias)",IF(S215&gt;15,"ATENÇÃO (Sem Atualização &gt;15 dias)",IF(X215&gt;90,"CRÍTICO (Aberto &gt;90 dias)","OK"))))))</f>
        <v/>
      </c>
      <c r="Z215" s="90" t="str">
        <f aca="false">IF(B215="","",IF(OR(O215="27 - Instalação concluída",O215="28 - Encerrado"),"OK",IF(NOT(ISNUMBER(X215)),"",IF(X215&gt;365,"MUITO ANTIGO (&gt;1 ano)",IF(X215&gt;180,"ANTIGO (&gt;6 meses)",IF(X215&gt;90,"ATENÇÃO ANTIG. (&gt;3 meses)","OK"))))))</f>
        <v/>
      </c>
      <c r="AA215" s="86"/>
      <c r="AB215" s="69" t="str">
        <f aca="false">IF(AND(B215&lt;&gt;"",OR(T215="Pendente de Vistoria",T215="Não validada")),MAX($AB$1:$AB$214)+1,"")</f>
        <v/>
      </c>
      <c r="AC215" s="69" t="str">
        <f aca="false">IF(AND(B215&lt;&gt;"",OR(ISNUMBER(SEARCH("CTIN",P215)),U215="Alta",O215="07 - Relatório recebido — unidade apta",O215="11 - Orçamentos em análise técnica",O215="22 - Instalação/substituição autorizada")),MAX($AC$1:$AC$214)+1,"")</f>
        <v/>
      </c>
      <c r="AD215" s="69" t="str">
        <f aca="false">IF(AND(B215&lt;&gt;"",OR(ISNUMBER(SEARCH("CTO",P215)),LEFT(O215,2)="22",LEFT(O215,2)="23",LEFT(O215,2)="24",LEFT(O215,2)="25",LEFT(O215,2)="26",LEFT(O215,2)="27")),MAX($AD$1:$AD$214)+1,"")</f>
        <v/>
      </c>
      <c r="AE215" s="69" t="str">
        <f aca="false">IF(AND(B215&lt;&gt;"",D215=CONSULTA_UNIDADE!$B$4),MAX($AE$1:$AE$214)+1,"")</f>
        <v/>
      </c>
      <c r="AF215" s="69" t="str">
        <f aca="false">IF(AND(B215&lt;&gt;"",O215&lt;&gt;"27 - Instalação concluída",O215&lt;&gt;"28 - Encerrado",ISNUMBER(S215)),S215*1000+(1000-ROW()),"")</f>
        <v/>
      </c>
      <c r="AG215" s="69" t="str">
        <f aca="false">IF(AF215="","",RANK(AF215,$AF$2:$AF$500))</f>
        <v/>
      </c>
    </row>
    <row r="216" customFormat="false" ht="16.5" hidden="false" customHeight="true" outlineLevel="0" collapsed="false">
      <c r="A216" s="86"/>
      <c r="B216" s="86"/>
      <c r="C216" s="87" t="str">
        <f aca="false">IF(D216="","",IFERROR(INDEX(CADASTRO_VIVO_3CRE!$B$2:$B$150,MATCH(D216,CADASTRO_VIVO_3CRE!$E$2:$E$150,0)),""))</f>
        <v/>
      </c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8"/>
      <c r="S216" s="89" t="str">
        <f aca="true">IF(R216="","",TODAY()-INT(R216))</f>
        <v/>
      </c>
      <c r="T216" s="86"/>
      <c r="U216" s="86"/>
      <c r="V216" s="86"/>
      <c r="W216" s="88"/>
      <c r="X216" s="89" t="str">
        <f aca="true">IF(W216="","",IF(OR(O216="28 - Encerrado",O216="27 - Instalação concluída"),"Concluído",TODAY()-INT(W216)))</f>
        <v/>
      </c>
      <c r="Y216" s="90" t="str">
        <f aca="false">IF(OR(O216="28 - Encerrado",O216="27 - Instalação concluída"),"OK",IF(AND(B216&lt;&gt;"",S216=""),"ATENÇÃO (Sem data de atualização)",IF(S216="","",IF(S216&gt;30,"CRÍTICO (Sem Atualização &gt;30 dias)",IF(S216&gt;15,"ATENÇÃO (Sem Atualização &gt;15 dias)",IF(X216&gt;90,"CRÍTICO (Aberto &gt;90 dias)","OK"))))))</f>
        <v/>
      </c>
      <c r="Z216" s="90" t="str">
        <f aca="false">IF(B216="","",IF(OR(O216="27 - Instalação concluída",O216="28 - Encerrado"),"OK",IF(NOT(ISNUMBER(X216)),"",IF(X216&gt;365,"MUITO ANTIGO (&gt;1 ano)",IF(X216&gt;180,"ANTIGO (&gt;6 meses)",IF(X216&gt;90,"ATENÇÃO ANTIG. (&gt;3 meses)","OK"))))))</f>
        <v/>
      </c>
      <c r="AA216" s="86"/>
      <c r="AB216" s="69" t="str">
        <f aca="false">IF(AND(B216&lt;&gt;"",OR(T216="Pendente de Vistoria",T216="Não validada")),MAX($AB$1:$AB$215)+1,"")</f>
        <v/>
      </c>
      <c r="AC216" s="69" t="str">
        <f aca="false">IF(AND(B216&lt;&gt;"",OR(ISNUMBER(SEARCH("CTIN",P216)),U216="Alta",O216="07 - Relatório recebido — unidade apta",O216="11 - Orçamentos em análise técnica",O216="22 - Instalação/substituição autorizada")),MAX($AC$1:$AC$215)+1,"")</f>
        <v/>
      </c>
      <c r="AD216" s="69" t="str">
        <f aca="false">IF(AND(B216&lt;&gt;"",OR(ISNUMBER(SEARCH("CTO",P216)),LEFT(O216,2)="22",LEFT(O216,2)="23",LEFT(O216,2)="24",LEFT(O216,2)="25",LEFT(O216,2)="26",LEFT(O216,2)="27")),MAX($AD$1:$AD$215)+1,"")</f>
        <v/>
      </c>
      <c r="AE216" s="69" t="str">
        <f aca="false">IF(AND(B216&lt;&gt;"",D216=CONSULTA_UNIDADE!$B$4),MAX($AE$1:$AE$215)+1,"")</f>
        <v/>
      </c>
      <c r="AF216" s="69" t="str">
        <f aca="false">IF(AND(B216&lt;&gt;"",O216&lt;&gt;"27 - Instalação concluída",O216&lt;&gt;"28 - Encerrado",ISNUMBER(S216)),S216*1000+(1000-ROW()),"")</f>
        <v/>
      </c>
      <c r="AG216" s="69" t="str">
        <f aca="false">IF(AF216="","",RANK(AF216,$AF$2:$AF$500))</f>
        <v/>
      </c>
    </row>
    <row r="217" customFormat="false" ht="16.5" hidden="false" customHeight="true" outlineLevel="0" collapsed="false">
      <c r="A217" s="86"/>
      <c r="B217" s="86"/>
      <c r="C217" s="87" t="str">
        <f aca="false">IF(D217="","",IFERROR(INDEX(CADASTRO_VIVO_3CRE!$B$2:$B$150,MATCH(D217,CADASTRO_VIVO_3CRE!$E$2:$E$150,0)),""))</f>
        <v/>
      </c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8"/>
      <c r="S217" s="89" t="str">
        <f aca="true">IF(R217="","",TODAY()-INT(R217))</f>
        <v/>
      </c>
      <c r="T217" s="86"/>
      <c r="U217" s="86"/>
      <c r="V217" s="86"/>
      <c r="W217" s="88"/>
      <c r="X217" s="89" t="str">
        <f aca="true">IF(W217="","",IF(OR(O217="28 - Encerrado",O217="27 - Instalação concluída"),"Concluído",TODAY()-INT(W217)))</f>
        <v/>
      </c>
      <c r="Y217" s="90" t="str">
        <f aca="false">IF(OR(O217="28 - Encerrado",O217="27 - Instalação concluída"),"OK",IF(AND(B217&lt;&gt;"",S217=""),"ATENÇÃO (Sem data de atualização)",IF(S217="","",IF(S217&gt;30,"CRÍTICO (Sem Atualização &gt;30 dias)",IF(S217&gt;15,"ATENÇÃO (Sem Atualização &gt;15 dias)",IF(X217&gt;90,"CRÍTICO (Aberto &gt;90 dias)","OK"))))))</f>
        <v/>
      </c>
      <c r="Z217" s="90" t="str">
        <f aca="false">IF(B217="","",IF(OR(O217="27 - Instalação concluída",O217="28 - Encerrado"),"OK",IF(NOT(ISNUMBER(X217)),"",IF(X217&gt;365,"MUITO ANTIGO (&gt;1 ano)",IF(X217&gt;180,"ANTIGO (&gt;6 meses)",IF(X217&gt;90,"ATENÇÃO ANTIG. (&gt;3 meses)","OK"))))))</f>
        <v/>
      </c>
      <c r="AA217" s="86"/>
      <c r="AB217" s="69" t="str">
        <f aca="false">IF(AND(B217&lt;&gt;"",OR(T217="Pendente de Vistoria",T217="Não validada")),MAX($AB$1:$AB$216)+1,"")</f>
        <v/>
      </c>
      <c r="AC217" s="69" t="str">
        <f aca="false">IF(AND(B217&lt;&gt;"",OR(ISNUMBER(SEARCH("CTIN",P217)),U217="Alta",O217="07 - Relatório recebido — unidade apta",O217="11 - Orçamentos em análise técnica",O217="22 - Instalação/substituição autorizada")),MAX($AC$1:$AC$216)+1,"")</f>
        <v/>
      </c>
      <c r="AD217" s="69" t="str">
        <f aca="false">IF(AND(B217&lt;&gt;"",OR(ISNUMBER(SEARCH("CTO",P217)),LEFT(O217,2)="22",LEFT(O217,2)="23",LEFT(O217,2)="24",LEFT(O217,2)="25",LEFT(O217,2)="26",LEFT(O217,2)="27")),MAX($AD$1:$AD$216)+1,"")</f>
        <v/>
      </c>
      <c r="AE217" s="69" t="str">
        <f aca="false">IF(AND(B217&lt;&gt;"",D217=CONSULTA_UNIDADE!$B$4),MAX($AE$1:$AE$216)+1,"")</f>
        <v/>
      </c>
      <c r="AF217" s="69" t="str">
        <f aca="false">IF(AND(B217&lt;&gt;"",O217&lt;&gt;"27 - Instalação concluída",O217&lt;&gt;"28 - Encerrado",ISNUMBER(S217)),S217*1000+(1000-ROW()),"")</f>
        <v/>
      </c>
      <c r="AG217" s="69" t="str">
        <f aca="false">IF(AF217="","",RANK(AF217,$AF$2:$AF$500))</f>
        <v/>
      </c>
    </row>
    <row r="218" customFormat="false" ht="16.5" hidden="false" customHeight="true" outlineLevel="0" collapsed="false">
      <c r="A218" s="86"/>
      <c r="B218" s="86"/>
      <c r="C218" s="87" t="str">
        <f aca="false">IF(D218="","",IFERROR(INDEX(CADASTRO_VIVO_3CRE!$B$2:$B$150,MATCH(D218,CADASTRO_VIVO_3CRE!$E$2:$E$150,0)),""))</f>
        <v/>
      </c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8"/>
      <c r="S218" s="89" t="str">
        <f aca="true">IF(R218="","",TODAY()-INT(R218))</f>
        <v/>
      </c>
      <c r="T218" s="86"/>
      <c r="U218" s="86"/>
      <c r="V218" s="86"/>
      <c r="W218" s="88"/>
      <c r="X218" s="89" t="str">
        <f aca="true">IF(W218="","",IF(OR(O218="28 - Encerrado",O218="27 - Instalação concluída"),"Concluído",TODAY()-INT(W218)))</f>
        <v/>
      </c>
      <c r="Y218" s="90" t="str">
        <f aca="false">IF(OR(O218="28 - Encerrado",O218="27 - Instalação concluída"),"OK",IF(AND(B218&lt;&gt;"",S218=""),"ATENÇÃO (Sem data de atualização)",IF(S218="","",IF(S218&gt;30,"CRÍTICO (Sem Atualização &gt;30 dias)",IF(S218&gt;15,"ATENÇÃO (Sem Atualização &gt;15 dias)",IF(X218&gt;90,"CRÍTICO (Aberto &gt;90 dias)","OK"))))))</f>
        <v/>
      </c>
      <c r="Z218" s="90" t="str">
        <f aca="false">IF(B218="","",IF(OR(O218="27 - Instalação concluída",O218="28 - Encerrado"),"OK",IF(NOT(ISNUMBER(X218)),"",IF(X218&gt;365,"MUITO ANTIGO (&gt;1 ano)",IF(X218&gt;180,"ANTIGO (&gt;6 meses)",IF(X218&gt;90,"ATENÇÃO ANTIG. (&gt;3 meses)","OK"))))))</f>
        <v/>
      </c>
      <c r="AA218" s="86"/>
      <c r="AB218" s="69" t="str">
        <f aca="false">IF(AND(B218&lt;&gt;"",OR(T218="Pendente de Vistoria",T218="Não validada")),MAX($AB$1:$AB$217)+1,"")</f>
        <v/>
      </c>
      <c r="AC218" s="69" t="str">
        <f aca="false">IF(AND(B218&lt;&gt;"",OR(ISNUMBER(SEARCH("CTIN",P218)),U218="Alta",O218="07 - Relatório recebido — unidade apta",O218="11 - Orçamentos em análise técnica",O218="22 - Instalação/substituição autorizada")),MAX($AC$1:$AC$217)+1,"")</f>
        <v/>
      </c>
      <c r="AD218" s="69" t="str">
        <f aca="false">IF(AND(B218&lt;&gt;"",OR(ISNUMBER(SEARCH("CTO",P218)),LEFT(O218,2)="22",LEFT(O218,2)="23",LEFT(O218,2)="24",LEFT(O218,2)="25",LEFT(O218,2)="26",LEFT(O218,2)="27")),MAX($AD$1:$AD$217)+1,"")</f>
        <v/>
      </c>
      <c r="AE218" s="69" t="str">
        <f aca="false">IF(AND(B218&lt;&gt;"",D218=CONSULTA_UNIDADE!$B$4),MAX($AE$1:$AE$217)+1,"")</f>
        <v/>
      </c>
      <c r="AF218" s="69" t="str">
        <f aca="false">IF(AND(B218&lt;&gt;"",O218&lt;&gt;"27 - Instalação concluída",O218&lt;&gt;"28 - Encerrado",ISNUMBER(S218)),S218*1000+(1000-ROW()),"")</f>
        <v/>
      </c>
      <c r="AG218" s="69" t="str">
        <f aca="false">IF(AF218="","",RANK(AF218,$AF$2:$AF$500))</f>
        <v/>
      </c>
    </row>
    <row r="219" customFormat="false" ht="16.5" hidden="false" customHeight="true" outlineLevel="0" collapsed="false">
      <c r="A219" s="86"/>
      <c r="B219" s="86"/>
      <c r="C219" s="87" t="str">
        <f aca="false">IF(D219="","",IFERROR(INDEX(CADASTRO_VIVO_3CRE!$B$2:$B$150,MATCH(D219,CADASTRO_VIVO_3CRE!$E$2:$E$150,0)),""))</f>
        <v/>
      </c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8"/>
      <c r="S219" s="89" t="str">
        <f aca="true">IF(R219="","",TODAY()-INT(R219))</f>
        <v/>
      </c>
      <c r="T219" s="86"/>
      <c r="U219" s="86"/>
      <c r="V219" s="86"/>
      <c r="W219" s="88"/>
      <c r="X219" s="89" t="str">
        <f aca="true">IF(W219="","",IF(OR(O219="28 - Encerrado",O219="27 - Instalação concluída"),"Concluído",TODAY()-INT(W219)))</f>
        <v/>
      </c>
      <c r="Y219" s="90" t="str">
        <f aca="false">IF(OR(O219="28 - Encerrado",O219="27 - Instalação concluída"),"OK",IF(AND(B219&lt;&gt;"",S219=""),"ATENÇÃO (Sem data de atualização)",IF(S219="","",IF(S219&gt;30,"CRÍTICO (Sem Atualização &gt;30 dias)",IF(S219&gt;15,"ATENÇÃO (Sem Atualização &gt;15 dias)",IF(X219&gt;90,"CRÍTICO (Aberto &gt;90 dias)","OK"))))))</f>
        <v/>
      </c>
      <c r="Z219" s="90" t="str">
        <f aca="false">IF(B219="","",IF(OR(O219="27 - Instalação concluída",O219="28 - Encerrado"),"OK",IF(NOT(ISNUMBER(X219)),"",IF(X219&gt;365,"MUITO ANTIGO (&gt;1 ano)",IF(X219&gt;180,"ANTIGO (&gt;6 meses)",IF(X219&gt;90,"ATENÇÃO ANTIG. (&gt;3 meses)","OK"))))))</f>
        <v/>
      </c>
      <c r="AA219" s="86"/>
      <c r="AB219" s="69" t="str">
        <f aca="false">IF(AND(B219&lt;&gt;"",OR(T219="Pendente de Vistoria",T219="Não validada")),MAX($AB$1:$AB$218)+1,"")</f>
        <v/>
      </c>
      <c r="AC219" s="69" t="str">
        <f aca="false">IF(AND(B219&lt;&gt;"",OR(ISNUMBER(SEARCH("CTIN",P219)),U219="Alta",O219="07 - Relatório recebido — unidade apta",O219="11 - Orçamentos em análise técnica",O219="22 - Instalação/substituição autorizada")),MAX($AC$1:$AC$218)+1,"")</f>
        <v/>
      </c>
      <c r="AD219" s="69" t="str">
        <f aca="false">IF(AND(B219&lt;&gt;"",OR(ISNUMBER(SEARCH("CTO",P219)),LEFT(O219,2)="22",LEFT(O219,2)="23",LEFT(O219,2)="24",LEFT(O219,2)="25",LEFT(O219,2)="26",LEFT(O219,2)="27")),MAX($AD$1:$AD$218)+1,"")</f>
        <v/>
      </c>
      <c r="AE219" s="69" t="str">
        <f aca="false">IF(AND(B219&lt;&gt;"",D219=CONSULTA_UNIDADE!$B$4),MAX($AE$1:$AE$218)+1,"")</f>
        <v/>
      </c>
      <c r="AF219" s="69" t="str">
        <f aca="false">IF(AND(B219&lt;&gt;"",O219&lt;&gt;"27 - Instalação concluída",O219&lt;&gt;"28 - Encerrado",ISNUMBER(S219)),S219*1000+(1000-ROW()),"")</f>
        <v/>
      </c>
      <c r="AG219" s="69" t="str">
        <f aca="false">IF(AF219="","",RANK(AF219,$AF$2:$AF$500))</f>
        <v/>
      </c>
    </row>
    <row r="220" customFormat="false" ht="16.5" hidden="false" customHeight="true" outlineLevel="0" collapsed="false">
      <c r="A220" s="86"/>
      <c r="B220" s="86"/>
      <c r="C220" s="87" t="str">
        <f aca="false">IF(D220="","",IFERROR(INDEX(CADASTRO_VIVO_3CRE!$B$2:$B$150,MATCH(D220,CADASTRO_VIVO_3CRE!$E$2:$E$150,0)),""))</f>
        <v/>
      </c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8"/>
      <c r="S220" s="89" t="str">
        <f aca="true">IF(R220="","",TODAY()-INT(R220))</f>
        <v/>
      </c>
      <c r="T220" s="86"/>
      <c r="U220" s="86"/>
      <c r="V220" s="86"/>
      <c r="W220" s="88"/>
      <c r="X220" s="89" t="str">
        <f aca="true">IF(W220="","",IF(OR(O220="28 - Encerrado",O220="27 - Instalação concluída"),"Concluído",TODAY()-INT(W220)))</f>
        <v/>
      </c>
      <c r="Y220" s="90" t="str">
        <f aca="false">IF(OR(O220="28 - Encerrado",O220="27 - Instalação concluída"),"OK",IF(AND(B220&lt;&gt;"",S220=""),"ATENÇÃO (Sem data de atualização)",IF(S220="","",IF(S220&gt;30,"CRÍTICO (Sem Atualização &gt;30 dias)",IF(S220&gt;15,"ATENÇÃO (Sem Atualização &gt;15 dias)",IF(X220&gt;90,"CRÍTICO (Aberto &gt;90 dias)","OK"))))))</f>
        <v/>
      </c>
      <c r="Z220" s="90" t="str">
        <f aca="false">IF(B220="","",IF(OR(O220="27 - Instalação concluída",O220="28 - Encerrado"),"OK",IF(NOT(ISNUMBER(X220)),"",IF(X220&gt;365,"MUITO ANTIGO (&gt;1 ano)",IF(X220&gt;180,"ANTIGO (&gt;6 meses)",IF(X220&gt;90,"ATENÇÃO ANTIG. (&gt;3 meses)","OK"))))))</f>
        <v/>
      </c>
      <c r="AA220" s="86"/>
      <c r="AB220" s="69" t="str">
        <f aca="false">IF(AND(B220&lt;&gt;"",OR(T220="Pendente de Vistoria",T220="Não validada")),MAX($AB$1:$AB$219)+1,"")</f>
        <v/>
      </c>
      <c r="AC220" s="69" t="str">
        <f aca="false">IF(AND(B220&lt;&gt;"",OR(ISNUMBER(SEARCH("CTIN",P220)),U220="Alta",O220="07 - Relatório recebido — unidade apta",O220="11 - Orçamentos em análise técnica",O220="22 - Instalação/substituição autorizada")),MAX($AC$1:$AC$219)+1,"")</f>
        <v/>
      </c>
      <c r="AD220" s="69" t="str">
        <f aca="false">IF(AND(B220&lt;&gt;"",OR(ISNUMBER(SEARCH("CTO",P220)),LEFT(O220,2)="22",LEFT(O220,2)="23",LEFT(O220,2)="24",LEFT(O220,2)="25",LEFT(O220,2)="26",LEFT(O220,2)="27")),MAX($AD$1:$AD$219)+1,"")</f>
        <v/>
      </c>
      <c r="AE220" s="69" t="str">
        <f aca="false">IF(AND(B220&lt;&gt;"",D220=CONSULTA_UNIDADE!$B$4),MAX($AE$1:$AE$219)+1,"")</f>
        <v/>
      </c>
      <c r="AF220" s="69" t="str">
        <f aca="false">IF(AND(B220&lt;&gt;"",O220&lt;&gt;"27 - Instalação concluída",O220&lt;&gt;"28 - Encerrado",ISNUMBER(S220)),S220*1000+(1000-ROW()),"")</f>
        <v/>
      </c>
      <c r="AG220" s="69" t="str">
        <f aca="false">IF(AF220="","",RANK(AF220,$AF$2:$AF$500))</f>
        <v/>
      </c>
    </row>
    <row r="221" customFormat="false" ht="16.5" hidden="false" customHeight="true" outlineLevel="0" collapsed="false">
      <c r="A221" s="86"/>
      <c r="B221" s="86"/>
      <c r="C221" s="87" t="str">
        <f aca="false">IF(D221="","",IFERROR(INDEX(CADASTRO_VIVO_3CRE!$B$2:$B$150,MATCH(D221,CADASTRO_VIVO_3CRE!$E$2:$E$150,0)),""))</f>
        <v/>
      </c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8"/>
      <c r="S221" s="89" t="str">
        <f aca="true">IF(R221="","",TODAY()-INT(R221))</f>
        <v/>
      </c>
      <c r="T221" s="86"/>
      <c r="U221" s="86"/>
      <c r="V221" s="86"/>
      <c r="W221" s="88"/>
      <c r="X221" s="89" t="str">
        <f aca="true">IF(W221="","",IF(OR(O221="28 - Encerrado",O221="27 - Instalação concluída"),"Concluído",TODAY()-INT(W221)))</f>
        <v/>
      </c>
      <c r="Y221" s="90" t="str">
        <f aca="false">IF(OR(O221="28 - Encerrado",O221="27 - Instalação concluída"),"OK",IF(AND(B221&lt;&gt;"",S221=""),"ATENÇÃO (Sem data de atualização)",IF(S221="","",IF(S221&gt;30,"CRÍTICO (Sem Atualização &gt;30 dias)",IF(S221&gt;15,"ATENÇÃO (Sem Atualização &gt;15 dias)",IF(X221&gt;90,"CRÍTICO (Aberto &gt;90 dias)","OK"))))))</f>
        <v/>
      </c>
      <c r="Z221" s="90" t="str">
        <f aca="false">IF(B221="","",IF(OR(O221="27 - Instalação concluída",O221="28 - Encerrado"),"OK",IF(NOT(ISNUMBER(X221)),"",IF(X221&gt;365,"MUITO ANTIGO (&gt;1 ano)",IF(X221&gt;180,"ANTIGO (&gt;6 meses)",IF(X221&gt;90,"ATENÇÃO ANTIG. (&gt;3 meses)","OK"))))))</f>
        <v/>
      </c>
      <c r="AA221" s="86"/>
      <c r="AB221" s="69" t="str">
        <f aca="false">IF(AND(B221&lt;&gt;"",OR(T221="Pendente de Vistoria",T221="Não validada")),MAX($AB$1:$AB$220)+1,"")</f>
        <v/>
      </c>
      <c r="AC221" s="69" t="str">
        <f aca="false">IF(AND(B221&lt;&gt;"",OR(ISNUMBER(SEARCH("CTIN",P221)),U221="Alta",O221="07 - Relatório recebido — unidade apta",O221="11 - Orçamentos em análise técnica",O221="22 - Instalação/substituição autorizada")),MAX($AC$1:$AC$220)+1,"")</f>
        <v/>
      </c>
      <c r="AD221" s="69" t="str">
        <f aca="false">IF(AND(B221&lt;&gt;"",OR(ISNUMBER(SEARCH("CTO",P221)),LEFT(O221,2)="22",LEFT(O221,2)="23",LEFT(O221,2)="24",LEFT(O221,2)="25",LEFT(O221,2)="26",LEFT(O221,2)="27")),MAX($AD$1:$AD$220)+1,"")</f>
        <v/>
      </c>
      <c r="AE221" s="69" t="str">
        <f aca="false">IF(AND(B221&lt;&gt;"",D221=CONSULTA_UNIDADE!$B$4),MAX($AE$1:$AE$220)+1,"")</f>
        <v/>
      </c>
      <c r="AF221" s="69" t="str">
        <f aca="false">IF(AND(B221&lt;&gt;"",O221&lt;&gt;"27 - Instalação concluída",O221&lt;&gt;"28 - Encerrado",ISNUMBER(S221)),S221*1000+(1000-ROW()),"")</f>
        <v/>
      </c>
      <c r="AG221" s="69" t="str">
        <f aca="false">IF(AF221="","",RANK(AF221,$AF$2:$AF$500))</f>
        <v/>
      </c>
    </row>
    <row r="222" customFormat="false" ht="16.5" hidden="false" customHeight="true" outlineLevel="0" collapsed="false">
      <c r="A222" s="86"/>
      <c r="B222" s="86"/>
      <c r="C222" s="87" t="str">
        <f aca="false">IF(D222="","",IFERROR(INDEX(CADASTRO_VIVO_3CRE!$B$2:$B$150,MATCH(D222,CADASTRO_VIVO_3CRE!$E$2:$E$150,0)),""))</f>
        <v/>
      </c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8"/>
      <c r="S222" s="89" t="str">
        <f aca="true">IF(R222="","",TODAY()-INT(R222))</f>
        <v/>
      </c>
      <c r="T222" s="86"/>
      <c r="U222" s="86"/>
      <c r="V222" s="86"/>
      <c r="W222" s="88"/>
      <c r="X222" s="89" t="str">
        <f aca="true">IF(W222="","",IF(OR(O222="28 - Encerrado",O222="27 - Instalação concluída"),"Concluído",TODAY()-INT(W222)))</f>
        <v/>
      </c>
      <c r="Y222" s="90" t="str">
        <f aca="false">IF(OR(O222="28 - Encerrado",O222="27 - Instalação concluída"),"OK",IF(AND(B222&lt;&gt;"",S222=""),"ATENÇÃO (Sem data de atualização)",IF(S222="","",IF(S222&gt;30,"CRÍTICO (Sem Atualização &gt;30 dias)",IF(S222&gt;15,"ATENÇÃO (Sem Atualização &gt;15 dias)",IF(X222&gt;90,"CRÍTICO (Aberto &gt;90 dias)","OK"))))))</f>
        <v/>
      </c>
      <c r="Z222" s="90" t="str">
        <f aca="false">IF(B222="","",IF(OR(O222="27 - Instalação concluída",O222="28 - Encerrado"),"OK",IF(NOT(ISNUMBER(X222)),"",IF(X222&gt;365,"MUITO ANTIGO (&gt;1 ano)",IF(X222&gt;180,"ANTIGO (&gt;6 meses)",IF(X222&gt;90,"ATENÇÃO ANTIG. (&gt;3 meses)","OK"))))))</f>
        <v/>
      </c>
      <c r="AA222" s="86"/>
      <c r="AB222" s="69" t="str">
        <f aca="false">IF(AND(B222&lt;&gt;"",OR(T222="Pendente de Vistoria",T222="Não validada")),MAX($AB$1:$AB$221)+1,"")</f>
        <v/>
      </c>
      <c r="AC222" s="69" t="str">
        <f aca="false">IF(AND(B222&lt;&gt;"",OR(ISNUMBER(SEARCH("CTIN",P222)),U222="Alta",O222="07 - Relatório recebido — unidade apta",O222="11 - Orçamentos em análise técnica",O222="22 - Instalação/substituição autorizada")),MAX($AC$1:$AC$221)+1,"")</f>
        <v/>
      </c>
      <c r="AD222" s="69" t="str">
        <f aca="false">IF(AND(B222&lt;&gt;"",OR(ISNUMBER(SEARCH("CTO",P222)),LEFT(O222,2)="22",LEFT(O222,2)="23",LEFT(O222,2)="24",LEFT(O222,2)="25",LEFT(O222,2)="26",LEFT(O222,2)="27")),MAX($AD$1:$AD$221)+1,"")</f>
        <v/>
      </c>
      <c r="AE222" s="69" t="str">
        <f aca="false">IF(AND(B222&lt;&gt;"",D222=CONSULTA_UNIDADE!$B$4),MAX($AE$1:$AE$221)+1,"")</f>
        <v/>
      </c>
      <c r="AF222" s="69" t="str">
        <f aca="false">IF(AND(B222&lt;&gt;"",O222&lt;&gt;"27 - Instalação concluída",O222&lt;&gt;"28 - Encerrado",ISNUMBER(S222)),S222*1000+(1000-ROW()),"")</f>
        <v/>
      </c>
      <c r="AG222" s="69" t="str">
        <f aca="false">IF(AF222="","",RANK(AF222,$AF$2:$AF$500))</f>
        <v/>
      </c>
    </row>
    <row r="223" customFormat="false" ht="16.5" hidden="false" customHeight="true" outlineLevel="0" collapsed="false">
      <c r="A223" s="86"/>
      <c r="B223" s="86"/>
      <c r="C223" s="87" t="str">
        <f aca="false">IF(D223="","",IFERROR(INDEX(CADASTRO_VIVO_3CRE!$B$2:$B$150,MATCH(D223,CADASTRO_VIVO_3CRE!$E$2:$E$150,0)),""))</f>
        <v/>
      </c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8"/>
      <c r="S223" s="89" t="str">
        <f aca="true">IF(R223="","",TODAY()-INT(R223))</f>
        <v/>
      </c>
      <c r="T223" s="86"/>
      <c r="U223" s="86"/>
      <c r="V223" s="86"/>
      <c r="W223" s="88"/>
      <c r="X223" s="89" t="str">
        <f aca="true">IF(W223="","",IF(OR(O223="28 - Encerrado",O223="27 - Instalação concluída"),"Concluído",TODAY()-INT(W223)))</f>
        <v/>
      </c>
      <c r="Y223" s="90" t="str">
        <f aca="false">IF(OR(O223="28 - Encerrado",O223="27 - Instalação concluída"),"OK",IF(AND(B223&lt;&gt;"",S223=""),"ATENÇÃO (Sem data de atualização)",IF(S223="","",IF(S223&gt;30,"CRÍTICO (Sem Atualização &gt;30 dias)",IF(S223&gt;15,"ATENÇÃO (Sem Atualização &gt;15 dias)",IF(X223&gt;90,"CRÍTICO (Aberto &gt;90 dias)","OK"))))))</f>
        <v/>
      </c>
      <c r="Z223" s="90" t="str">
        <f aca="false">IF(B223="","",IF(OR(O223="27 - Instalação concluída",O223="28 - Encerrado"),"OK",IF(NOT(ISNUMBER(X223)),"",IF(X223&gt;365,"MUITO ANTIGO (&gt;1 ano)",IF(X223&gt;180,"ANTIGO (&gt;6 meses)",IF(X223&gt;90,"ATENÇÃO ANTIG. (&gt;3 meses)","OK"))))))</f>
        <v/>
      </c>
      <c r="AA223" s="86"/>
      <c r="AB223" s="69" t="str">
        <f aca="false">IF(AND(B223&lt;&gt;"",OR(T223="Pendente de Vistoria",T223="Não validada")),MAX($AB$1:$AB$222)+1,"")</f>
        <v/>
      </c>
      <c r="AC223" s="69" t="str">
        <f aca="false">IF(AND(B223&lt;&gt;"",OR(ISNUMBER(SEARCH("CTIN",P223)),U223="Alta",O223="07 - Relatório recebido — unidade apta",O223="11 - Orçamentos em análise técnica",O223="22 - Instalação/substituição autorizada")),MAX($AC$1:$AC$222)+1,"")</f>
        <v/>
      </c>
      <c r="AD223" s="69" t="str">
        <f aca="false">IF(AND(B223&lt;&gt;"",OR(ISNUMBER(SEARCH("CTO",P223)),LEFT(O223,2)="22",LEFT(O223,2)="23",LEFT(O223,2)="24",LEFT(O223,2)="25",LEFT(O223,2)="26",LEFT(O223,2)="27")),MAX($AD$1:$AD$222)+1,"")</f>
        <v/>
      </c>
      <c r="AE223" s="69" t="str">
        <f aca="false">IF(AND(B223&lt;&gt;"",D223=CONSULTA_UNIDADE!$B$4),MAX($AE$1:$AE$222)+1,"")</f>
        <v/>
      </c>
      <c r="AF223" s="69" t="str">
        <f aca="false">IF(AND(B223&lt;&gt;"",O223&lt;&gt;"27 - Instalação concluída",O223&lt;&gt;"28 - Encerrado",ISNUMBER(S223)),S223*1000+(1000-ROW()),"")</f>
        <v/>
      </c>
      <c r="AG223" s="69" t="str">
        <f aca="false">IF(AF223="","",RANK(AF223,$AF$2:$AF$500))</f>
        <v/>
      </c>
    </row>
    <row r="224" customFormat="false" ht="16.5" hidden="false" customHeight="true" outlineLevel="0" collapsed="false">
      <c r="A224" s="86"/>
      <c r="B224" s="86"/>
      <c r="C224" s="87" t="str">
        <f aca="false">IF(D224="","",IFERROR(INDEX(CADASTRO_VIVO_3CRE!$B$2:$B$150,MATCH(D224,CADASTRO_VIVO_3CRE!$E$2:$E$150,0)),""))</f>
        <v/>
      </c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8"/>
      <c r="S224" s="89" t="str">
        <f aca="true">IF(R224="","",TODAY()-INT(R224))</f>
        <v/>
      </c>
      <c r="T224" s="86"/>
      <c r="U224" s="86"/>
      <c r="V224" s="86"/>
      <c r="W224" s="88"/>
      <c r="X224" s="89" t="str">
        <f aca="true">IF(W224="","",IF(OR(O224="28 - Encerrado",O224="27 - Instalação concluída"),"Concluído",TODAY()-INT(W224)))</f>
        <v/>
      </c>
      <c r="Y224" s="90" t="str">
        <f aca="false">IF(OR(O224="28 - Encerrado",O224="27 - Instalação concluída"),"OK",IF(AND(B224&lt;&gt;"",S224=""),"ATENÇÃO (Sem data de atualização)",IF(S224="","",IF(S224&gt;30,"CRÍTICO (Sem Atualização &gt;30 dias)",IF(S224&gt;15,"ATENÇÃO (Sem Atualização &gt;15 dias)",IF(X224&gt;90,"CRÍTICO (Aberto &gt;90 dias)","OK"))))))</f>
        <v/>
      </c>
      <c r="Z224" s="90" t="str">
        <f aca="false">IF(B224="","",IF(OR(O224="27 - Instalação concluída",O224="28 - Encerrado"),"OK",IF(NOT(ISNUMBER(X224)),"",IF(X224&gt;365,"MUITO ANTIGO (&gt;1 ano)",IF(X224&gt;180,"ANTIGO (&gt;6 meses)",IF(X224&gt;90,"ATENÇÃO ANTIG. (&gt;3 meses)","OK"))))))</f>
        <v/>
      </c>
      <c r="AA224" s="86"/>
      <c r="AB224" s="69" t="str">
        <f aca="false">IF(AND(B224&lt;&gt;"",OR(T224="Pendente de Vistoria",T224="Não validada")),MAX($AB$1:$AB$223)+1,"")</f>
        <v/>
      </c>
      <c r="AC224" s="69" t="str">
        <f aca="false">IF(AND(B224&lt;&gt;"",OR(ISNUMBER(SEARCH("CTIN",P224)),U224="Alta",O224="07 - Relatório recebido — unidade apta",O224="11 - Orçamentos em análise técnica",O224="22 - Instalação/substituição autorizada")),MAX($AC$1:$AC$223)+1,"")</f>
        <v/>
      </c>
      <c r="AD224" s="69" t="str">
        <f aca="false">IF(AND(B224&lt;&gt;"",OR(ISNUMBER(SEARCH("CTO",P224)),LEFT(O224,2)="22",LEFT(O224,2)="23",LEFT(O224,2)="24",LEFT(O224,2)="25",LEFT(O224,2)="26",LEFT(O224,2)="27")),MAX($AD$1:$AD$223)+1,"")</f>
        <v/>
      </c>
      <c r="AE224" s="69" t="str">
        <f aca="false">IF(AND(B224&lt;&gt;"",D224=CONSULTA_UNIDADE!$B$4),MAX($AE$1:$AE$223)+1,"")</f>
        <v/>
      </c>
      <c r="AF224" s="69" t="str">
        <f aca="false">IF(AND(B224&lt;&gt;"",O224&lt;&gt;"27 - Instalação concluída",O224&lt;&gt;"28 - Encerrado",ISNUMBER(S224)),S224*1000+(1000-ROW()),"")</f>
        <v/>
      </c>
      <c r="AG224" s="69" t="str">
        <f aca="false">IF(AF224="","",RANK(AF224,$AF$2:$AF$500))</f>
        <v/>
      </c>
    </row>
    <row r="225" customFormat="false" ht="16.5" hidden="false" customHeight="true" outlineLevel="0" collapsed="false">
      <c r="A225" s="86"/>
      <c r="B225" s="86"/>
      <c r="C225" s="87" t="str">
        <f aca="false">IF(D225="","",IFERROR(INDEX(CADASTRO_VIVO_3CRE!$B$2:$B$150,MATCH(D225,CADASTRO_VIVO_3CRE!$E$2:$E$150,0)),""))</f>
        <v/>
      </c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8"/>
      <c r="S225" s="89" t="str">
        <f aca="true">IF(R225="","",TODAY()-INT(R225))</f>
        <v/>
      </c>
      <c r="T225" s="86"/>
      <c r="U225" s="86"/>
      <c r="V225" s="86"/>
      <c r="W225" s="88"/>
      <c r="X225" s="89" t="str">
        <f aca="true">IF(W225="","",IF(OR(O225="28 - Encerrado",O225="27 - Instalação concluída"),"Concluído",TODAY()-INT(W225)))</f>
        <v/>
      </c>
      <c r="Y225" s="90" t="str">
        <f aca="false">IF(OR(O225="28 - Encerrado",O225="27 - Instalação concluída"),"OK",IF(AND(B225&lt;&gt;"",S225=""),"ATENÇÃO (Sem data de atualização)",IF(S225="","",IF(S225&gt;30,"CRÍTICO (Sem Atualização &gt;30 dias)",IF(S225&gt;15,"ATENÇÃO (Sem Atualização &gt;15 dias)",IF(X225&gt;90,"CRÍTICO (Aberto &gt;90 dias)","OK"))))))</f>
        <v/>
      </c>
      <c r="Z225" s="90" t="str">
        <f aca="false">IF(B225="","",IF(OR(O225="27 - Instalação concluída",O225="28 - Encerrado"),"OK",IF(NOT(ISNUMBER(X225)),"",IF(X225&gt;365,"MUITO ANTIGO (&gt;1 ano)",IF(X225&gt;180,"ANTIGO (&gt;6 meses)",IF(X225&gt;90,"ATENÇÃO ANTIG. (&gt;3 meses)","OK"))))))</f>
        <v/>
      </c>
      <c r="AA225" s="86"/>
      <c r="AB225" s="69" t="str">
        <f aca="false">IF(AND(B225&lt;&gt;"",OR(T225="Pendente de Vistoria",T225="Não validada")),MAX($AB$1:$AB$224)+1,"")</f>
        <v/>
      </c>
      <c r="AC225" s="69" t="str">
        <f aca="false">IF(AND(B225&lt;&gt;"",OR(ISNUMBER(SEARCH("CTIN",P225)),U225="Alta",O225="07 - Relatório recebido — unidade apta",O225="11 - Orçamentos em análise técnica",O225="22 - Instalação/substituição autorizada")),MAX($AC$1:$AC$224)+1,"")</f>
        <v/>
      </c>
      <c r="AD225" s="69" t="str">
        <f aca="false">IF(AND(B225&lt;&gt;"",OR(ISNUMBER(SEARCH("CTO",P225)),LEFT(O225,2)="22",LEFT(O225,2)="23",LEFT(O225,2)="24",LEFT(O225,2)="25",LEFT(O225,2)="26",LEFT(O225,2)="27")),MAX($AD$1:$AD$224)+1,"")</f>
        <v/>
      </c>
      <c r="AE225" s="69" t="str">
        <f aca="false">IF(AND(B225&lt;&gt;"",D225=CONSULTA_UNIDADE!$B$4),MAX($AE$1:$AE$224)+1,"")</f>
        <v/>
      </c>
      <c r="AF225" s="69" t="str">
        <f aca="false">IF(AND(B225&lt;&gt;"",O225&lt;&gt;"27 - Instalação concluída",O225&lt;&gt;"28 - Encerrado",ISNUMBER(S225)),S225*1000+(1000-ROW()),"")</f>
        <v/>
      </c>
      <c r="AG225" s="69" t="str">
        <f aca="false">IF(AF225="","",RANK(AF225,$AF$2:$AF$500))</f>
        <v/>
      </c>
    </row>
    <row r="226" customFormat="false" ht="16.5" hidden="false" customHeight="true" outlineLevel="0" collapsed="false">
      <c r="A226" s="86"/>
      <c r="B226" s="86"/>
      <c r="C226" s="87" t="str">
        <f aca="false">IF(D226="","",IFERROR(INDEX(CADASTRO_VIVO_3CRE!$B$2:$B$150,MATCH(D226,CADASTRO_VIVO_3CRE!$E$2:$E$150,0)),""))</f>
        <v/>
      </c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8"/>
      <c r="S226" s="89" t="str">
        <f aca="true">IF(R226="","",TODAY()-INT(R226))</f>
        <v/>
      </c>
      <c r="T226" s="86"/>
      <c r="U226" s="86"/>
      <c r="V226" s="86"/>
      <c r="W226" s="88"/>
      <c r="X226" s="89" t="str">
        <f aca="true">IF(W226="","",IF(OR(O226="28 - Encerrado",O226="27 - Instalação concluída"),"Concluído",TODAY()-INT(W226)))</f>
        <v/>
      </c>
      <c r="Y226" s="90" t="str">
        <f aca="false">IF(OR(O226="28 - Encerrado",O226="27 - Instalação concluída"),"OK",IF(AND(B226&lt;&gt;"",S226=""),"ATENÇÃO (Sem data de atualização)",IF(S226="","",IF(S226&gt;30,"CRÍTICO (Sem Atualização &gt;30 dias)",IF(S226&gt;15,"ATENÇÃO (Sem Atualização &gt;15 dias)",IF(X226&gt;90,"CRÍTICO (Aberto &gt;90 dias)","OK"))))))</f>
        <v/>
      </c>
      <c r="Z226" s="90" t="str">
        <f aca="false">IF(B226="","",IF(OR(O226="27 - Instalação concluída",O226="28 - Encerrado"),"OK",IF(NOT(ISNUMBER(X226)),"",IF(X226&gt;365,"MUITO ANTIGO (&gt;1 ano)",IF(X226&gt;180,"ANTIGO (&gt;6 meses)",IF(X226&gt;90,"ATENÇÃO ANTIG. (&gt;3 meses)","OK"))))))</f>
        <v/>
      </c>
      <c r="AA226" s="86"/>
      <c r="AB226" s="69" t="str">
        <f aca="false">IF(AND(B226&lt;&gt;"",OR(T226="Pendente de Vistoria",T226="Não validada")),MAX($AB$1:$AB$225)+1,"")</f>
        <v/>
      </c>
      <c r="AC226" s="69" t="str">
        <f aca="false">IF(AND(B226&lt;&gt;"",OR(ISNUMBER(SEARCH("CTIN",P226)),U226="Alta",O226="07 - Relatório recebido — unidade apta",O226="11 - Orçamentos em análise técnica",O226="22 - Instalação/substituição autorizada")),MAX($AC$1:$AC$225)+1,"")</f>
        <v/>
      </c>
      <c r="AD226" s="69" t="str">
        <f aca="false">IF(AND(B226&lt;&gt;"",OR(ISNUMBER(SEARCH("CTO",P226)),LEFT(O226,2)="22",LEFT(O226,2)="23",LEFT(O226,2)="24",LEFT(O226,2)="25",LEFT(O226,2)="26",LEFT(O226,2)="27")),MAX($AD$1:$AD$225)+1,"")</f>
        <v/>
      </c>
      <c r="AE226" s="69" t="str">
        <f aca="false">IF(AND(B226&lt;&gt;"",D226=CONSULTA_UNIDADE!$B$4),MAX($AE$1:$AE$225)+1,"")</f>
        <v/>
      </c>
      <c r="AF226" s="69" t="str">
        <f aca="false">IF(AND(B226&lt;&gt;"",O226&lt;&gt;"27 - Instalação concluída",O226&lt;&gt;"28 - Encerrado",ISNUMBER(S226)),S226*1000+(1000-ROW()),"")</f>
        <v/>
      </c>
      <c r="AG226" s="69" t="str">
        <f aca="false">IF(AF226="","",RANK(AF226,$AF$2:$AF$500))</f>
        <v/>
      </c>
    </row>
    <row r="227" customFormat="false" ht="16.5" hidden="false" customHeight="true" outlineLevel="0" collapsed="false">
      <c r="A227" s="86"/>
      <c r="B227" s="86"/>
      <c r="C227" s="87" t="str">
        <f aca="false">IF(D227="","",IFERROR(INDEX(CADASTRO_VIVO_3CRE!$B$2:$B$150,MATCH(D227,CADASTRO_VIVO_3CRE!$E$2:$E$150,0)),""))</f>
        <v/>
      </c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8"/>
      <c r="S227" s="89" t="str">
        <f aca="true">IF(R227="","",TODAY()-INT(R227))</f>
        <v/>
      </c>
      <c r="T227" s="86"/>
      <c r="U227" s="86"/>
      <c r="V227" s="86"/>
      <c r="W227" s="88"/>
      <c r="X227" s="89" t="str">
        <f aca="true">IF(W227="","",IF(OR(O227="28 - Encerrado",O227="27 - Instalação concluída"),"Concluído",TODAY()-INT(W227)))</f>
        <v/>
      </c>
      <c r="Y227" s="90" t="str">
        <f aca="false">IF(OR(O227="28 - Encerrado",O227="27 - Instalação concluída"),"OK",IF(AND(B227&lt;&gt;"",S227=""),"ATENÇÃO (Sem data de atualização)",IF(S227="","",IF(S227&gt;30,"CRÍTICO (Sem Atualização &gt;30 dias)",IF(S227&gt;15,"ATENÇÃO (Sem Atualização &gt;15 dias)",IF(X227&gt;90,"CRÍTICO (Aberto &gt;90 dias)","OK"))))))</f>
        <v/>
      </c>
      <c r="Z227" s="90" t="str">
        <f aca="false">IF(B227="","",IF(OR(O227="27 - Instalação concluída",O227="28 - Encerrado"),"OK",IF(NOT(ISNUMBER(X227)),"",IF(X227&gt;365,"MUITO ANTIGO (&gt;1 ano)",IF(X227&gt;180,"ANTIGO (&gt;6 meses)",IF(X227&gt;90,"ATENÇÃO ANTIG. (&gt;3 meses)","OK"))))))</f>
        <v/>
      </c>
      <c r="AA227" s="86"/>
      <c r="AB227" s="69" t="str">
        <f aca="false">IF(AND(B227&lt;&gt;"",OR(T227="Pendente de Vistoria",T227="Não validada")),MAX($AB$1:$AB$226)+1,"")</f>
        <v/>
      </c>
      <c r="AC227" s="69" t="str">
        <f aca="false">IF(AND(B227&lt;&gt;"",OR(ISNUMBER(SEARCH("CTIN",P227)),U227="Alta",O227="07 - Relatório recebido — unidade apta",O227="11 - Orçamentos em análise técnica",O227="22 - Instalação/substituição autorizada")),MAX($AC$1:$AC$226)+1,"")</f>
        <v/>
      </c>
      <c r="AD227" s="69" t="str">
        <f aca="false">IF(AND(B227&lt;&gt;"",OR(ISNUMBER(SEARCH("CTO",P227)),LEFT(O227,2)="22",LEFT(O227,2)="23",LEFT(O227,2)="24",LEFT(O227,2)="25",LEFT(O227,2)="26",LEFT(O227,2)="27")),MAX($AD$1:$AD$226)+1,"")</f>
        <v/>
      </c>
      <c r="AE227" s="69" t="str">
        <f aca="false">IF(AND(B227&lt;&gt;"",D227=CONSULTA_UNIDADE!$B$4),MAX($AE$1:$AE$226)+1,"")</f>
        <v/>
      </c>
      <c r="AF227" s="69" t="str">
        <f aca="false">IF(AND(B227&lt;&gt;"",O227&lt;&gt;"27 - Instalação concluída",O227&lt;&gt;"28 - Encerrado",ISNUMBER(S227)),S227*1000+(1000-ROW()),"")</f>
        <v/>
      </c>
      <c r="AG227" s="69" t="str">
        <f aca="false">IF(AF227="","",RANK(AF227,$AF$2:$AF$500))</f>
        <v/>
      </c>
    </row>
    <row r="228" customFormat="false" ht="16.5" hidden="false" customHeight="true" outlineLevel="0" collapsed="false">
      <c r="A228" s="86"/>
      <c r="B228" s="86"/>
      <c r="C228" s="87" t="str">
        <f aca="false">IF(D228="","",IFERROR(INDEX(CADASTRO_VIVO_3CRE!$B$2:$B$150,MATCH(D228,CADASTRO_VIVO_3CRE!$E$2:$E$150,0)),""))</f>
        <v/>
      </c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8"/>
      <c r="S228" s="89" t="str">
        <f aca="true">IF(R228="","",TODAY()-INT(R228))</f>
        <v/>
      </c>
      <c r="T228" s="86"/>
      <c r="U228" s="86"/>
      <c r="V228" s="86"/>
      <c r="W228" s="88"/>
      <c r="X228" s="89" t="str">
        <f aca="true">IF(W228="","",IF(OR(O228="28 - Encerrado",O228="27 - Instalação concluída"),"Concluído",TODAY()-INT(W228)))</f>
        <v/>
      </c>
      <c r="Y228" s="90" t="str">
        <f aca="false">IF(OR(O228="28 - Encerrado",O228="27 - Instalação concluída"),"OK",IF(AND(B228&lt;&gt;"",S228=""),"ATENÇÃO (Sem data de atualização)",IF(S228="","",IF(S228&gt;30,"CRÍTICO (Sem Atualização &gt;30 dias)",IF(S228&gt;15,"ATENÇÃO (Sem Atualização &gt;15 dias)",IF(X228&gt;90,"CRÍTICO (Aberto &gt;90 dias)","OK"))))))</f>
        <v/>
      </c>
      <c r="Z228" s="90" t="str">
        <f aca="false">IF(B228="","",IF(OR(O228="27 - Instalação concluída",O228="28 - Encerrado"),"OK",IF(NOT(ISNUMBER(X228)),"",IF(X228&gt;365,"MUITO ANTIGO (&gt;1 ano)",IF(X228&gt;180,"ANTIGO (&gt;6 meses)",IF(X228&gt;90,"ATENÇÃO ANTIG. (&gt;3 meses)","OK"))))))</f>
        <v/>
      </c>
      <c r="AA228" s="86"/>
      <c r="AB228" s="69" t="str">
        <f aca="false">IF(AND(B228&lt;&gt;"",OR(T228="Pendente de Vistoria",T228="Não validada")),MAX($AB$1:$AB$227)+1,"")</f>
        <v/>
      </c>
      <c r="AC228" s="69" t="str">
        <f aca="false">IF(AND(B228&lt;&gt;"",OR(ISNUMBER(SEARCH("CTIN",P228)),U228="Alta",O228="07 - Relatório recebido — unidade apta",O228="11 - Orçamentos em análise técnica",O228="22 - Instalação/substituição autorizada")),MAX($AC$1:$AC$227)+1,"")</f>
        <v/>
      </c>
      <c r="AD228" s="69" t="str">
        <f aca="false">IF(AND(B228&lt;&gt;"",OR(ISNUMBER(SEARCH("CTO",P228)),LEFT(O228,2)="22",LEFT(O228,2)="23",LEFT(O228,2)="24",LEFT(O228,2)="25",LEFT(O228,2)="26",LEFT(O228,2)="27")),MAX($AD$1:$AD$227)+1,"")</f>
        <v/>
      </c>
      <c r="AE228" s="69" t="str">
        <f aca="false">IF(AND(B228&lt;&gt;"",D228=CONSULTA_UNIDADE!$B$4),MAX($AE$1:$AE$227)+1,"")</f>
        <v/>
      </c>
      <c r="AF228" s="69" t="str">
        <f aca="false">IF(AND(B228&lt;&gt;"",O228&lt;&gt;"27 - Instalação concluída",O228&lt;&gt;"28 - Encerrado",ISNUMBER(S228)),S228*1000+(1000-ROW()),"")</f>
        <v/>
      </c>
      <c r="AG228" s="69" t="str">
        <f aca="false">IF(AF228="","",RANK(AF228,$AF$2:$AF$500))</f>
        <v/>
      </c>
    </row>
    <row r="229" customFormat="false" ht="16.5" hidden="false" customHeight="true" outlineLevel="0" collapsed="false">
      <c r="A229" s="86"/>
      <c r="B229" s="86"/>
      <c r="C229" s="87" t="str">
        <f aca="false">IF(D229="","",IFERROR(INDEX(CADASTRO_VIVO_3CRE!$B$2:$B$150,MATCH(D229,CADASTRO_VIVO_3CRE!$E$2:$E$150,0)),""))</f>
        <v/>
      </c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8"/>
      <c r="S229" s="89" t="str">
        <f aca="true">IF(R229="","",TODAY()-INT(R229))</f>
        <v/>
      </c>
      <c r="T229" s="86"/>
      <c r="U229" s="86"/>
      <c r="V229" s="86"/>
      <c r="W229" s="88"/>
      <c r="X229" s="89" t="str">
        <f aca="true">IF(W229="","",IF(OR(O229="28 - Encerrado",O229="27 - Instalação concluída"),"Concluído",TODAY()-INT(W229)))</f>
        <v/>
      </c>
      <c r="Y229" s="90" t="str">
        <f aca="false">IF(OR(O229="28 - Encerrado",O229="27 - Instalação concluída"),"OK",IF(AND(B229&lt;&gt;"",S229=""),"ATENÇÃO (Sem data de atualização)",IF(S229="","",IF(S229&gt;30,"CRÍTICO (Sem Atualização &gt;30 dias)",IF(S229&gt;15,"ATENÇÃO (Sem Atualização &gt;15 dias)",IF(X229&gt;90,"CRÍTICO (Aberto &gt;90 dias)","OK"))))))</f>
        <v/>
      </c>
      <c r="Z229" s="90" t="str">
        <f aca="false">IF(B229="","",IF(OR(O229="27 - Instalação concluída",O229="28 - Encerrado"),"OK",IF(NOT(ISNUMBER(X229)),"",IF(X229&gt;365,"MUITO ANTIGO (&gt;1 ano)",IF(X229&gt;180,"ANTIGO (&gt;6 meses)",IF(X229&gt;90,"ATENÇÃO ANTIG. (&gt;3 meses)","OK"))))))</f>
        <v/>
      </c>
      <c r="AA229" s="86"/>
      <c r="AB229" s="69" t="str">
        <f aca="false">IF(AND(B229&lt;&gt;"",OR(T229="Pendente de Vistoria",T229="Não validada")),MAX($AB$1:$AB$228)+1,"")</f>
        <v/>
      </c>
      <c r="AC229" s="69" t="str">
        <f aca="false">IF(AND(B229&lt;&gt;"",OR(ISNUMBER(SEARCH("CTIN",P229)),U229="Alta",O229="07 - Relatório recebido — unidade apta",O229="11 - Orçamentos em análise técnica",O229="22 - Instalação/substituição autorizada")),MAX($AC$1:$AC$228)+1,"")</f>
        <v/>
      </c>
      <c r="AD229" s="69" t="str">
        <f aca="false">IF(AND(B229&lt;&gt;"",OR(ISNUMBER(SEARCH("CTO",P229)),LEFT(O229,2)="22",LEFT(O229,2)="23",LEFT(O229,2)="24",LEFT(O229,2)="25",LEFT(O229,2)="26",LEFT(O229,2)="27")),MAX($AD$1:$AD$228)+1,"")</f>
        <v/>
      </c>
      <c r="AE229" s="69" t="str">
        <f aca="false">IF(AND(B229&lt;&gt;"",D229=CONSULTA_UNIDADE!$B$4),MAX($AE$1:$AE$228)+1,"")</f>
        <v/>
      </c>
      <c r="AF229" s="69" t="str">
        <f aca="false">IF(AND(B229&lt;&gt;"",O229&lt;&gt;"27 - Instalação concluída",O229&lt;&gt;"28 - Encerrado",ISNUMBER(S229)),S229*1000+(1000-ROW()),"")</f>
        <v/>
      </c>
      <c r="AG229" s="69" t="str">
        <f aca="false">IF(AF229="","",RANK(AF229,$AF$2:$AF$500))</f>
        <v/>
      </c>
    </row>
    <row r="230" customFormat="false" ht="16.5" hidden="false" customHeight="true" outlineLevel="0" collapsed="false">
      <c r="A230" s="86"/>
      <c r="B230" s="86"/>
      <c r="C230" s="87" t="str">
        <f aca="false">IF(D230="","",IFERROR(INDEX(CADASTRO_VIVO_3CRE!$B$2:$B$150,MATCH(D230,CADASTRO_VIVO_3CRE!$E$2:$E$150,0)),""))</f>
        <v/>
      </c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8"/>
      <c r="S230" s="89" t="str">
        <f aca="true">IF(R230="","",TODAY()-INT(R230))</f>
        <v/>
      </c>
      <c r="T230" s="86"/>
      <c r="U230" s="86"/>
      <c r="V230" s="86"/>
      <c r="W230" s="88"/>
      <c r="X230" s="89" t="str">
        <f aca="true">IF(W230="","",IF(OR(O230="28 - Encerrado",O230="27 - Instalação concluída"),"Concluído",TODAY()-INT(W230)))</f>
        <v/>
      </c>
      <c r="Y230" s="90" t="str">
        <f aca="false">IF(OR(O230="28 - Encerrado",O230="27 - Instalação concluída"),"OK",IF(AND(B230&lt;&gt;"",S230=""),"ATENÇÃO (Sem data de atualização)",IF(S230="","",IF(S230&gt;30,"CRÍTICO (Sem Atualização &gt;30 dias)",IF(S230&gt;15,"ATENÇÃO (Sem Atualização &gt;15 dias)",IF(X230&gt;90,"CRÍTICO (Aberto &gt;90 dias)","OK"))))))</f>
        <v/>
      </c>
      <c r="Z230" s="90" t="str">
        <f aca="false">IF(B230="","",IF(OR(O230="27 - Instalação concluída",O230="28 - Encerrado"),"OK",IF(NOT(ISNUMBER(X230)),"",IF(X230&gt;365,"MUITO ANTIGO (&gt;1 ano)",IF(X230&gt;180,"ANTIGO (&gt;6 meses)",IF(X230&gt;90,"ATENÇÃO ANTIG. (&gt;3 meses)","OK"))))))</f>
        <v/>
      </c>
      <c r="AA230" s="86"/>
      <c r="AB230" s="69" t="str">
        <f aca="false">IF(AND(B230&lt;&gt;"",OR(T230="Pendente de Vistoria",T230="Não validada")),MAX($AB$1:$AB$229)+1,"")</f>
        <v/>
      </c>
      <c r="AC230" s="69" t="str">
        <f aca="false">IF(AND(B230&lt;&gt;"",OR(ISNUMBER(SEARCH("CTIN",P230)),U230="Alta",O230="07 - Relatório recebido — unidade apta",O230="11 - Orçamentos em análise técnica",O230="22 - Instalação/substituição autorizada")),MAX($AC$1:$AC$229)+1,"")</f>
        <v/>
      </c>
      <c r="AD230" s="69" t="str">
        <f aca="false">IF(AND(B230&lt;&gt;"",OR(ISNUMBER(SEARCH("CTO",P230)),LEFT(O230,2)="22",LEFT(O230,2)="23",LEFT(O230,2)="24",LEFT(O230,2)="25",LEFT(O230,2)="26",LEFT(O230,2)="27")),MAX($AD$1:$AD$229)+1,"")</f>
        <v/>
      </c>
      <c r="AE230" s="69" t="str">
        <f aca="false">IF(AND(B230&lt;&gt;"",D230=CONSULTA_UNIDADE!$B$4),MAX($AE$1:$AE$229)+1,"")</f>
        <v/>
      </c>
      <c r="AF230" s="69" t="str">
        <f aca="false">IF(AND(B230&lt;&gt;"",O230&lt;&gt;"27 - Instalação concluída",O230&lt;&gt;"28 - Encerrado",ISNUMBER(S230)),S230*1000+(1000-ROW()),"")</f>
        <v/>
      </c>
      <c r="AG230" s="69" t="str">
        <f aca="false">IF(AF230="","",RANK(AF230,$AF$2:$AF$500))</f>
        <v/>
      </c>
    </row>
    <row r="231" customFormat="false" ht="16.5" hidden="false" customHeight="true" outlineLevel="0" collapsed="false">
      <c r="A231" s="86"/>
      <c r="B231" s="86"/>
      <c r="C231" s="87" t="str">
        <f aca="false">IF(D231="","",IFERROR(INDEX(CADASTRO_VIVO_3CRE!$B$2:$B$150,MATCH(D231,CADASTRO_VIVO_3CRE!$E$2:$E$150,0)),""))</f>
        <v/>
      </c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8"/>
      <c r="S231" s="89" t="str">
        <f aca="true">IF(R231="","",TODAY()-INT(R231))</f>
        <v/>
      </c>
      <c r="T231" s="86"/>
      <c r="U231" s="86"/>
      <c r="V231" s="86"/>
      <c r="W231" s="88"/>
      <c r="X231" s="89" t="str">
        <f aca="true">IF(W231="","",IF(OR(O231="28 - Encerrado",O231="27 - Instalação concluída"),"Concluído",TODAY()-INT(W231)))</f>
        <v/>
      </c>
      <c r="Y231" s="90" t="str">
        <f aca="false">IF(OR(O231="28 - Encerrado",O231="27 - Instalação concluída"),"OK",IF(AND(B231&lt;&gt;"",S231=""),"ATENÇÃO (Sem data de atualização)",IF(S231="","",IF(S231&gt;30,"CRÍTICO (Sem Atualização &gt;30 dias)",IF(S231&gt;15,"ATENÇÃO (Sem Atualização &gt;15 dias)",IF(X231&gt;90,"CRÍTICO (Aberto &gt;90 dias)","OK"))))))</f>
        <v/>
      </c>
      <c r="Z231" s="90" t="str">
        <f aca="false">IF(B231="","",IF(OR(O231="27 - Instalação concluída",O231="28 - Encerrado"),"OK",IF(NOT(ISNUMBER(X231)),"",IF(X231&gt;365,"MUITO ANTIGO (&gt;1 ano)",IF(X231&gt;180,"ANTIGO (&gt;6 meses)",IF(X231&gt;90,"ATENÇÃO ANTIG. (&gt;3 meses)","OK"))))))</f>
        <v/>
      </c>
      <c r="AA231" s="86"/>
      <c r="AB231" s="69" t="str">
        <f aca="false">IF(AND(B231&lt;&gt;"",OR(T231="Pendente de Vistoria",T231="Não validada")),MAX($AB$1:$AB$230)+1,"")</f>
        <v/>
      </c>
      <c r="AC231" s="69" t="str">
        <f aca="false">IF(AND(B231&lt;&gt;"",OR(ISNUMBER(SEARCH("CTIN",P231)),U231="Alta",O231="07 - Relatório recebido — unidade apta",O231="11 - Orçamentos em análise técnica",O231="22 - Instalação/substituição autorizada")),MAX($AC$1:$AC$230)+1,"")</f>
        <v/>
      </c>
      <c r="AD231" s="69" t="str">
        <f aca="false">IF(AND(B231&lt;&gt;"",OR(ISNUMBER(SEARCH("CTO",P231)),LEFT(O231,2)="22",LEFT(O231,2)="23",LEFT(O231,2)="24",LEFT(O231,2)="25",LEFT(O231,2)="26",LEFT(O231,2)="27")),MAX($AD$1:$AD$230)+1,"")</f>
        <v/>
      </c>
      <c r="AE231" s="69" t="str">
        <f aca="false">IF(AND(B231&lt;&gt;"",D231=CONSULTA_UNIDADE!$B$4),MAX($AE$1:$AE$230)+1,"")</f>
        <v/>
      </c>
      <c r="AF231" s="69" t="str">
        <f aca="false">IF(AND(B231&lt;&gt;"",O231&lt;&gt;"27 - Instalação concluída",O231&lt;&gt;"28 - Encerrado",ISNUMBER(S231)),S231*1000+(1000-ROW()),"")</f>
        <v/>
      </c>
      <c r="AG231" s="69" t="str">
        <f aca="false">IF(AF231="","",RANK(AF231,$AF$2:$AF$500))</f>
        <v/>
      </c>
    </row>
    <row r="232" customFormat="false" ht="16.5" hidden="false" customHeight="true" outlineLevel="0" collapsed="false">
      <c r="A232" s="86"/>
      <c r="B232" s="86"/>
      <c r="C232" s="87" t="str">
        <f aca="false">IF(D232="","",IFERROR(INDEX(CADASTRO_VIVO_3CRE!$B$2:$B$150,MATCH(D232,CADASTRO_VIVO_3CRE!$E$2:$E$150,0)),""))</f>
        <v/>
      </c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8"/>
      <c r="S232" s="89" t="str">
        <f aca="true">IF(R232="","",TODAY()-INT(R232))</f>
        <v/>
      </c>
      <c r="T232" s="86"/>
      <c r="U232" s="86"/>
      <c r="V232" s="86"/>
      <c r="W232" s="88"/>
      <c r="X232" s="89" t="str">
        <f aca="true">IF(W232="","",IF(OR(O232="28 - Encerrado",O232="27 - Instalação concluída"),"Concluído",TODAY()-INT(W232)))</f>
        <v/>
      </c>
      <c r="Y232" s="90" t="str">
        <f aca="false">IF(OR(O232="28 - Encerrado",O232="27 - Instalação concluída"),"OK",IF(AND(B232&lt;&gt;"",S232=""),"ATENÇÃO (Sem data de atualização)",IF(S232="","",IF(S232&gt;30,"CRÍTICO (Sem Atualização &gt;30 dias)",IF(S232&gt;15,"ATENÇÃO (Sem Atualização &gt;15 dias)",IF(X232&gt;90,"CRÍTICO (Aberto &gt;90 dias)","OK"))))))</f>
        <v/>
      </c>
      <c r="Z232" s="90" t="str">
        <f aca="false">IF(B232="","",IF(OR(O232="27 - Instalação concluída",O232="28 - Encerrado"),"OK",IF(NOT(ISNUMBER(X232)),"",IF(X232&gt;365,"MUITO ANTIGO (&gt;1 ano)",IF(X232&gt;180,"ANTIGO (&gt;6 meses)",IF(X232&gt;90,"ATENÇÃO ANTIG. (&gt;3 meses)","OK"))))))</f>
        <v/>
      </c>
      <c r="AA232" s="86"/>
      <c r="AB232" s="69" t="str">
        <f aca="false">IF(AND(B232&lt;&gt;"",OR(T232="Pendente de Vistoria",T232="Não validada")),MAX($AB$1:$AB$231)+1,"")</f>
        <v/>
      </c>
      <c r="AC232" s="69" t="str">
        <f aca="false">IF(AND(B232&lt;&gt;"",OR(ISNUMBER(SEARCH("CTIN",P232)),U232="Alta",O232="07 - Relatório recebido — unidade apta",O232="11 - Orçamentos em análise técnica",O232="22 - Instalação/substituição autorizada")),MAX($AC$1:$AC$231)+1,"")</f>
        <v/>
      </c>
      <c r="AD232" s="69" t="str">
        <f aca="false">IF(AND(B232&lt;&gt;"",OR(ISNUMBER(SEARCH("CTO",P232)),LEFT(O232,2)="22",LEFT(O232,2)="23",LEFT(O232,2)="24",LEFT(O232,2)="25",LEFT(O232,2)="26",LEFT(O232,2)="27")),MAX($AD$1:$AD$231)+1,"")</f>
        <v/>
      </c>
      <c r="AE232" s="69" t="str">
        <f aca="false">IF(AND(B232&lt;&gt;"",D232=CONSULTA_UNIDADE!$B$4),MAX($AE$1:$AE$231)+1,"")</f>
        <v/>
      </c>
      <c r="AF232" s="69" t="str">
        <f aca="false">IF(AND(B232&lt;&gt;"",O232&lt;&gt;"27 - Instalação concluída",O232&lt;&gt;"28 - Encerrado",ISNUMBER(S232)),S232*1000+(1000-ROW()),"")</f>
        <v/>
      </c>
      <c r="AG232" s="69" t="str">
        <f aca="false">IF(AF232="","",RANK(AF232,$AF$2:$AF$500))</f>
        <v/>
      </c>
    </row>
    <row r="233" customFormat="false" ht="16.5" hidden="false" customHeight="true" outlineLevel="0" collapsed="false">
      <c r="A233" s="86"/>
      <c r="B233" s="86"/>
      <c r="C233" s="87" t="str">
        <f aca="false">IF(D233="","",IFERROR(INDEX(CADASTRO_VIVO_3CRE!$B$2:$B$150,MATCH(D233,CADASTRO_VIVO_3CRE!$E$2:$E$150,0)),""))</f>
        <v/>
      </c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8"/>
      <c r="S233" s="89" t="str">
        <f aca="true">IF(R233="","",TODAY()-INT(R233))</f>
        <v/>
      </c>
      <c r="T233" s="86"/>
      <c r="U233" s="86"/>
      <c r="V233" s="86"/>
      <c r="W233" s="88"/>
      <c r="X233" s="89" t="str">
        <f aca="true">IF(W233="","",IF(OR(O233="28 - Encerrado",O233="27 - Instalação concluída"),"Concluído",TODAY()-INT(W233)))</f>
        <v/>
      </c>
      <c r="Y233" s="90" t="str">
        <f aca="false">IF(OR(O233="28 - Encerrado",O233="27 - Instalação concluída"),"OK",IF(AND(B233&lt;&gt;"",S233=""),"ATENÇÃO (Sem data de atualização)",IF(S233="","",IF(S233&gt;30,"CRÍTICO (Sem Atualização &gt;30 dias)",IF(S233&gt;15,"ATENÇÃO (Sem Atualização &gt;15 dias)",IF(X233&gt;90,"CRÍTICO (Aberto &gt;90 dias)","OK"))))))</f>
        <v/>
      </c>
      <c r="Z233" s="90" t="str">
        <f aca="false">IF(B233="","",IF(OR(O233="27 - Instalação concluída",O233="28 - Encerrado"),"OK",IF(NOT(ISNUMBER(X233)),"",IF(X233&gt;365,"MUITO ANTIGO (&gt;1 ano)",IF(X233&gt;180,"ANTIGO (&gt;6 meses)",IF(X233&gt;90,"ATENÇÃO ANTIG. (&gt;3 meses)","OK"))))))</f>
        <v/>
      </c>
      <c r="AA233" s="86"/>
      <c r="AB233" s="69" t="str">
        <f aca="false">IF(AND(B233&lt;&gt;"",OR(T233="Pendente de Vistoria",T233="Não validada")),MAX($AB$1:$AB$232)+1,"")</f>
        <v/>
      </c>
      <c r="AC233" s="69" t="str">
        <f aca="false">IF(AND(B233&lt;&gt;"",OR(ISNUMBER(SEARCH("CTIN",P233)),U233="Alta",O233="07 - Relatório recebido — unidade apta",O233="11 - Orçamentos em análise técnica",O233="22 - Instalação/substituição autorizada")),MAX($AC$1:$AC$232)+1,"")</f>
        <v/>
      </c>
      <c r="AD233" s="69" t="str">
        <f aca="false">IF(AND(B233&lt;&gt;"",OR(ISNUMBER(SEARCH("CTO",P233)),LEFT(O233,2)="22",LEFT(O233,2)="23",LEFT(O233,2)="24",LEFT(O233,2)="25",LEFT(O233,2)="26",LEFT(O233,2)="27")),MAX($AD$1:$AD$232)+1,"")</f>
        <v/>
      </c>
      <c r="AE233" s="69" t="str">
        <f aca="false">IF(AND(B233&lt;&gt;"",D233=CONSULTA_UNIDADE!$B$4),MAX($AE$1:$AE$232)+1,"")</f>
        <v/>
      </c>
      <c r="AF233" s="69" t="str">
        <f aca="false">IF(AND(B233&lt;&gt;"",O233&lt;&gt;"27 - Instalação concluída",O233&lt;&gt;"28 - Encerrado",ISNUMBER(S233)),S233*1000+(1000-ROW()),"")</f>
        <v/>
      </c>
      <c r="AG233" s="69" t="str">
        <f aca="false">IF(AF233="","",RANK(AF233,$AF$2:$AF$500))</f>
        <v/>
      </c>
    </row>
    <row r="234" customFormat="false" ht="16.5" hidden="false" customHeight="true" outlineLevel="0" collapsed="false">
      <c r="A234" s="86"/>
      <c r="B234" s="86"/>
      <c r="C234" s="87" t="str">
        <f aca="false">IF(D234="","",IFERROR(INDEX(CADASTRO_VIVO_3CRE!$B$2:$B$150,MATCH(D234,CADASTRO_VIVO_3CRE!$E$2:$E$150,0)),""))</f>
        <v/>
      </c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8"/>
      <c r="S234" s="89" t="str">
        <f aca="true">IF(R234="","",TODAY()-INT(R234))</f>
        <v/>
      </c>
      <c r="T234" s="86"/>
      <c r="U234" s="86"/>
      <c r="V234" s="86"/>
      <c r="W234" s="88"/>
      <c r="X234" s="89" t="str">
        <f aca="true">IF(W234="","",IF(OR(O234="28 - Encerrado",O234="27 - Instalação concluída"),"Concluído",TODAY()-INT(W234)))</f>
        <v/>
      </c>
      <c r="Y234" s="90" t="str">
        <f aca="false">IF(OR(O234="28 - Encerrado",O234="27 - Instalação concluída"),"OK",IF(AND(B234&lt;&gt;"",S234=""),"ATENÇÃO (Sem data de atualização)",IF(S234="","",IF(S234&gt;30,"CRÍTICO (Sem Atualização &gt;30 dias)",IF(S234&gt;15,"ATENÇÃO (Sem Atualização &gt;15 dias)",IF(X234&gt;90,"CRÍTICO (Aberto &gt;90 dias)","OK"))))))</f>
        <v/>
      </c>
      <c r="Z234" s="90" t="str">
        <f aca="false">IF(B234="","",IF(OR(O234="27 - Instalação concluída",O234="28 - Encerrado"),"OK",IF(NOT(ISNUMBER(X234)),"",IF(X234&gt;365,"MUITO ANTIGO (&gt;1 ano)",IF(X234&gt;180,"ANTIGO (&gt;6 meses)",IF(X234&gt;90,"ATENÇÃO ANTIG. (&gt;3 meses)","OK"))))))</f>
        <v/>
      </c>
      <c r="AA234" s="86"/>
      <c r="AB234" s="69" t="str">
        <f aca="false">IF(AND(B234&lt;&gt;"",OR(T234="Pendente de Vistoria",T234="Não validada")),MAX($AB$1:$AB$233)+1,"")</f>
        <v/>
      </c>
      <c r="AC234" s="69" t="str">
        <f aca="false">IF(AND(B234&lt;&gt;"",OR(ISNUMBER(SEARCH("CTIN",P234)),U234="Alta",O234="07 - Relatório recebido — unidade apta",O234="11 - Orçamentos em análise técnica",O234="22 - Instalação/substituição autorizada")),MAX($AC$1:$AC$233)+1,"")</f>
        <v/>
      </c>
      <c r="AD234" s="69" t="str">
        <f aca="false">IF(AND(B234&lt;&gt;"",OR(ISNUMBER(SEARCH("CTO",P234)),LEFT(O234,2)="22",LEFT(O234,2)="23",LEFT(O234,2)="24",LEFT(O234,2)="25",LEFT(O234,2)="26",LEFT(O234,2)="27")),MAX($AD$1:$AD$233)+1,"")</f>
        <v/>
      </c>
      <c r="AE234" s="69" t="str">
        <f aca="false">IF(AND(B234&lt;&gt;"",D234=CONSULTA_UNIDADE!$B$4),MAX($AE$1:$AE$233)+1,"")</f>
        <v/>
      </c>
      <c r="AF234" s="69" t="str">
        <f aca="false">IF(AND(B234&lt;&gt;"",O234&lt;&gt;"27 - Instalação concluída",O234&lt;&gt;"28 - Encerrado",ISNUMBER(S234)),S234*1000+(1000-ROW()),"")</f>
        <v/>
      </c>
      <c r="AG234" s="69" t="str">
        <f aca="false">IF(AF234="","",RANK(AF234,$AF$2:$AF$500))</f>
        <v/>
      </c>
    </row>
    <row r="235" customFormat="false" ht="16.5" hidden="false" customHeight="true" outlineLevel="0" collapsed="false">
      <c r="A235" s="86"/>
      <c r="B235" s="86"/>
      <c r="C235" s="87" t="str">
        <f aca="false">IF(D235="","",IFERROR(INDEX(CADASTRO_VIVO_3CRE!$B$2:$B$150,MATCH(D235,CADASTRO_VIVO_3CRE!$E$2:$E$150,0)),""))</f>
        <v/>
      </c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8"/>
      <c r="S235" s="89" t="str">
        <f aca="true">IF(R235="","",TODAY()-INT(R235))</f>
        <v/>
      </c>
      <c r="T235" s="86"/>
      <c r="U235" s="86"/>
      <c r="V235" s="86"/>
      <c r="W235" s="88"/>
      <c r="X235" s="89" t="str">
        <f aca="true">IF(W235="","",IF(OR(O235="28 - Encerrado",O235="27 - Instalação concluída"),"Concluído",TODAY()-INT(W235)))</f>
        <v/>
      </c>
      <c r="Y235" s="90" t="str">
        <f aca="false">IF(OR(O235="28 - Encerrado",O235="27 - Instalação concluída"),"OK",IF(AND(B235&lt;&gt;"",S235=""),"ATENÇÃO (Sem data de atualização)",IF(S235="","",IF(S235&gt;30,"CRÍTICO (Sem Atualização &gt;30 dias)",IF(S235&gt;15,"ATENÇÃO (Sem Atualização &gt;15 dias)",IF(X235&gt;90,"CRÍTICO (Aberto &gt;90 dias)","OK"))))))</f>
        <v/>
      </c>
      <c r="Z235" s="90" t="str">
        <f aca="false">IF(B235="","",IF(OR(O235="27 - Instalação concluída",O235="28 - Encerrado"),"OK",IF(NOT(ISNUMBER(X235)),"",IF(X235&gt;365,"MUITO ANTIGO (&gt;1 ano)",IF(X235&gt;180,"ANTIGO (&gt;6 meses)",IF(X235&gt;90,"ATENÇÃO ANTIG. (&gt;3 meses)","OK"))))))</f>
        <v/>
      </c>
      <c r="AA235" s="86"/>
      <c r="AB235" s="69" t="str">
        <f aca="false">IF(AND(B235&lt;&gt;"",OR(T235="Pendente de Vistoria",T235="Não validada")),MAX($AB$1:$AB$234)+1,"")</f>
        <v/>
      </c>
      <c r="AC235" s="69" t="str">
        <f aca="false">IF(AND(B235&lt;&gt;"",OR(ISNUMBER(SEARCH("CTIN",P235)),U235="Alta",O235="07 - Relatório recebido — unidade apta",O235="11 - Orçamentos em análise técnica",O235="22 - Instalação/substituição autorizada")),MAX($AC$1:$AC$234)+1,"")</f>
        <v/>
      </c>
      <c r="AD235" s="69" t="str">
        <f aca="false">IF(AND(B235&lt;&gt;"",OR(ISNUMBER(SEARCH("CTO",P235)),LEFT(O235,2)="22",LEFT(O235,2)="23",LEFT(O235,2)="24",LEFT(O235,2)="25",LEFT(O235,2)="26",LEFT(O235,2)="27")),MAX($AD$1:$AD$234)+1,"")</f>
        <v/>
      </c>
      <c r="AE235" s="69" t="str">
        <f aca="false">IF(AND(B235&lt;&gt;"",D235=CONSULTA_UNIDADE!$B$4),MAX($AE$1:$AE$234)+1,"")</f>
        <v/>
      </c>
      <c r="AF235" s="69" t="str">
        <f aca="false">IF(AND(B235&lt;&gt;"",O235&lt;&gt;"27 - Instalação concluída",O235&lt;&gt;"28 - Encerrado",ISNUMBER(S235)),S235*1000+(1000-ROW()),"")</f>
        <v/>
      </c>
      <c r="AG235" s="69" t="str">
        <f aca="false">IF(AF235="","",RANK(AF235,$AF$2:$AF$500))</f>
        <v/>
      </c>
    </row>
    <row r="236" customFormat="false" ht="16.5" hidden="false" customHeight="true" outlineLevel="0" collapsed="false">
      <c r="A236" s="86"/>
      <c r="B236" s="86"/>
      <c r="C236" s="87" t="str">
        <f aca="false">IF(D236="","",IFERROR(INDEX(CADASTRO_VIVO_3CRE!$B$2:$B$150,MATCH(D236,CADASTRO_VIVO_3CRE!$E$2:$E$150,0)),""))</f>
        <v/>
      </c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8"/>
      <c r="S236" s="89" t="str">
        <f aca="true">IF(R236="","",TODAY()-INT(R236))</f>
        <v/>
      </c>
      <c r="T236" s="86"/>
      <c r="U236" s="86"/>
      <c r="V236" s="86"/>
      <c r="W236" s="88"/>
      <c r="X236" s="89" t="str">
        <f aca="true">IF(W236="","",IF(OR(O236="28 - Encerrado",O236="27 - Instalação concluída"),"Concluído",TODAY()-INT(W236)))</f>
        <v/>
      </c>
      <c r="Y236" s="90" t="str">
        <f aca="false">IF(OR(O236="28 - Encerrado",O236="27 - Instalação concluída"),"OK",IF(AND(B236&lt;&gt;"",S236=""),"ATENÇÃO (Sem data de atualização)",IF(S236="","",IF(S236&gt;30,"CRÍTICO (Sem Atualização &gt;30 dias)",IF(S236&gt;15,"ATENÇÃO (Sem Atualização &gt;15 dias)",IF(X236&gt;90,"CRÍTICO (Aberto &gt;90 dias)","OK"))))))</f>
        <v/>
      </c>
      <c r="Z236" s="90" t="str">
        <f aca="false">IF(B236="","",IF(OR(O236="27 - Instalação concluída",O236="28 - Encerrado"),"OK",IF(NOT(ISNUMBER(X236)),"",IF(X236&gt;365,"MUITO ANTIGO (&gt;1 ano)",IF(X236&gt;180,"ANTIGO (&gt;6 meses)",IF(X236&gt;90,"ATENÇÃO ANTIG. (&gt;3 meses)","OK"))))))</f>
        <v/>
      </c>
      <c r="AA236" s="86"/>
      <c r="AB236" s="69" t="str">
        <f aca="false">IF(AND(B236&lt;&gt;"",OR(T236="Pendente de Vistoria",T236="Não validada")),MAX($AB$1:$AB$235)+1,"")</f>
        <v/>
      </c>
      <c r="AC236" s="69" t="str">
        <f aca="false">IF(AND(B236&lt;&gt;"",OR(ISNUMBER(SEARCH("CTIN",P236)),U236="Alta",O236="07 - Relatório recebido — unidade apta",O236="11 - Orçamentos em análise técnica",O236="22 - Instalação/substituição autorizada")),MAX($AC$1:$AC$235)+1,"")</f>
        <v/>
      </c>
      <c r="AD236" s="69" t="str">
        <f aca="false">IF(AND(B236&lt;&gt;"",OR(ISNUMBER(SEARCH("CTO",P236)),LEFT(O236,2)="22",LEFT(O236,2)="23",LEFT(O236,2)="24",LEFT(O236,2)="25",LEFT(O236,2)="26",LEFT(O236,2)="27")),MAX($AD$1:$AD$235)+1,"")</f>
        <v/>
      </c>
      <c r="AE236" s="69" t="str">
        <f aca="false">IF(AND(B236&lt;&gt;"",D236=CONSULTA_UNIDADE!$B$4),MAX($AE$1:$AE$235)+1,"")</f>
        <v/>
      </c>
      <c r="AF236" s="69" t="str">
        <f aca="false">IF(AND(B236&lt;&gt;"",O236&lt;&gt;"27 - Instalação concluída",O236&lt;&gt;"28 - Encerrado",ISNUMBER(S236)),S236*1000+(1000-ROW()),"")</f>
        <v/>
      </c>
      <c r="AG236" s="69" t="str">
        <f aca="false">IF(AF236="","",RANK(AF236,$AF$2:$AF$500))</f>
        <v/>
      </c>
    </row>
    <row r="237" customFormat="false" ht="16.5" hidden="false" customHeight="true" outlineLevel="0" collapsed="false">
      <c r="A237" s="86"/>
      <c r="B237" s="86"/>
      <c r="C237" s="87" t="str">
        <f aca="false">IF(D237="","",IFERROR(INDEX(CADASTRO_VIVO_3CRE!$B$2:$B$150,MATCH(D237,CADASTRO_VIVO_3CRE!$E$2:$E$150,0)),""))</f>
        <v/>
      </c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8"/>
      <c r="S237" s="89" t="str">
        <f aca="true">IF(R237="","",TODAY()-INT(R237))</f>
        <v/>
      </c>
      <c r="T237" s="86"/>
      <c r="U237" s="86"/>
      <c r="V237" s="86"/>
      <c r="W237" s="88"/>
      <c r="X237" s="89" t="str">
        <f aca="true">IF(W237="","",IF(OR(O237="28 - Encerrado",O237="27 - Instalação concluída"),"Concluído",TODAY()-INT(W237)))</f>
        <v/>
      </c>
      <c r="Y237" s="90" t="str">
        <f aca="false">IF(OR(O237="28 - Encerrado",O237="27 - Instalação concluída"),"OK",IF(AND(B237&lt;&gt;"",S237=""),"ATENÇÃO (Sem data de atualização)",IF(S237="","",IF(S237&gt;30,"CRÍTICO (Sem Atualização &gt;30 dias)",IF(S237&gt;15,"ATENÇÃO (Sem Atualização &gt;15 dias)",IF(X237&gt;90,"CRÍTICO (Aberto &gt;90 dias)","OK"))))))</f>
        <v/>
      </c>
      <c r="Z237" s="90" t="str">
        <f aca="false">IF(B237="","",IF(OR(O237="27 - Instalação concluída",O237="28 - Encerrado"),"OK",IF(NOT(ISNUMBER(X237)),"",IF(X237&gt;365,"MUITO ANTIGO (&gt;1 ano)",IF(X237&gt;180,"ANTIGO (&gt;6 meses)",IF(X237&gt;90,"ATENÇÃO ANTIG. (&gt;3 meses)","OK"))))))</f>
        <v/>
      </c>
      <c r="AA237" s="86"/>
      <c r="AB237" s="69" t="str">
        <f aca="false">IF(AND(B237&lt;&gt;"",OR(T237="Pendente de Vistoria",T237="Não validada")),MAX($AB$1:$AB$236)+1,"")</f>
        <v/>
      </c>
      <c r="AC237" s="69" t="str">
        <f aca="false">IF(AND(B237&lt;&gt;"",OR(ISNUMBER(SEARCH("CTIN",P237)),U237="Alta",O237="07 - Relatório recebido — unidade apta",O237="11 - Orçamentos em análise técnica",O237="22 - Instalação/substituição autorizada")),MAX($AC$1:$AC$236)+1,"")</f>
        <v/>
      </c>
      <c r="AD237" s="69" t="str">
        <f aca="false">IF(AND(B237&lt;&gt;"",OR(ISNUMBER(SEARCH("CTO",P237)),LEFT(O237,2)="22",LEFT(O237,2)="23",LEFT(O237,2)="24",LEFT(O237,2)="25",LEFT(O237,2)="26",LEFT(O237,2)="27")),MAX($AD$1:$AD$236)+1,"")</f>
        <v/>
      </c>
      <c r="AE237" s="69" t="str">
        <f aca="false">IF(AND(B237&lt;&gt;"",D237=CONSULTA_UNIDADE!$B$4),MAX($AE$1:$AE$236)+1,"")</f>
        <v/>
      </c>
      <c r="AF237" s="69" t="str">
        <f aca="false">IF(AND(B237&lt;&gt;"",O237&lt;&gt;"27 - Instalação concluída",O237&lt;&gt;"28 - Encerrado",ISNUMBER(S237)),S237*1000+(1000-ROW()),"")</f>
        <v/>
      </c>
      <c r="AG237" s="69" t="str">
        <f aca="false">IF(AF237="","",RANK(AF237,$AF$2:$AF$500))</f>
        <v/>
      </c>
    </row>
    <row r="238" customFormat="false" ht="16.5" hidden="false" customHeight="true" outlineLevel="0" collapsed="false">
      <c r="A238" s="86"/>
      <c r="B238" s="86"/>
      <c r="C238" s="87" t="str">
        <f aca="false">IF(D238="","",IFERROR(INDEX(CADASTRO_VIVO_3CRE!$B$2:$B$150,MATCH(D238,CADASTRO_VIVO_3CRE!$E$2:$E$150,0)),""))</f>
        <v/>
      </c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8"/>
      <c r="S238" s="89" t="str">
        <f aca="true">IF(R238="","",TODAY()-INT(R238))</f>
        <v/>
      </c>
      <c r="T238" s="86"/>
      <c r="U238" s="86"/>
      <c r="V238" s="86"/>
      <c r="W238" s="88"/>
      <c r="X238" s="89" t="str">
        <f aca="true">IF(W238="","",IF(OR(O238="28 - Encerrado",O238="27 - Instalação concluída"),"Concluído",TODAY()-INT(W238)))</f>
        <v/>
      </c>
      <c r="Y238" s="90" t="str">
        <f aca="false">IF(OR(O238="28 - Encerrado",O238="27 - Instalação concluída"),"OK",IF(AND(B238&lt;&gt;"",S238=""),"ATENÇÃO (Sem data de atualização)",IF(S238="","",IF(S238&gt;30,"CRÍTICO (Sem Atualização &gt;30 dias)",IF(S238&gt;15,"ATENÇÃO (Sem Atualização &gt;15 dias)",IF(X238&gt;90,"CRÍTICO (Aberto &gt;90 dias)","OK"))))))</f>
        <v/>
      </c>
      <c r="Z238" s="90" t="str">
        <f aca="false">IF(B238="","",IF(OR(O238="27 - Instalação concluída",O238="28 - Encerrado"),"OK",IF(NOT(ISNUMBER(X238)),"",IF(X238&gt;365,"MUITO ANTIGO (&gt;1 ano)",IF(X238&gt;180,"ANTIGO (&gt;6 meses)",IF(X238&gt;90,"ATENÇÃO ANTIG. (&gt;3 meses)","OK"))))))</f>
        <v/>
      </c>
      <c r="AA238" s="86"/>
      <c r="AB238" s="69" t="str">
        <f aca="false">IF(AND(B238&lt;&gt;"",OR(T238="Pendente de Vistoria",T238="Não validada")),MAX($AB$1:$AB$237)+1,"")</f>
        <v/>
      </c>
      <c r="AC238" s="69" t="str">
        <f aca="false">IF(AND(B238&lt;&gt;"",OR(ISNUMBER(SEARCH("CTIN",P238)),U238="Alta",O238="07 - Relatório recebido — unidade apta",O238="11 - Orçamentos em análise técnica",O238="22 - Instalação/substituição autorizada")),MAX($AC$1:$AC$237)+1,"")</f>
        <v/>
      </c>
      <c r="AD238" s="69" t="str">
        <f aca="false">IF(AND(B238&lt;&gt;"",OR(ISNUMBER(SEARCH("CTO",P238)),LEFT(O238,2)="22",LEFT(O238,2)="23",LEFT(O238,2)="24",LEFT(O238,2)="25",LEFT(O238,2)="26",LEFT(O238,2)="27")),MAX($AD$1:$AD$237)+1,"")</f>
        <v/>
      </c>
      <c r="AE238" s="69" t="str">
        <f aca="false">IF(AND(B238&lt;&gt;"",D238=CONSULTA_UNIDADE!$B$4),MAX($AE$1:$AE$237)+1,"")</f>
        <v/>
      </c>
      <c r="AF238" s="69" t="str">
        <f aca="false">IF(AND(B238&lt;&gt;"",O238&lt;&gt;"27 - Instalação concluída",O238&lt;&gt;"28 - Encerrado",ISNUMBER(S238)),S238*1000+(1000-ROW()),"")</f>
        <v/>
      </c>
      <c r="AG238" s="69" t="str">
        <f aca="false">IF(AF238="","",RANK(AF238,$AF$2:$AF$500))</f>
        <v/>
      </c>
    </row>
    <row r="239" customFormat="false" ht="16.5" hidden="false" customHeight="true" outlineLevel="0" collapsed="false">
      <c r="A239" s="86"/>
      <c r="B239" s="86"/>
      <c r="C239" s="87" t="str">
        <f aca="false">IF(D239="","",IFERROR(INDEX(CADASTRO_VIVO_3CRE!$B$2:$B$150,MATCH(D239,CADASTRO_VIVO_3CRE!$E$2:$E$150,0)),""))</f>
        <v/>
      </c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8"/>
      <c r="S239" s="89" t="str">
        <f aca="true">IF(R239="","",TODAY()-INT(R239))</f>
        <v/>
      </c>
      <c r="T239" s="86"/>
      <c r="U239" s="86"/>
      <c r="V239" s="86"/>
      <c r="W239" s="88"/>
      <c r="X239" s="89" t="str">
        <f aca="true">IF(W239="","",IF(OR(O239="28 - Encerrado",O239="27 - Instalação concluída"),"Concluído",TODAY()-INT(W239)))</f>
        <v/>
      </c>
      <c r="Y239" s="90" t="str">
        <f aca="false">IF(OR(O239="28 - Encerrado",O239="27 - Instalação concluída"),"OK",IF(AND(B239&lt;&gt;"",S239=""),"ATENÇÃO (Sem data de atualização)",IF(S239="","",IF(S239&gt;30,"CRÍTICO (Sem Atualização &gt;30 dias)",IF(S239&gt;15,"ATENÇÃO (Sem Atualização &gt;15 dias)",IF(X239&gt;90,"CRÍTICO (Aberto &gt;90 dias)","OK"))))))</f>
        <v/>
      </c>
      <c r="Z239" s="90" t="str">
        <f aca="false">IF(B239="","",IF(OR(O239="27 - Instalação concluída",O239="28 - Encerrado"),"OK",IF(NOT(ISNUMBER(X239)),"",IF(X239&gt;365,"MUITO ANTIGO (&gt;1 ano)",IF(X239&gt;180,"ANTIGO (&gt;6 meses)",IF(X239&gt;90,"ATENÇÃO ANTIG. (&gt;3 meses)","OK"))))))</f>
        <v/>
      </c>
      <c r="AA239" s="86"/>
      <c r="AB239" s="69" t="str">
        <f aca="false">IF(AND(B239&lt;&gt;"",OR(T239="Pendente de Vistoria",T239="Não validada")),MAX($AB$1:$AB$238)+1,"")</f>
        <v/>
      </c>
      <c r="AC239" s="69" t="str">
        <f aca="false">IF(AND(B239&lt;&gt;"",OR(ISNUMBER(SEARCH("CTIN",P239)),U239="Alta",O239="07 - Relatório recebido — unidade apta",O239="11 - Orçamentos em análise técnica",O239="22 - Instalação/substituição autorizada")),MAX($AC$1:$AC$238)+1,"")</f>
        <v/>
      </c>
      <c r="AD239" s="69" t="str">
        <f aca="false">IF(AND(B239&lt;&gt;"",OR(ISNUMBER(SEARCH("CTO",P239)),LEFT(O239,2)="22",LEFT(O239,2)="23",LEFT(O239,2)="24",LEFT(O239,2)="25",LEFT(O239,2)="26",LEFT(O239,2)="27")),MAX($AD$1:$AD$238)+1,"")</f>
        <v/>
      </c>
      <c r="AE239" s="69" t="str">
        <f aca="false">IF(AND(B239&lt;&gt;"",D239=CONSULTA_UNIDADE!$B$4),MAX($AE$1:$AE$238)+1,"")</f>
        <v/>
      </c>
      <c r="AF239" s="69" t="str">
        <f aca="false">IF(AND(B239&lt;&gt;"",O239&lt;&gt;"27 - Instalação concluída",O239&lt;&gt;"28 - Encerrado",ISNUMBER(S239)),S239*1000+(1000-ROW()),"")</f>
        <v/>
      </c>
      <c r="AG239" s="69" t="str">
        <f aca="false">IF(AF239="","",RANK(AF239,$AF$2:$AF$500))</f>
        <v/>
      </c>
    </row>
    <row r="240" customFormat="false" ht="16.5" hidden="false" customHeight="true" outlineLevel="0" collapsed="false">
      <c r="A240" s="86"/>
      <c r="B240" s="86"/>
      <c r="C240" s="87" t="str">
        <f aca="false">IF(D240="","",IFERROR(INDEX(CADASTRO_VIVO_3CRE!$B$2:$B$150,MATCH(D240,CADASTRO_VIVO_3CRE!$E$2:$E$150,0)),""))</f>
        <v/>
      </c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8"/>
      <c r="S240" s="89" t="str">
        <f aca="true">IF(R240="","",TODAY()-INT(R240))</f>
        <v/>
      </c>
      <c r="T240" s="86"/>
      <c r="U240" s="86"/>
      <c r="V240" s="86"/>
      <c r="W240" s="88"/>
      <c r="X240" s="89" t="str">
        <f aca="true">IF(W240="","",IF(OR(O240="28 - Encerrado",O240="27 - Instalação concluída"),"Concluído",TODAY()-INT(W240)))</f>
        <v/>
      </c>
      <c r="Y240" s="90" t="str">
        <f aca="false">IF(OR(O240="28 - Encerrado",O240="27 - Instalação concluída"),"OK",IF(AND(B240&lt;&gt;"",S240=""),"ATENÇÃO (Sem data de atualização)",IF(S240="","",IF(S240&gt;30,"CRÍTICO (Sem Atualização &gt;30 dias)",IF(S240&gt;15,"ATENÇÃO (Sem Atualização &gt;15 dias)",IF(X240&gt;90,"CRÍTICO (Aberto &gt;90 dias)","OK"))))))</f>
        <v/>
      </c>
      <c r="Z240" s="90" t="str">
        <f aca="false">IF(B240="","",IF(OR(O240="27 - Instalação concluída",O240="28 - Encerrado"),"OK",IF(NOT(ISNUMBER(X240)),"",IF(X240&gt;365,"MUITO ANTIGO (&gt;1 ano)",IF(X240&gt;180,"ANTIGO (&gt;6 meses)",IF(X240&gt;90,"ATENÇÃO ANTIG. (&gt;3 meses)","OK"))))))</f>
        <v/>
      </c>
      <c r="AA240" s="86"/>
      <c r="AB240" s="69" t="str">
        <f aca="false">IF(AND(B240&lt;&gt;"",OR(T240="Pendente de Vistoria",T240="Não validada")),MAX($AB$1:$AB$239)+1,"")</f>
        <v/>
      </c>
      <c r="AC240" s="69" t="str">
        <f aca="false">IF(AND(B240&lt;&gt;"",OR(ISNUMBER(SEARCH("CTIN",P240)),U240="Alta",O240="07 - Relatório recebido — unidade apta",O240="11 - Orçamentos em análise técnica",O240="22 - Instalação/substituição autorizada")),MAX($AC$1:$AC$239)+1,"")</f>
        <v/>
      </c>
      <c r="AD240" s="69" t="str">
        <f aca="false">IF(AND(B240&lt;&gt;"",OR(ISNUMBER(SEARCH("CTO",P240)),LEFT(O240,2)="22",LEFT(O240,2)="23",LEFT(O240,2)="24",LEFT(O240,2)="25",LEFT(O240,2)="26",LEFT(O240,2)="27")),MAX($AD$1:$AD$239)+1,"")</f>
        <v/>
      </c>
      <c r="AE240" s="69" t="str">
        <f aca="false">IF(AND(B240&lt;&gt;"",D240=CONSULTA_UNIDADE!$B$4),MAX($AE$1:$AE$239)+1,"")</f>
        <v/>
      </c>
      <c r="AF240" s="69" t="str">
        <f aca="false">IF(AND(B240&lt;&gt;"",O240&lt;&gt;"27 - Instalação concluída",O240&lt;&gt;"28 - Encerrado",ISNUMBER(S240)),S240*1000+(1000-ROW()),"")</f>
        <v/>
      </c>
      <c r="AG240" s="69" t="str">
        <f aca="false">IF(AF240="","",RANK(AF240,$AF$2:$AF$500))</f>
        <v/>
      </c>
    </row>
    <row r="241" customFormat="false" ht="16.5" hidden="false" customHeight="true" outlineLevel="0" collapsed="false">
      <c r="A241" s="86"/>
      <c r="B241" s="86"/>
      <c r="C241" s="87" t="str">
        <f aca="false">IF(D241="","",IFERROR(INDEX(CADASTRO_VIVO_3CRE!$B$2:$B$150,MATCH(D241,CADASTRO_VIVO_3CRE!$E$2:$E$150,0)),""))</f>
        <v/>
      </c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8"/>
      <c r="S241" s="89" t="str">
        <f aca="true">IF(R241="","",TODAY()-INT(R241))</f>
        <v/>
      </c>
      <c r="T241" s="86"/>
      <c r="U241" s="86"/>
      <c r="V241" s="86"/>
      <c r="W241" s="88"/>
      <c r="X241" s="89" t="str">
        <f aca="true">IF(W241="","",IF(OR(O241="28 - Encerrado",O241="27 - Instalação concluída"),"Concluído",TODAY()-INT(W241)))</f>
        <v/>
      </c>
      <c r="Y241" s="90" t="str">
        <f aca="false">IF(OR(O241="28 - Encerrado",O241="27 - Instalação concluída"),"OK",IF(AND(B241&lt;&gt;"",S241=""),"ATENÇÃO (Sem data de atualização)",IF(S241="","",IF(S241&gt;30,"CRÍTICO (Sem Atualização &gt;30 dias)",IF(S241&gt;15,"ATENÇÃO (Sem Atualização &gt;15 dias)",IF(X241&gt;90,"CRÍTICO (Aberto &gt;90 dias)","OK"))))))</f>
        <v/>
      </c>
      <c r="Z241" s="90" t="str">
        <f aca="false">IF(B241="","",IF(OR(O241="27 - Instalação concluída",O241="28 - Encerrado"),"OK",IF(NOT(ISNUMBER(X241)),"",IF(X241&gt;365,"MUITO ANTIGO (&gt;1 ano)",IF(X241&gt;180,"ANTIGO (&gt;6 meses)",IF(X241&gt;90,"ATENÇÃO ANTIG. (&gt;3 meses)","OK"))))))</f>
        <v/>
      </c>
      <c r="AA241" s="86"/>
      <c r="AB241" s="69" t="str">
        <f aca="false">IF(AND(B241&lt;&gt;"",OR(T241="Pendente de Vistoria",T241="Não validada")),MAX($AB$1:$AB$240)+1,"")</f>
        <v/>
      </c>
      <c r="AC241" s="69" t="str">
        <f aca="false">IF(AND(B241&lt;&gt;"",OR(ISNUMBER(SEARCH("CTIN",P241)),U241="Alta",O241="07 - Relatório recebido — unidade apta",O241="11 - Orçamentos em análise técnica",O241="22 - Instalação/substituição autorizada")),MAX($AC$1:$AC$240)+1,"")</f>
        <v/>
      </c>
      <c r="AD241" s="69" t="str">
        <f aca="false">IF(AND(B241&lt;&gt;"",OR(ISNUMBER(SEARCH("CTO",P241)),LEFT(O241,2)="22",LEFT(O241,2)="23",LEFT(O241,2)="24",LEFT(O241,2)="25",LEFT(O241,2)="26",LEFT(O241,2)="27")),MAX($AD$1:$AD$240)+1,"")</f>
        <v/>
      </c>
      <c r="AE241" s="69" t="str">
        <f aca="false">IF(AND(B241&lt;&gt;"",D241=CONSULTA_UNIDADE!$B$4),MAX($AE$1:$AE$240)+1,"")</f>
        <v/>
      </c>
      <c r="AF241" s="69" t="str">
        <f aca="false">IF(AND(B241&lt;&gt;"",O241&lt;&gt;"27 - Instalação concluída",O241&lt;&gt;"28 - Encerrado",ISNUMBER(S241)),S241*1000+(1000-ROW()),"")</f>
        <v/>
      </c>
      <c r="AG241" s="69" t="str">
        <f aca="false">IF(AF241="","",RANK(AF241,$AF$2:$AF$500))</f>
        <v/>
      </c>
    </row>
    <row r="242" customFormat="false" ht="16.5" hidden="false" customHeight="true" outlineLevel="0" collapsed="false">
      <c r="A242" s="86"/>
      <c r="B242" s="86"/>
      <c r="C242" s="87" t="str">
        <f aca="false">IF(D242="","",IFERROR(INDEX(CADASTRO_VIVO_3CRE!$B$2:$B$150,MATCH(D242,CADASTRO_VIVO_3CRE!$E$2:$E$150,0)),""))</f>
        <v/>
      </c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8"/>
      <c r="S242" s="89" t="str">
        <f aca="true">IF(R242="","",TODAY()-INT(R242))</f>
        <v/>
      </c>
      <c r="T242" s="86"/>
      <c r="U242" s="86"/>
      <c r="V242" s="86"/>
      <c r="W242" s="88"/>
      <c r="X242" s="89" t="str">
        <f aca="true">IF(W242="","",IF(OR(O242="28 - Encerrado",O242="27 - Instalação concluída"),"Concluído",TODAY()-INT(W242)))</f>
        <v/>
      </c>
      <c r="Y242" s="90" t="str">
        <f aca="false">IF(OR(O242="28 - Encerrado",O242="27 - Instalação concluída"),"OK",IF(AND(B242&lt;&gt;"",S242=""),"ATENÇÃO (Sem data de atualização)",IF(S242="","",IF(S242&gt;30,"CRÍTICO (Sem Atualização &gt;30 dias)",IF(S242&gt;15,"ATENÇÃO (Sem Atualização &gt;15 dias)",IF(X242&gt;90,"CRÍTICO (Aberto &gt;90 dias)","OK"))))))</f>
        <v/>
      </c>
      <c r="Z242" s="90" t="str">
        <f aca="false">IF(B242="","",IF(OR(O242="27 - Instalação concluída",O242="28 - Encerrado"),"OK",IF(NOT(ISNUMBER(X242)),"",IF(X242&gt;365,"MUITO ANTIGO (&gt;1 ano)",IF(X242&gt;180,"ANTIGO (&gt;6 meses)",IF(X242&gt;90,"ATENÇÃO ANTIG. (&gt;3 meses)","OK"))))))</f>
        <v/>
      </c>
      <c r="AA242" s="86"/>
      <c r="AB242" s="69" t="str">
        <f aca="false">IF(AND(B242&lt;&gt;"",OR(T242="Pendente de Vistoria",T242="Não validada")),MAX($AB$1:$AB$241)+1,"")</f>
        <v/>
      </c>
      <c r="AC242" s="69" t="str">
        <f aca="false">IF(AND(B242&lt;&gt;"",OR(ISNUMBER(SEARCH("CTIN",P242)),U242="Alta",O242="07 - Relatório recebido — unidade apta",O242="11 - Orçamentos em análise técnica",O242="22 - Instalação/substituição autorizada")),MAX($AC$1:$AC$241)+1,"")</f>
        <v/>
      </c>
      <c r="AD242" s="69" t="str">
        <f aca="false">IF(AND(B242&lt;&gt;"",OR(ISNUMBER(SEARCH("CTO",P242)),LEFT(O242,2)="22",LEFT(O242,2)="23",LEFT(O242,2)="24",LEFT(O242,2)="25",LEFT(O242,2)="26",LEFT(O242,2)="27")),MAX($AD$1:$AD$241)+1,"")</f>
        <v/>
      </c>
      <c r="AE242" s="69" t="str">
        <f aca="false">IF(AND(B242&lt;&gt;"",D242=CONSULTA_UNIDADE!$B$4),MAX($AE$1:$AE$241)+1,"")</f>
        <v/>
      </c>
      <c r="AF242" s="69" t="str">
        <f aca="false">IF(AND(B242&lt;&gt;"",O242&lt;&gt;"27 - Instalação concluída",O242&lt;&gt;"28 - Encerrado",ISNUMBER(S242)),S242*1000+(1000-ROW()),"")</f>
        <v/>
      </c>
      <c r="AG242" s="69" t="str">
        <f aca="false">IF(AF242="","",RANK(AF242,$AF$2:$AF$500))</f>
        <v/>
      </c>
    </row>
    <row r="243" customFormat="false" ht="16.5" hidden="false" customHeight="true" outlineLevel="0" collapsed="false">
      <c r="A243" s="86"/>
      <c r="B243" s="86"/>
      <c r="C243" s="87" t="str">
        <f aca="false">IF(D243="","",IFERROR(INDEX(CADASTRO_VIVO_3CRE!$B$2:$B$150,MATCH(D243,CADASTRO_VIVO_3CRE!$E$2:$E$150,0)),""))</f>
        <v/>
      </c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8"/>
      <c r="S243" s="89" t="str">
        <f aca="true">IF(R243="","",TODAY()-INT(R243))</f>
        <v/>
      </c>
      <c r="T243" s="86"/>
      <c r="U243" s="86"/>
      <c r="V243" s="86"/>
      <c r="W243" s="88"/>
      <c r="X243" s="89" t="str">
        <f aca="true">IF(W243="","",IF(OR(O243="28 - Encerrado",O243="27 - Instalação concluída"),"Concluído",TODAY()-INT(W243)))</f>
        <v/>
      </c>
      <c r="Y243" s="90" t="str">
        <f aca="false">IF(OR(O243="28 - Encerrado",O243="27 - Instalação concluída"),"OK",IF(AND(B243&lt;&gt;"",S243=""),"ATENÇÃO (Sem data de atualização)",IF(S243="","",IF(S243&gt;30,"CRÍTICO (Sem Atualização &gt;30 dias)",IF(S243&gt;15,"ATENÇÃO (Sem Atualização &gt;15 dias)",IF(X243&gt;90,"CRÍTICO (Aberto &gt;90 dias)","OK"))))))</f>
        <v/>
      </c>
      <c r="Z243" s="90" t="str">
        <f aca="false">IF(B243="","",IF(OR(O243="27 - Instalação concluída",O243="28 - Encerrado"),"OK",IF(NOT(ISNUMBER(X243)),"",IF(X243&gt;365,"MUITO ANTIGO (&gt;1 ano)",IF(X243&gt;180,"ANTIGO (&gt;6 meses)",IF(X243&gt;90,"ATENÇÃO ANTIG. (&gt;3 meses)","OK"))))))</f>
        <v/>
      </c>
      <c r="AA243" s="86"/>
      <c r="AB243" s="69" t="str">
        <f aca="false">IF(AND(B243&lt;&gt;"",OR(T243="Pendente de Vistoria",T243="Não validada")),MAX($AB$1:$AB$242)+1,"")</f>
        <v/>
      </c>
      <c r="AC243" s="69" t="str">
        <f aca="false">IF(AND(B243&lt;&gt;"",OR(ISNUMBER(SEARCH("CTIN",P243)),U243="Alta",O243="07 - Relatório recebido — unidade apta",O243="11 - Orçamentos em análise técnica",O243="22 - Instalação/substituição autorizada")),MAX($AC$1:$AC$242)+1,"")</f>
        <v/>
      </c>
      <c r="AD243" s="69" t="str">
        <f aca="false">IF(AND(B243&lt;&gt;"",OR(ISNUMBER(SEARCH("CTO",P243)),LEFT(O243,2)="22",LEFT(O243,2)="23",LEFT(O243,2)="24",LEFT(O243,2)="25",LEFT(O243,2)="26",LEFT(O243,2)="27")),MAX($AD$1:$AD$242)+1,"")</f>
        <v/>
      </c>
      <c r="AE243" s="69" t="str">
        <f aca="false">IF(AND(B243&lt;&gt;"",D243=CONSULTA_UNIDADE!$B$4),MAX($AE$1:$AE$242)+1,"")</f>
        <v/>
      </c>
      <c r="AF243" s="69" t="str">
        <f aca="false">IF(AND(B243&lt;&gt;"",O243&lt;&gt;"27 - Instalação concluída",O243&lt;&gt;"28 - Encerrado",ISNUMBER(S243)),S243*1000+(1000-ROW()),"")</f>
        <v/>
      </c>
      <c r="AG243" s="69" t="str">
        <f aca="false">IF(AF243="","",RANK(AF243,$AF$2:$AF$500))</f>
        <v/>
      </c>
    </row>
    <row r="244" customFormat="false" ht="16.5" hidden="false" customHeight="true" outlineLevel="0" collapsed="false">
      <c r="A244" s="86"/>
      <c r="B244" s="86"/>
      <c r="C244" s="87" t="str">
        <f aca="false">IF(D244="","",IFERROR(INDEX(CADASTRO_VIVO_3CRE!$B$2:$B$150,MATCH(D244,CADASTRO_VIVO_3CRE!$E$2:$E$150,0)),""))</f>
        <v/>
      </c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8"/>
      <c r="S244" s="89" t="str">
        <f aca="true">IF(R244="","",TODAY()-INT(R244))</f>
        <v/>
      </c>
      <c r="T244" s="86"/>
      <c r="U244" s="86"/>
      <c r="V244" s="86"/>
      <c r="W244" s="88"/>
      <c r="X244" s="89" t="str">
        <f aca="true">IF(W244="","",IF(OR(O244="28 - Encerrado",O244="27 - Instalação concluída"),"Concluído",TODAY()-INT(W244)))</f>
        <v/>
      </c>
      <c r="Y244" s="90" t="str">
        <f aca="false">IF(OR(O244="28 - Encerrado",O244="27 - Instalação concluída"),"OK",IF(AND(B244&lt;&gt;"",S244=""),"ATENÇÃO (Sem data de atualização)",IF(S244="","",IF(S244&gt;30,"CRÍTICO (Sem Atualização &gt;30 dias)",IF(S244&gt;15,"ATENÇÃO (Sem Atualização &gt;15 dias)",IF(X244&gt;90,"CRÍTICO (Aberto &gt;90 dias)","OK"))))))</f>
        <v/>
      </c>
      <c r="Z244" s="90" t="str">
        <f aca="false">IF(B244="","",IF(OR(O244="27 - Instalação concluída",O244="28 - Encerrado"),"OK",IF(NOT(ISNUMBER(X244)),"",IF(X244&gt;365,"MUITO ANTIGO (&gt;1 ano)",IF(X244&gt;180,"ANTIGO (&gt;6 meses)",IF(X244&gt;90,"ATENÇÃO ANTIG. (&gt;3 meses)","OK"))))))</f>
        <v/>
      </c>
      <c r="AA244" s="86"/>
      <c r="AB244" s="69" t="str">
        <f aca="false">IF(AND(B244&lt;&gt;"",OR(T244="Pendente de Vistoria",T244="Não validada")),MAX($AB$1:$AB$243)+1,"")</f>
        <v/>
      </c>
      <c r="AC244" s="69" t="str">
        <f aca="false">IF(AND(B244&lt;&gt;"",OR(ISNUMBER(SEARCH("CTIN",P244)),U244="Alta",O244="07 - Relatório recebido — unidade apta",O244="11 - Orçamentos em análise técnica",O244="22 - Instalação/substituição autorizada")),MAX($AC$1:$AC$243)+1,"")</f>
        <v/>
      </c>
      <c r="AD244" s="69" t="str">
        <f aca="false">IF(AND(B244&lt;&gt;"",OR(ISNUMBER(SEARCH("CTO",P244)),LEFT(O244,2)="22",LEFT(O244,2)="23",LEFT(O244,2)="24",LEFT(O244,2)="25",LEFT(O244,2)="26",LEFT(O244,2)="27")),MAX($AD$1:$AD$243)+1,"")</f>
        <v/>
      </c>
      <c r="AE244" s="69" t="str">
        <f aca="false">IF(AND(B244&lt;&gt;"",D244=CONSULTA_UNIDADE!$B$4),MAX($AE$1:$AE$243)+1,"")</f>
        <v/>
      </c>
      <c r="AF244" s="69" t="str">
        <f aca="false">IF(AND(B244&lt;&gt;"",O244&lt;&gt;"27 - Instalação concluída",O244&lt;&gt;"28 - Encerrado",ISNUMBER(S244)),S244*1000+(1000-ROW()),"")</f>
        <v/>
      </c>
      <c r="AG244" s="69" t="str">
        <f aca="false">IF(AF244="","",RANK(AF244,$AF$2:$AF$500))</f>
        <v/>
      </c>
    </row>
    <row r="245" customFormat="false" ht="16.5" hidden="false" customHeight="true" outlineLevel="0" collapsed="false">
      <c r="A245" s="86"/>
      <c r="B245" s="86"/>
      <c r="C245" s="87" t="str">
        <f aca="false">IF(D245="","",IFERROR(INDEX(CADASTRO_VIVO_3CRE!$B$2:$B$150,MATCH(D245,CADASTRO_VIVO_3CRE!$E$2:$E$150,0)),""))</f>
        <v/>
      </c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8"/>
      <c r="S245" s="89" t="str">
        <f aca="true">IF(R245="","",TODAY()-INT(R245))</f>
        <v/>
      </c>
      <c r="T245" s="86"/>
      <c r="U245" s="86"/>
      <c r="V245" s="86"/>
      <c r="W245" s="88"/>
      <c r="X245" s="89" t="str">
        <f aca="true">IF(W245="","",IF(OR(O245="28 - Encerrado",O245="27 - Instalação concluída"),"Concluído",TODAY()-INT(W245)))</f>
        <v/>
      </c>
      <c r="Y245" s="90" t="str">
        <f aca="false">IF(OR(O245="28 - Encerrado",O245="27 - Instalação concluída"),"OK",IF(AND(B245&lt;&gt;"",S245=""),"ATENÇÃO (Sem data de atualização)",IF(S245="","",IF(S245&gt;30,"CRÍTICO (Sem Atualização &gt;30 dias)",IF(S245&gt;15,"ATENÇÃO (Sem Atualização &gt;15 dias)",IF(X245&gt;90,"CRÍTICO (Aberto &gt;90 dias)","OK"))))))</f>
        <v/>
      </c>
      <c r="Z245" s="90" t="str">
        <f aca="false">IF(B245="","",IF(OR(O245="27 - Instalação concluída",O245="28 - Encerrado"),"OK",IF(NOT(ISNUMBER(X245)),"",IF(X245&gt;365,"MUITO ANTIGO (&gt;1 ano)",IF(X245&gt;180,"ANTIGO (&gt;6 meses)",IF(X245&gt;90,"ATENÇÃO ANTIG. (&gt;3 meses)","OK"))))))</f>
        <v/>
      </c>
      <c r="AA245" s="86"/>
      <c r="AB245" s="69" t="str">
        <f aca="false">IF(AND(B245&lt;&gt;"",OR(T245="Pendente de Vistoria",T245="Não validada")),MAX($AB$1:$AB$244)+1,"")</f>
        <v/>
      </c>
      <c r="AC245" s="69" t="str">
        <f aca="false">IF(AND(B245&lt;&gt;"",OR(ISNUMBER(SEARCH("CTIN",P245)),U245="Alta",O245="07 - Relatório recebido — unidade apta",O245="11 - Orçamentos em análise técnica",O245="22 - Instalação/substituição autorizada")),MAX($AC$1:$AC$244)+1,"")</f>
        <v/>
      </c>
      <c r="AD245" s="69" t="str">
        <f aca="false">IF(AND(B245&lt;&gt;"",OR(ISNUMBER(SEARCH("CTO",P245)),LEFT(O245,2)="22",LEFT(O245,2)="23",LEFT(O245,2)="24",LEFT(O245,2)="25",LEFT(O245,2)="26",LEFT(O245,2)="27")),MAX($AD$1:$AD$244)+1,"")</f>
        <v/>
      </c>
      <c r="AE245" s="69" t="str">
        <f aca="false">IF(AND(B245&lt;&gt;"",D245=CONSULTA_UNIDADE!$B$4),MAX($AE$1:$AE$244)+1,"")</f>
        <v/>
      </c>
      <c r="AF245" s="69" t="str">
        <f aca="false">IF(AND(B245&lt;&gt;"",O245&lt;&gt;"27 - Instalação concluída",O245&lt;&gt;"28 - Encerrado",ISNUMBER(S245)),S245*1000+(1000-ROW()),"")</f>
        <v/>
      </c>
      <c r="AG245" s="69" t="str">
        <f aca="false">IF(AF245="","",RANK(AF245,$AF$2:$AF$500))</f>
        <v/>
      </c>
    </row>
    <row r="246" customFormat="false" ht="16.5" hidden="false" customHeight="true" outlineLevel="0" collapsed="false">
      <c r="A246" s="86"/>
      <c r="B246" s="86"/>
      <c r="C246" s="87" t="str">
        <f aca="false">IF(D246="","",IFERROR(INDEX(CADASTRO_VIVO_3CRE!$B$2:$B$150,MATCH(D246,CADASTRO_VIVO_3CRE!$E$2:$E$150,0)),""))</f>
        <v/>
      </c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8"/>
      <c r="S246" s="89" t="str">
        <f aca="true">IF(R246="","",TODAY()-INT(R246))</f>
        <v/>
      </c>
      <c r="T246" s="86"/>
      <c r="U246" s="86"/>
      <c r="V246" s="86"/>
      <c r="W246" s="88"/>
      <c r="X246" s="89" t="str">
        <f aca="true">IF(W246="","",IF(OR(O246="28 - Encerrado",O246="27 - Instalação concluída"),"Concluído",TODAY()-INT(W246)))</f>
        <v/>
      </c>
      <c r="Y246" s="90" t="str">
        <f aca="false">IF(OR(O246="28 - Encerrado",O246="27 - Instalação concluída"),"OK",IF(AND(B246&lt;&gt;"",S246=""),"ATENÇÃO (Sem data de atualização)",IF(S246="","",IF(S246&gt;30,"CRÍTICO (Sem Atualização &gt;30 dias)",IF(S246&gt;15,"ATENÇÃO (Sem Atualização &gt;15 dias)",IF(X246&gt;90,"CRÍTICO (Aberto &gt;90 dias)","OK"))))))</f>
        <v/>
      </c>
      <c r="Z246" s="90" t="str">
        <f aca="false">IF(B246="","",IF(OR(O246="27 - Instalação concluída",O246="28 - Encerrado"),"OK",IF(NOT(ISNUMBER(X246)),"",IF(X246&gt;365,"MUITO ANTIGO (&gt;1 ano)",IF(X246&gt;180,"ANTIGO (&gt;6 meses)",IF(X246&gt;90,"ATENÇÃO ANTIG. (&gt;3 meses)","OK"))))))</f>
        <v/>
      </c>
      <c r="AA246" s="86"/>
      <c r="AB246" s="69" t="str">
        <f aca="false">IF(AND(B246&lt;&gt;"",OR(T246="Pendente de Vistoria",T246="Não validada")),MAX($AB$1:$AB$245)+1,"")</f>
        <v/>
      </c>
      <c r="AC246" s="69" t="str">
        <f aca="false">IF(AND(B246&lt;&gt;"",OR(ISNUMBER(SEARCH("CTIN",P246)),U246="Alta",O246="07 - Relatório recebido — unidade apta",O246="11 - Orçamentos em análise técnica",O246="22 - Instalação/substituição autorizada")),MAX($AC$1:$AC$245)+1,"")</f>
        <v/>
      </c>
      <c r="AD246" s="69" t="str">
        <f aca="false">IF(AND(B246&lt;&gt;"",OR(ISNUMBER(SEARCH("CTO",P246)),LEFT(O246,2)="22",LEFT(O246,2)="23",LEFT(O246,2)="24",LEFT(O246,2)="25",LEFT(O246,2)="26",LEFT(O246,2)="27")),MAX($AD$1:$AD$245)+1,"")</f>
        <v/>
      </c>
      <c r="AE246" s="69" t="str">
        <f aca="false">IF(AND(B246&lt;&gt;"",D246=CONSULTA_UNIDADE!$B$4),MAX($AE$1:$AE$245)+1,"")</f>
        <v/>
      </c>
      <c r="AF246" s="69" t="str">
        <f aca="false">IF(AND(B246&lt;&gt;"",O246&lt;&gt;"27 - Instalação concluída",O246&lt;&gt;"28 - Encerrado",ISNUMBER(S246)),S246*1000+(1000-ROW()),"")</f>
        <v/>
      </c>
      <c r="AG246" s="69" t="str">
        <f aca="false">IF(AF246="","",RANK(AF246,$AF$2:$AF$500))</f>
        <v/>
      </c>
    </row>
    <row r="247" customFormat="false" ht="16.5" hidden="false" customHeight="true" outlineLevel="0" collapsed="false">
      <c r="A247" s="86"/>
      <c r="B247" s="86"/>
      <c r="C247" s="87" t="str">
        <f aca="false">IF(D247="","",IFERROR(INDEX(CADASTRO_VIVO_3CRE!$B$2:$B$150,MATCH(D247,CADASTRO_VIVO_3CRE!$E$2:$E$150,0)),""))</f>
        <v/>
      </c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8"/>
      <c r="S247" s="89" t="str">
        <f aca="true">IF(R247="","",TODAY()-INT(R247))</f>
        <v/>
      </c>
      <c r="T247" s="86"/>
      <c r="U247" s="86"/>
      <c r="V247" s="86"/>
      <c r="W247" s="88"/>
      <c r="X247" s="89" t="str">
        <f aca="true">IF(W247="","",IF(OR(O247="28 - Encerrado",O247="27 - Instalação concluída"),"Concluído",TODAY()-INT(W247)))</f>
        <v/>
      </c>
      <c r="Y247" s="90" t="str">
        <f aca="false">IF(OR(O247="28 - Encerrado",O247="27 - Instalação concluída"),"OK",IF(AND(B247&lt;&gt;"",S247=""),"ATENÇÃO (Sem data de atualização)",IF(S247="","",IF(S247&gt;30,"CRÍTICO (Sem Atualização &gt;30 dias)",IF(S247&gt;15,"ATENÇÃO (Sem Atualização &gt;15 dias)",IF(X247&gt;90,"CRÍTICO (Aberto &gt;90 dias)","OK"))))))</f>
        <v/>
      </c>
      <c r="Z247" s="90" t="str">
        <f aca="false">IF(B247="","",IF(OR(O247="27 - Instalação concluída",O247="28 - Encerrado"),"OK",IF(NOT(ISNUMBER(X247)),"",IF(X247&gt;365,"MUITO ANTIGO (&gt;1 ano)",IF(X247&gt;180,"ANTIGO (&gt;6 meses)",IF(X247&gt;90,"ATENÇÃO ANTIG. (&gt;3 meses)","OK"))))))</f>
        <v/>
      </c>
      <c r="AA247" s="86"/>
      <c r="AB247" s="69" t="str">
        <f aca="false">IF(AND(B247&lt;&gt;"",OR(T247="Pendente de Vistoria",T247="Não validada")),MAX($AB$1:$AB$246)+1,"")</f>
        <v/>
      </c>
      <c r="AC247" s="69" t="str">
        <f aca="false">IF(AND(B247&lt;&gt;"",OR(ISNUMBER(SEARCH("CTIN",P247)),U247="Alta",O247="07 - Relatório recebido — unidade apta",O247="11 - Orçamentos em análise técnica",O247="22 - Instalação/substituição autorizada")),MAX($AC$1:$AC$246)+1,"")</f>
        <v/>
      </c>
      <c r="AD247" s="69" t="str">
        <f aca="false">IF(AND(B247&lt;&gt;"",OR(ISNUMBER(SEARCH("CTO",P247)),LEFT(O247,2)="22",LEFT(O247,2)="23",LEFT(O247,2)="24",LEFT(O247,2)="25",LEFT(O247,2)="26",LEFT(O247,2)="27")),MAX($AD$1:$AD$246)+1,"")</f>
        <v/>
      </c>
      <c r="AE247" s="69" t="str">
        <f aca="false">IF(AND(B247&lt;&gt;"",D247=CONSULTA_UNIDADE!$B$4),MAX($AE$1:$AE$246)+1,"")</f>
        <v/>
      </c>
      <c r="AF247" s="69" t="str">
        <f aca="false">IF(AND(B247&lt;&gt;"",O247&lt;&gt;"27 - Instalação concluída",O247&lt;&gt;"28 - Encerrado",ISNUMBER(S247)),S247*1000+(1000-ROW()),"")</f>
        <v/>
      </c>
      <c r="AG247" s="69" t="str">
        <f aca="false">IF(AF247="","",RANK(AF247,$AF$2:$AF$500))</f>
        <v/>
      </c>
    </row>
    <row r="248" customFormat="false" ht="16.5" hidden="false" customHeight="true" outlineLevel="0" collapsed="false">
      <c r="A248" s="86"/>
      <c r="B248" s="86"/>
      <c r="C248" s="87" t="str">
        <f aca="false">IF(D248="","",IFERROR(INDEX(CADASTRO_VIVO_3CRE!$B$2:$B$150,MATCH(D248,CADASTRO_VIVO_3CRE!$E$2:$E$150,0)),""))</f>
        <v/>
      </c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8"/>
      <c r="S248" s="89" t="str">
        <f aca="true">IF(R248="","",TODAY()-INT(R248))</f>
        <v/>
      </c>
      <c r="T248" s="86"/>
      <c r="U248" s="86"/>
      <c r="V248" s="86"/>
      <c r="W248" s="88"/>
      <c r="X248" s="89" t="str">
        <f aca="true">IF(W248="","",IF(OR(O248="28 - Encerrado",O248="27 - Instalação concluída"),"Concluído",TODAY()-INT(W248)))</f>
        <v/>
      </c>
      <c r="Y248" s="90" t="str">
        <f aca="false">IF(OR(O248="28 - Encerrado",O248="27 - Instalação concluída"),"OK",IF(AND(B248&lt;&gt;"",S248=""),"ATENÇÃO (Sem data de atualização)",IF(S248="","",IF(S248&gt;30,"CRÍTICO (Sem Atualização &gt;30 dias)",IF(S248&gt;15,"ATENÇÃO (Sem Atualização &gt;15 dias)",IF(X248&gt;90,"CRÍTICO (Aberto &gt;90 dias)","OK"))))))</f>
        <v/>
      </c>
      <c r="Z248" s="90" t="str">
        <f aca="false">IF(B248="","",IF(OR(O248="27 - Instalação concluída",O248="28 - Encerrado"),"OK",IF(NOT(ISNUMBER(X248)),"",IF(X248&gt;365,"MUITO ANTIGO (&gt;1 ano)",IF(X248&gt;180,"ANTIGO (&gt;6 meses)",IF(X248&gt;90,"ATENÇÃO ANTIG. (&gt;3 meses)","OK"))))))</f>
        <v/>
      </c>
      <c r="AA248" s="86"/>
      <c r="AB248" s="69" t="str">
        <f aca="false">IF(AND(B248&lt;&gt;"",OR(T248="Pendente de Vistoria",T248="Não validada")),MAX($AB$1:$AB$247)+1,"")</f>
        <v/>
      </c>
      <c r="AC248" s="69" t="str">
        <f aca="false">IF(AND(B248&lt;&gt;"",OR(ISNUMBER(SEARCH("CTIN",P248)),U248="Alta",O248="07 - Relatório recebido — unidade apta",O248="11 - Orçamentos em análise técnica",O248="22 - Instalação/substituição autorizada")),MAX($AC$1:$AC$247)+1,"")</f>
        <v/>
      </c>
      <c r="AD248" s="69" t="str">
        <f aca="false">IF(AND(B248&lt;&gt;"",OR(ISNUMBER(SEARCH("CTO",P248)),LEFT(O248,2)="22",LEFT(O248,2)="23",LEFT(O248,2)="24",LEFT(O248,2)="25",LEFT(O248,2)="26",LEFT(O248,2)="27")),MAX($AD$1:$AD$247)+1,"")</f>
        <v/>
      </c>
      <c r="AE248" s="69" t="str">
        <f aca="false">IF(AND(B248&lt;&gt;"",D248=CONSULTA_UNIDADE!$B$4),MAX($AE$1:$AE$247)+1,"")</f>
        <v/>
      </c>
      <c r="AF248" s="69" t="str">
        <f aca="false">IF(AND(B248&lt;&gt;"",O248&lt;&gt;"27 - Instalação concluída",O248&lt;&gt;"28 - Encerrado",ISNUMBER(S248)),S248*1000+(1000-ROW()),"")</f>
        <v/>
      </c>
      <c r="AG248" s="69" t="str">
        <f aca="false">IF(AF248="","",RANK(AF248,$AF$2:$AF$500))</f>
        <v/>
      </c>
    </row>
    <row r="249" customFormat="false" ht="16.5" hidden="false" customHeight="true" outlineLevel="0" collapsed="false">
      <c r="A249" s="86"/>
      <c r="B249" s="86"/>
      <c r="C249" s="87" t="str">
        <f aca="false">IF(D249="","",IFERROR(INDEX(CADASTRO_VIVO_3CRE!$B$2:$B$150,MATCH(D249,CADASTRO_VIVO_3CRE!$E$2:$E$150,0)),""))</f>
        <v/>
      </c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8"/>
      <c r="S249" s="89" t="str">
        <f aca="true">IF(R249="","",TODAY()-INT(R249))</f>
        <v/>
      </c>
      <c r="T249" s="86"/>
      <c r="U249" s="86"/>
      <c r="V249" s="86"/>
      <c r="W249" s="88"/>
      <c r="X249" s="89" t="str">
        <f aca="true">IF(W249="","",IF(OR(O249="28 - Encerrado",O249="27 - Instalação concluída"),"Concluído",TODAY()-INT(W249)))</f>
        <v/>
      </c>
      <c r="Y249" s="90" t="str">
        <f aca="false">IF(OR(O249="28 - Encerrado",O249="27 - Instalação concluída"),"OK",IF(AND(B249&lt;&gt;"",S249=""),"ATENÇÃO (Sem data de atualização)",IF(S249="","",IF(S249&gt;30,"CRÍTICO (Sem Atualização &gt;30 dias)",IF(S249&gt;15,"ATENÇÃO (Sem Atualização &gt;15 dias)",IF(X249&gt;90,"CRÍTICO (Aberto &gt;90 dias)","OK"))))))</f>
        <v/>
      </c>
      <c r="Z249" s="90" t="str">
        <f aca="false">IF(B249="","",IF(OR(O249="27 - Instalação concluída",O249="28 - Encerrado"),"OK",IF(NOT(ISNUMBER(X249)),"",IF(X249&gt;365,"MUITO ANTIGO (&gt;1 ano)",IF(X249&gt;180,"ANTIGO (&gt;6 meses)",IF(X249&gt;90,"ATENÇÃO ANTIG. (&gt;3 meses)","OK"))))))</f>
        <v/>
      </c>
      <c r="AA249" s="86"/>
      <c r="AB249" s="69" t="str">
        <f aca="false">IF(AND(B249&lt;&gt;"",OR(T249="Pendente de Vistoria",T249="Não validada")),MAX($AB$1:$AB$248)+1,"")</f>
        <v/>
      </c>
      <c r="AC249" s="69" t="str">
        <f aca="false">IF(AND(B249&lt;&gt;"",OR(ISNUMBER(SEARCH("CTIN",P249)),U249="Alta",O249="07 - Relatório recebido — unidade apta",O249="11 - Orçamentos em análise técnica",O249="22 - Instalação/substituição autorizada")),MAX($AC$1:$AC$248)+1,"")</f>
        <v/>
      </c>
      <c r="AD249" s="69" t="str">
        <f aca="false">IF(AND(B249&lt;&gt;"",OR(ISNUMBER(SEARCH("CTO",P249)),LEFT(O249,2)="22",LEFT(O249,2)="23",LEFT(O249,2)="24",LEFT(O249,2)="25",LEFT(O249,2)="26",LEFT(O249,2)="27")),MAX($AD$1:$AD$248)+1,"")</f>
        <v/>
      </c>
      <c r="AE249" s="69" t="str">
        <f aca="false">IF(AND(B249&lt;&gt;"",D249=CONSULTA_UNIDADE!$B$4),MAX($AE$1:$AE$248)+1,"")</f>
        <v/>
      </c>
      <c r="AF249" s="69" t="str">
        <f aca="false">IF(AND(B249&lt;&gt;"",O249&lt;&gt;"27 - Instalação concluída",O249&lt;&gt;"28 - Encerrado",ISNUMBER(S249)),S249*1000+(1000-ROW()),"")</f>
        <v/>
      </c>
      <c r="AG249" s="69" t="str">
        <f aca="false">IF(AF249="","",RANK(AF249,$AF$2:$AF$500))</f>
        <v/>
      </c>
    </row>
    <row r="250" customFormat="false" ht="16.5" hidden="false" customHeight="true" outlineLevel="0" collapsed="false">
      <c r="A250" s="86"/>
      <c r="B250" s="86"/>
      <c r="C250" s="87" t="str">
        <f aca="false">IF(D250="","",IFERROR(INDEX(CADASTRO_VIVO_3CRE!$B$2:$B$150,MATCH(D250,CADASTRO_VIVO_3CRE!$E$2:$E$150,0)),""))</f>
        <v/>
      </c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8"/>
      <c r="S250" s="89" t="str">
        <f aca="true">IF(R250="","",TODAY()-INT(R250))</f>
        <v/>
      </c>
      <c r="T250" s="86"/>
      <c r="U250" s="86"/>
      <c r="V250" s="86"/>
      <c r="W250" s="88"/>
      <c r="X250" s="89" t="str">
        <f aca="true">IF(W250="","",IF(OR(O250="28 - Encerrado",O250="27 - Instalação concluída"),"Concluído",TODAY()-INT(W250)))</f>
        <v/>
      </c>
      <c r="Y250" s="90" t="str">
        <f aca="false">IF(OR(O250="28 - Encerrado",O250="27 - Instalação concluída"),"OK",IF(AND(B250&lt;&gt;"",S250=""),"ATENÇÃO (Sem data de atualização)",IF(S250="","",IF(S250&gt;30,"CRÍTICO (Sem Atualização &gt;30 dias)",IF(S250&gt;15,"ATENÇÃO (Sem Atualização &gt;15 dias)",IF(X250&gt;90,"CRÍTICO (Aberto &gt;90 dias)","OK"))))))</f>
        <v/>
      </c>
      <c r="Z250" s="90" t="str">
        <f aca="false">IF(B250="","",IF(OR(O250="27 - Instalação concluída",O250="28 - Encerrado"),"OK",IF(NOT(ISNUMBER(X250)),"",IF(X250&gt;365,"MUITO ANTIGO (&gt;1 ano)",IF(X250&gt;180,"ANTIGO (&gt;6 meses)",IF(X250&gt;90,"ATENÇÃO ANTIG. (&gt;3 meses)","OK"))))))</f>
        <v/>
      </c>
      <c r="AA250" s="86"/>
      <c r="AB250" s="69" t="str">
        <f aca="false">IF(AND(B250&lt;&gt;"",OR(T250="Pendente de Vistoria",T250="Não validada")),MAX($AB$1:$AB$249)+1,"")</f>
        <v/>
      </c>
      <c r="AC250" s="69" t="str">
        <f aca="false">IF(AND(B250&lt;&gt;"",OR(ISNUMBER(SEARCH("CTIN",P250)),U250="Alta",O250="07 - Relatório recebido — unidade apta",O250="11 - Orçamentos em análise técnica",O250="22 - Instalação/substituição autorizada")),MAX($AC$1:$AC$249)+1,"")</f>
        <v/>
      </c>
      <c r="AD250" s="69" t="str">
        <f aca="false">IF(AND(B250&lt;&gt;"",OR(ISNUMBER(SEARCH("CTO",P250)),LEFT(O250,2)="22",LEFT(O250,2)="23",LEFT(O250,2)="24",LEFT(O250,2)="25",LEFT(O250,2)="26",LEFT(O250,2)="27")),MAX($AD$1:$AD$249)+1,"")</f>
        <v/>
      </c>
      <c r="AE250" s="69" t="str">
        <f aca="false">IF(AND(B250&lt;&gt;"",D250=CONSULTA_UNIDADE!$B$4),MAX($AE$1:$AE$249)+1,"")</f>
        <v/>
      </c>
      <c r="AF250" s="69" t="str">
        <f aca="false">IF(AND(B250&lt;&gt;"",O250&lt;&gt;"27 - Instalação concluída",O250&lt;&gt;"28 - Encerrado",ISNUMBER(S250)),S250*1000+(1000-ROW()),"")</f>
        <v/>
      </c>
      <c r="AG250" s="69" t="str">
        <f aca="false">IF(AF250="","",RANK(AF250,$AF$2:$AF$500))</f>
        <v/>
      </c>
    </row>
    <row r="251" customFormat="false" ht="16.5" hidden="false" customHeight="true" outlineLevel="0" collapsed="false">
      <c r="A251" s="86"/>
      <c r="B251" s="86"/>
      <c r="C251" s="87" t="str">
        <f aca="false">IF(D251="","",IFERROR(INDEX(CADASTRO_VIVO_3CRE!$B$2:$B$150,MATCH(D251,CADASTRO_VIVO_3CRE!$E$2:$E$150,0)),""))</f>
        <v/>
      </c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8"/>
      <c r="S251" s="89" t="str">
        <f aca="true">IF(R251="","",TODAY()-INT(R251))</f>
        <v/>
      </c>
      <c r="T251" s="86"/>
      <c r="U251" s="86"/>
      <c r="V251" s="86"/>
      <c r="W251" s="88"/>
      <c r="X251" s="89" t="str">
        <f aca="true">IF(W251="","",IF(OR(O251="28 - Encerrado",O251="27 - Instalação concluída"),"Concluído",TODAY()-INT(W251)))</f>
        <v/>
      </c>
      <c r="Y251" s="90" t="str">
        <f aca="false">IF(OR(O251="28 - Encerrado",O251="27 - Instalação concluída"),"OK",IF(AND(B251&lt;&gt;"",S251=""),"ATENÇÃO (Sem data de atualização)",IF(S251="","",IF(S251&gt;30,"CRÍTICO (Sem Atualização &gt;30 dias)",IF(S251&gt;15,"ATENÇÃO (Sem Atualização &gt;15 dias)",IF(X251&gt;90,"CRÍTICO (Aberto &gt;90 dias)","OK"))))))</f>
        <v/>
      </c>
      <c r="Z251" s="90" t="str">
        <f aca="false">IF(B251="","",IF(OR(O251="27 - Instalação concluída",O251="28 - Encerrado"),"OK",IF(NOT(ISNUMBER(X251)),"",IF(X251&gt;365,"MUITO ANTIGO (&gt;1 ano)",IF(X251&gt;180,"ANTIGO (&gt;6 meses)",IF(X251&gt;90,"ATENÇÃO ANTIG. (&gt;3 meses)","OK"))))))</f>
        <v/>
      </c>
      <c r="AA251" s="86"/>
      <c r="AB251" s="69" t="str">
        <f aca="false">IF(AND(B251&lt;&gt;"",OR(T251="Pendente de Vistoria",T251="Não validada")),MAX($AB$1:$AB$250)+1,"")</f>
        <v/>
      </c>
      <c r="AC251" s="69" t="str">
        <f aca="false">IF(AND(B251&lt;&gt;"",OR(ISNUMBER(SEARCH("CTIN",P251)),U251="Alta",O251="07 - Relatório recebido — unidade apta",O251="11 - Orçamentos em análise técnica",O251="22 - Instalação/substituição autorizada")),MAX($AC$1:$AC$250)+1,"")</f>
        <v/>
      </c>
      <c r="AD251" s="69" t="str">
        <f aca="false">IF(AND(B251&lt;&gt;"",OR(ISNUMBER(SEARCH("CTO",P251)),LEFT(O251,2)="22",LEFT(O251,2)="23",LEFT(O251,2)="24",LEFT(O251,2)="25",LEFT(O251,2)="26",LEFT(O251,2)="27")),MAX($AD$1:$AD$250)+1,"")</f>
        <v/>
      </c>
      <c r="AE251" s="69" t="str">
        <f aca="false">IF(AND(B251&lt;&gt;"",D251=CONSULTA_UNIDADE!$B$4),MAX($AE$1:$AE$250)+1,"")</f>
        <v/>
      </c>
      <c r="AF251" s="69" t="str">
        <f aca="false">IF(AND(B251&lt;&gt;"",O251&lt;&gt;"27 - Instalação concluída",O251&lt;&gt;"28 - Encerrado",ISNUMBER(S251)),S251*1000+(1000-ROW()),"")</f>
        <v/>
      </c>
      <c r="AG251" s="69" t="str">
        <f aca="false">IF(AF251="","",RANK(AF251,$AF$2:$AF$500))</f>
        <v/>
      </c>
    </row>
    <row r="252" customFormat="false" ht="16.5" hidden="false" customHeight="true" outlineLevel="0" collapsed="false">
      <c r="A252" s="86"/>
      <c r="B252" s="86"/>
      <c r="C252" s="87" t="str">
        <f aca="false">IF(D252="","",IFERROR(INDEX(CADASTRO_VIVO_3CRE!$B$2:$B$150,MATCH(D252,CADASTRO_VIVO_3CRE!$E$2:$E$150,0)),""))</f>
        <v/>
      </c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8"/>
      <c r="S252" s="89" t="str">
        <f aca="true">IF(R252="","",TODAY()-INT(R252))</f>
        <v/>
      </c>
      <c r="T252" s="86"/>
      <c r="U252" s="86"/>
      <c r="V252" s="86"/>
      <c r="W252" s="88"/>
      <c r="X252" s="89" t="str">
        <f aca="true">IF(W252="","",IF(OR(O252="28 - Encerrado",O252="27 - Instalação concluída"),"Concluído",TODAY()-INT(W252)))</f>
        <v/>
      </c>
      <c r="Y252" s="90" t="str">
        <f aca="false">IF(OR(O252="28 - Encerrado",O252="27 - Instalação concluída"),"OK",IF(AND(B252&lt;&gt;"",S252=""),"ATENÇÃO (Sem data de atualização)",IF(S252="","",IF(S252&gt;30,"CRÍTICO (Sem Atualização &gt;30 dias)",IF(S252&gt;15,"ATENÇÃO (Sem Atualização &gt;15 dias)",IF(X252&gt;90,"CRÍTICO (Aberto &gt;90 dias)","OK"))))))</f>
        <v/>
      </c>
      <c r="Z252" s="90" t="str">
        <f aca="false">IF(B252="","",IF(OR(O252="27 - Instalação concluída",O252="28 - Encerrado"),"OK",IF(NOT(ISNUMBER(X252)),"",IF(X252&gt;365,"MUITO ANTIGO (&gt;1 ano)",IF(X252&gt;180,"ANTIGO (&gt;6 meses)",IF(X252&gt;90,"ATENÇÃO ANTIG. (&gt;3 meses)","OK"))))))</f>
        <v/>
      </c>
      <c r="AA252" s="86"/>
      <c r="AB252" s="69" t="str">
        <f aca="false">IF(AND(B252&lt;&gt;"",OR(T252="Pendente de Vistoria",T252="Não validada")),MAX($AB$1:$AB$251)+1,"")</f>
        <v/>
      </c>
      <c r="AC252" s="69" t="str">
        <f aca="false">IF(AND(B252&lt;&gt;"",OR(ISNUMBER(SEARCH("CTIN",P252)),U252="Alta",O252="07 - Relatório recebido — unidade apta",O252="11 - Orçamentos em análise técnica",O252="22 - Instalação/substituição autorizada")),MAX($AC$1:$AC$251)+1,"")</f>
        <v/>
      </c>
      <c r="AD252" s="69" t="str">
        <f aca="false">IF(AND(B252&lt;&gt;"",OR(ISNUMBER(SEARCH("CTO",P252)),LEFT(O252,2)="22",LEFT(O252,2)="23",LEFT(O252,2)="24",LEFT(O252,2)="25",LEFT(O252,2)="26",LEFT(O252,2)="27")),MAX($AD$1:$AD$251)+1,"")</f>
        <v/>
      </c>
      <c r="AE252" s="69" t="str">
        <f aca="false">IF(AND(B252&lt;&gt;"",D252=CONSULTA_UNIDADE!$B$4),MAX($AE$1:$AE$251)+1,"")</f>
        <v/>
      </c>
      <c r="AF252" s="69" t="str">
        <f aca="false">IF(AND(B252&lt;&gt;"",O252&lt;&gt;"27 - Instalação concluída",O252&lt;&gt;"28 - Encerrado",ISNUMBER(S252)),S252*1000+(1000-ROW()),"")</f>
        <v/>
      </c>
      <c r="AG252" s="69" t="str">
        <f aca="false">IF(AF252="","",RANK(AF252,$AF$2:$AF$500))</f>
        <v/>
      </c>
    </row>
    <row r="253" customFormat="false" ht="16.5" hidden="false" customHeight="true" outlineLevel="0" collapsed="false">
      <c r="A253" s="86"/>
      <c r="B253" s="86"/>
      <c r="C253" s="87" t="str">
        <f aca="false">IF(D253="","",IFERROR(INDEX(CADASTRO_VIVO_3CRE!$B$2:$B$150,MATCH(D253,CADASTRO_VIVO_3CRE!$E$2:$E$150,0)),""))</f>
        <v/>
      </c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8"/>
      <c r="S253" s="89" t="str">
        <f aca="true">IF(R253="","",TODAY()-INT(R253))</f>
        <v/>
      </c>
      <c r="T253" s="86"/>
      <c r="U253" s="86"/>
      <c r="V253" s="86"/>
      <c r="W253" s="88"/>
      <c r="X253" s="89" t="str">
        <f aca="true">IF(W253="","",IF(OR(O253="28 - Encerrado",O253="27 - Instalação concluída"),"Concluído",TODAY()-INT(W253)))</f>
        <v/>
      </c>
      <c r="Y253" s="90" t="str">
        <f aca="false">IF(OR(O253="28 - Encerrado",O253="27 - Instalação concluída"),"OK",IF(AND(B253&lt;&gt;"",S253=""),"ATENÇÃO (Sem data de atualização)",IF(S253="","",IF(S253&gt;30,"CRÍTICO (Sem Atualização &gt;30 dias)",IF(S253&gt;15,"ATENÇÃO (Sem Atualização &gt;15 dias)",IF(X253&gt;90,"CRÍTICO (Aberto &gt;90 dias)","OK"))))))</f>
        <v/>
      </c>
      <c r="Z253" s="90" t="str">
        <f aca="false">IF(B253="","",IF(OR(O253="27 - Instalação concluída",O253="28 - Encerrado"),"OK",IF(NOT(ISNUMBER(X253)),"",IF(X253&gt;365,"MUITO ANTIGO (&gt;1 ano)",IF(X253&gt;180,"ANTIGO (&gt;6 meses)",IF(X253&gt;90,"ATENÇÃO ANTIG. (&gt;3 meses)","OK"))))))</f>
        <v/>
      </c>
      <c r="AA253" s="86"/>
      <c r="AB253" s="69" t="str">
        <f aca="false">IF(AND(B253&lt;&gt;"",OR(T253="Pendente de Vistoria",T253="Não validada")),MAX($AB$1:$AB$252)+1,"")</f>
        <v/>
      </c>
      <c r="AC253" s="69" t="str">
        <f aca="false">IF(AND(B253&lt;&gt;"",OR(ISNUMBER(SEARCH("CTIN",P253)),U253="Alta",O253="07 - Relatório recebido — unidade apta",O253="11 - Orçamentos em análise técnica",O253="22 - Instalação/substituição autorizada")),MAX($AC$1:$AC$252)+1,"")</f>
        <v/>
      </c>
      <c r="AD253" s="69" t="str">
        <f aca="false">IF(AND(B253&lt;&gt;"",OR(ISNUMBER(SEARCH("CTO",P253)),LEFT(O253,2)="22",LEFT(O253,2)="23",LEFT(O253,2)="24",LEFT(O253,2)="25",LEFT(O253,2)="26",LEFT(O253,2)="27")),MAX($AD$1:$AD$252)+1,"")</f>
        <v/>
      </c>
      <c r="AE253" s="69" t="str">
        <f aca="false">IF(AND(B253&lt;&gt;"",D253=CONSULTA_UNIDADE!$B$4),MAX($AE$1:$AE$252)+1,"")</f>
        <v/>
      </c>
      <c r="AF253" s="69" t="str">
        <f aca="false">IF(AND(B253&lt;&gt;"",O253&lt;&gt;"27 - Instalação concluída",O253&lt;&gt;"28 - Encerrado",ISNUMBER(S253)),S253*1000+(1000-ROW()),"")</f>
        <v/>
      </c>
      <c r="AG253" s="69" t="str">
        <f aca="false">IF(AF253="","",RANK(AF253,$AF$2:$AF$500))</f>
        <v/>
      </c>
    </row>
    <row r="254" customFormat="false" ht="16.5" hidden="false" customHeight="true" outlineLevel="0" collapsed="false">
      <c r="A254" s="86"/>
      <c r="B254" s="86"/>
      <c r="C254" s="87" t="str">
        <f aca="false">IF(D254="","",IFERROR(INDEX(CADASTRO_VIVO_3CRE!$B$2:$B$150,MATCH(D254,CADASTRO_VIVO_3CRE!$E$2:$E$150,0)),""))</f>
        <v/>
      </c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8"/>
      <c r="S254" s="89" t="str">
        <f aca="true">IF(R254="","",TODAY()-INT(R254))</f>
        <v/>
      </c>
      <c r="T254" s="86"/>
      <c r="U254" s="86"/>
      <c r="V254" s="86"/>
      <c r="W254" s="88"/>
      <c r="X254" s="89" t="str">
        <f aca="true">IF(W254="","",IF(OR(O254="28 - Encerrado",O254="27 - Instalação concluída"),"Concluído",TODAY()-INT(W254)))</f>
        <v/>
      </c>
      <c r="Y254" s="90" t="str">
        <f aca="false">IF(OR(O254="28 - Encerrado",O254="27 - Instalação concluída"),"OK",IF(AND(B254&lt;&gt;"",S254=""),"ATENÇÃO (Sem data de atualização)",IF(S254="","",IF(S254&gt;30,"CRÍTICO (Sem Atualização &gt;30 dias)",IF(S254&gt;15,"ATENÇÃO (Sem Atualização &gt;15 dias)",IF(X254&gt;90,"CRÍTICO (Aberto &gt;90 dias)","OK"))))))</f>
        <v/>
      </c>
      <c r="Z254" s="90" t="str">
        <f aca="false">IF(B254="","",IF(OR(O254="27 - Instalação concluída",O254="28 - Encerrado"),"OK",IF(NOT(ISNUMBER(X254)),"",IF(X254&gt;365,"MUITO ANTIGO (&gt;1 ano)",IF(X254&gt;180,"ANTIGO (&gt;6 meses)",IF(X254&gt;90,"ATENÇÃO ANTIG. (&gt;3 meses)","OK"))))))</f>
        <v/>
      </c>
      <c r="AA254" s="86"/>
      <c r="AB254" s="69" t="str">
        <f aca="false">IF(AND(B254&lt;&gt;"",OR(T254="Pendente de Vistoria",T254="Não validada")),MAX($AB$1:$AB$253)+1,"")</f>
        <v/>
      </c>
      <c r="AC254" s="69" t="str">
        <f aca="false">IF(AND(B254&lt;&gt;"",OR(ISNUMBER(SEARCH("CTIN",P254)),U254="Alta",O254="07 - Relatório recebido — unidade apta",O254="11 - Orçamentos em análise técnica",O254="22 - Instalação/substituição autorizada")),MAX($AC$1:$AC$253)+1,"")</f>
        <v/>
      </c>
      <c r="AD254" s="69" t="str">
        <f aca="false">IF(AND(B254&lt;&gt;"",OR(ISNUMBER(SEARCH("CTO",P254)),LEFT(O254,2)="22",LEFT(O254,2)="23",LEFT(O254,2)="24",LEFT(O254,2)="25",LEFT(O254,2)="26",LEFT(O254,2)="27")),MAX($AD$1:$AD$253)+1,"")</f>
        <v/>
      </c>
      <c r="AE254" s="69" t="str">
        <f aca="false">IF(AND(B254&lt;&gt;"",D254=CONSULTA_UNIDADE!$B$4),MAX($AE$1:$AE$253)+1,"")</f>
        <v/>
      </c>
      <c r="AF254" s="69" t="str">
        <f aca="false">IF(AND(B254&lt;&gt;"",O254&lt;&gt;"27 - Instalação concluída",O254&lt;&gt;"28 - Encerrado",ISNUMBER(S254)),S254*1000+(1000-ROW()),"")</f>
        <v/>
      </c>
      <c r="AG254" s="69" t="str">
        <f aca="false">IF(AF254="","",RANK(AF254,$AF$2:$AF$500))</f>
        <v/>
      </c>
    </row>
    <row r="255" customFormat="false" ht="16.5" hidden="false" customHeight="true" outlineLevel="0" collapsed="false">
      <c r="A255" s="86"/>
      <c r="B255" s="86"/>
      <c r="C255" s="87" t="str">
        <f aca="false">IF(D255="","",IFERROR(INDEX(CADASTRO_VIVO_3CRE!$B$2:$B$150,MATCH(D255,CADASTRO_VIVO_3CRE!$E$2:$E$150,0)),""))</f>
        <v/>
      </c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8"/>
      <c r="S255" s="89" t="str">
        <f aca="true">IF(R255="","",TODAY()-INT(R255))</f>
        <v/>
      </c>
      <c r="T255" s="86"/>
      <c r="U255" s="86"/>
      <c r="V255" s="86"/>
      <c r="W255" s="88"/>
      <c r="X255" s="89" t="str">
        <f aca="true">IF(W255="","",IF(OR(O255="28 - Encerrado",O255="27 - Instalação concluída"),"Concluído",TODAY()-INT(W255)))</f>
        <v/>
      </c>
      <c r="Y255" s="90" t="str">
        <f aca="false">IF(OR(O255="28 - Encerrado",O255="27 - Instalação concluída"),"OK",IF(AND(B255&lt;&gt;"",S255=""),"ATENÇÃO (Sem data de atualização)",IF(S255="","",IF(S255&gt;30,"CRÍTICO (Sem Atualização &gt;30 dias)",IF(S255&gt;15,"ATENÇÃO (Sem Atualização &gt;15 dias)",IF(X255&gt;90,"CRÍTICO (Aberto &gt;90 dias)","OK"))))))</f>
        <v/>
      </c>
      <c r="Z255" s="90" t="str">
        <f aca="false">IF(B255="","",IF(OR(O255="27 - Instalação concluída",O255="28 - Encerrado"),"OK",IF(NOT(ISNUMBER(X255)),"",IF(X255&gt;365,"MUITO ANTIGO (&gt;1 ano)",IF(X255&gt;180,"ANTIGO (&gt;6 meses)",IF(X255&gt;90,"ATENÇÃO ANTIG. (&gt;3 meses)","OK"))))))</f>
        <v/>
      </c>
      <c r="AA255" s="86"/>
      <c r="AB255" s="69" t="str">
        <f aca="false">IF(AND(B255&lt;&gt;"",OR(T255="Pendente de Vistoria",T255="Não validada")),MAX($AB$1:$AB$254)+1,"")</f>
        <v/>
      </c>
      <c r="AC255" s="69" t="str">
        <f aca="false">IF(AND(B255&lt;&gt;"",OR(ISNUMBER(SEARCH("CTIN",P255)),U255="Alta",O255="07 - Relatório recebido — unidade apta",O255="11 - Orçamentos em análise técnica",O255="22 - Instalação/substituição autorizada")),MAX($AC$1:$AC$254)+1,"")</f>
        <v/>
      </c>
      <c r="AD255" s="69" t="str">
        <f aca="false">IF(AND(B255&lt;&gt;"",OR(ISNUMBER(SEARCH("CTO",P255)),LEFT(O255,2)="22",LEFT(O255,2)="23",LEFT(O255,2)="24",LEFT(O255,2)="25",LEFT(O255,2)="26",LEFT(O255,2)="27")),MAX($AD$1:$AD$254)+1,"")</f>
        <v/>
      </c>
      <c r="AE255" s="69" t="str">
        <f aca="false">IF(AND(B255&lt;&gt;"",D255=CONSULTA_UNIDADE!$B$4),MAX($AE$1:$AE$254)+1,"")</f>
        <v/>
      </c>
      <c r="AF255" s="69" t="str">
        <f aca="false">IF(AND(B255&lt;&gt;"",O255&lt;&gt;"27 - Instalação concluída",O255&lt;&gt;"28 - Encerrado",ISNUMBER(S255)),S255*1000+(1000-ROW()),"")</f>
        <v/>
      </c>
      <c r="AG255" s="69" t="str">
        <f aca="false">IF(AF255="","",RANK(AF255,$AF$2:$AF$500))</f>
        <v/>
      </c>
    </row>
    <row r="256" customFormat="false" ht="16.5" hidden="false" customHeight="true" outlineLevel="0" collapsed="false">
      <c r="A256" s="86"/>
      <c r="B256" s="86"/>
      <c r="C256" s="87" t="str">
        <f aca="false">IF(D256="","",IFERROR(INDEX(CADASTRO_VIVO_3CRE!$B$2:$B$150,MATCH(D256,CADASTRO_VIVO_3CRE!$E$2:$E$150,0)),""))</f>
        <v/>
      </c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8"/>
      <c r="S256" s="89" t="str">
        <f aca="true">IF(R256="","",TODAY()-INT(R256))</f>
        <v/>
      </c>
      <c r="T256" s="86"/>
      <c r="U256" s="86"/>
      <c r="V256" s="86"/>
      <c r="W256" s="88"/>
      <c r="X256" s="89" t="str">
        <f aca="true">IF(W256="","",IF(OR(O256="28 - Encerrado",O256="27 - Instalação concluída"),"Concluído",TODAY()-INT(W256)))</f>
        <v/>
      </c>
      <c r="Y256" s="90" t="str">
        <f aca="false">IF(OR(O256="28 - Encerrado",O256="27 - Instalação concluída"),"OK",IF(AND(B256&lt;&gt;"",S256=""),"ATENÇÃO (Sem data de atualização)",IF(S256="","",IF(S256&gt;30,"CRÍTICO (Sem Atualização &gt;30 dias)",IF(S256&gt;15,"ATENÇÃO (Sem Atualização &gt;15 dias)",IF(X256&gt;90,"CRÍTICO (Aberto &gt;90 dias)","OK"))))))</f>
        <v/>
      </c>
      <c r="Z256" s="90" t="str">
        <f aca="false">IF(B256="","",IF(OR(O256="27 - Instalação concluída",O256="28 - Encerrado"),"OK",IF(NOT(ISNUMBER(X256)),"",IF(X256&gt;365,"MUITO ANTIGO (&gt;1 ano)",IF(X256&gt;180,"ANTIGO (&gt;6 meses)",IF(X256&gt;90,"ATENÇÃO ANTIG. (&gt;3 meses)","OK"))))))</f>
        <v/>
      </c>
      <c r="AA256" s="86"/>
      <c r="AB256" s="69" t="str">
        <f aca="false">IF(AND(B256&lt;&gt;"",OR(T256="Pendente de Vistoria",T256="Não validada")),MAX($AB$1:$AB$255)+1,"")</f>
        <v/>
      </c>
      <c r="AC256" s="69" t="str">
        <f aca="false">IF(AND(B256&lt;&gt;"",OR(ISNUMBER(SEARCH("CTIN",P256)),U256="Alta",O256="07 - Relatório recebido — unidade apta",O256="11 - Orçamentos em análise técnica",O256="22 - Instalação/substituição autorizada")),MAX($AC$1:$AC$255)+1,"")</f>
        <v/>
      </c>
      <c r="AD256" s="69" t="str">
        <f aca="false">IF(AND(B256&lt;&gt;"",OR(ISNUMBER(SEARCH("CTO",P256)),LEFT(O256,2)="22",LEFT(O256,2)="23",LEFT(O256,2)="24",LEFT(O256,2)="25",LEFT(O256,2)="26",LEFT(O256,2)="27")),MAX($AD$1:$AD$255)+1,"")</f>
        <v/>
      </c>
      <c r="AE256" s="69" t="str">
        <f aca="false">IF(AND(B256&lt;&gt;"",D256=CONSULTA_UNIDADE!$B$4),MAX($AE$1:$AE$255)+1,"")</f>
        <v/>
      </c>
      <c r="AF256" s="69" t="str">
        <f aca="false">IF(AND(B256&lt;&gt;"",O256&lt;&gt;"27 - Instalação concluída",O256&lt;&gt;"28 - Encerrado",ISNUMBER(S256)),S256*1000+(1000-ROW()),"")</f>
        <v/>
      </c>
      <c r="AG256" s="69" t="str">
        <f aca="false">IF(AF256="","",RANK(AF256,$AF$2:$AF$500))</f>
        <v/>
      </c>
    </row>
    <row r="257" customFormat="false" ht="16.5" hidden="false" customHeight="true" outlineLevel="0" collapsed="false">
      <c r="A257" s="86"/>
      <c r="B257" s="86"/>
      <c r="C257" s="87" t="str">
        <f aca="false">IF(D257="","",IFERROR(INDEX(CADASTRO_VIVO_3CRE!$B$2:$B$150,MATCH(D257,CADASTRO_VIVO_3CRE!$E$2:$E$150,0)),""))</f>
        <v/>
      </c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8"/>
      <c r="S257" s="89" t="str">
        <f aca="true">IF(R257="","",TODAY()-INT(R257))</f>
        <v/>
      </c>
      <c r="T257" s="86"/>
      <c r="U257" s="86"/>
      <c r="V257" s="86"/>
      <c r="W257" s="88"/>
      <c r="X257" s="89" t="str">
        <f aca="true">IF(W257="","",IF(OR(O257="28 - Encerrado",O257="27 - Instalação concluída"),"Concluído",TODAY()-INT(W257)))</f>
        <v/>
      </c>
      <c r="Y257" s="90" t="str">
        <f aca="false">IF(OR(O257="28 - Encerrado",O257="27 - Instalação concluída"),"OK",IF(AND(B257&lt;&gt;"",S257=""),"ATENÇÃO (Sem data de atualização)",IF(S257="","",IF(S257&gt;30,"CRÍTICO (Sem Atualização &gt;30 dias)",IF(S257&gt;15,"ATENÇÃO (Sem Atualização &gt;15 dias)",IF(X257&gt;90,"CRÍTICO (Aberto &gt;90 dias)","OK"))))))</f>
        <v/>
      </c>
      <c r="Z257" s="90" t="str">
        <f aca="false">IF(B257="","",IF(OR(O257="27 - Instalação concluída",O257="28 - Encerrado"),"OK",IF(NOT(ISNUMBER(X257)),"",IF(X257&gt;365,"MUITO ANTIGO (&gt;1 ano)",IF(X257&gt;180,"ANTIGO (&gt;6 meses)",IF(X257&gt;90,"ATENÇÃO ANTIG. (&gt;3 meses)","OK"))))))</f>
        <v/>
      </c>
      <c r="AA257" s="86"/>
      <c r="AB257" s="69" t="str">
        <f aca="false">IF(AND(B257&lt;&gt;"",OR(T257="Pendente de Vistoria",T257="Não validada")),MAX($AB$1:$AB$256)+1,"")</f>
        <v/>
      </c>
      <c r="AC257" s="69" t="str">
        <f aca="false">IF(AND(B257&lt;&gt;"",OR(ISNUMBER(SEARCH("CTIN",P257)),U257="Alta",O257="07 - Relatório recebido — unidade apta",O257="11 - Orçamentos em análise técnica",O257="22 - Instalação/substituição autorizada")),MAX($AC$1:$AC$256)+1,"")</f>
        <v/>
      </c>
      <c r="AD257" s="69" t="str">
        <f aca="false">IF(AND(B257&lt;&gt;"",OR(ISNUMBER(SEARCH("CTO",P257)),LEFT(O257,2)="22",LEFT(O257,2)="23",LEFT(O257,2)="24",LEFT(O257,2)="25",LEFT(O257,2)="26",LEFT(O257,2)="27")),MAX($AD$1:$AD$256)+1,"")</f>
        <v/>
      </c>
      <c r="AE257" s="69" t="str">
        <f aca="false">IF(AND(B257&lt;&gt;"",D257=CONSULTA_UNIDADE!$B$4),MAX($AE$1:$AE$256)+1,"")</f>
        <v/>
      </c>
      <c r="AF257" s="69" t="str">
        <f aca="false">IF(AND(B257&lt;&gt;"",O257&lt;&gt;"27 - Instalação concluída",O257&lt;&gt;"28 - Encerrado",ISNUMBER(S257)),S257*1000+(1000-ROW()),"")</f>
        <v/>
      </c>
      <c r="AG257" s="69" t="str">
        <f aca="false">IF(AF257="","",RANK(AF257,$AF$2:$AF$500))</f>
        <v/>
      </c>
    </row>
    <row r="258" customFormat="false" ht="16.5" hidden="false" customHeight="true" outlineLevel="0" collapsed="false">
      <c r="A258" s="86"/>
      <c r="B258" s="86"/>
      <c r="C258" s="87" t="str">
        <f aca="false">IF(D258="","",IFERROR(INDEX(CADASTRO_VIVO_3CRE!$B$2:$B$150,MATCH(D258,CADASTRO_VIVO_3CRE!$E$2:$E$150,0)),""))</f>
        <v/>
      </c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8"/>
      <c r="S258" s="89" t="str">
        <f aca="true">IF(R258="","",TODAY()-INT(R258))</f>
        <v/>
      </c>
      <c r="T258" s="86"/>
      <c r="U258" s="86"/>
      <c r="V258" s="86"/>
      <c r="W258" s="88"/>
      <c r="X258" s="89" t="str">
        <f aca="true">IF(W258="","",IF(OR(O258="28 - Encerrado",O258="27 - Instalação concluída"),"Concluído",TODAY()-INT(W258)))</f>
        <v/>
      </c>
      <c r="Y258" s="90" t="str">
        <f aca="false">IF(OR(O258="28 - Encerrado",O258="27 - Instalação concluída"),"OK",IF(AND(B258&lt;&gt;"",S258=""),"ATENÇÃO (Sem data de atualização)",IF(S258="","",IF(S258&gt;30,"CRÍTICO (Sem Atualização &gt;30 dias)",IF(S258&gt;15,"ATENÇÃO (Sem Atualização &gt;15 dias)",IF(X258&gt;90,"CRÍTICO (Aberto &gt;90 dias)","OK"))))))</f>
        <v/>
      </c>
      <c r="Z258" s="90" t="str">
        <f aca="false">IF(B258="","",IF(OR(O258="27 - Instalação concluída",O258="28 - Encerrado"),"OK",IF(NOT(ISNUMBER(X258)),"",IF(X258&gt;365,"MUITO ANTIGO (&gt;1 ano)",IF(X258&gt;180,"ANTIGO (&gt;6 meses)",IF(X258&gt;90,"ATENÇÃO ANTIG. (&gt;3 meses)","OK"))))))</f>
        <v/>
      </c>
      <c r="AA258" s="86"/>
      <c r="AB258" s="69" t="str">
        <f aca="false">IF(AND(B258&lt;&gt;"",OR(T258="Pendente de Vistoria",T258="Não validada")),MAX($AB$1:$AB$257)+1,"")</f>
        <v/>
      </c>
      <c r="AC258" s="69" t="str">
        <f aca="false">IF(AND(B258&lt;&gt;"",OR(ISNUMBER(SEARCH("CTIN",P258)),U258="Alta",O258="07 - Relatório recebido — unidade apta",O258="11 - Orçamentos em análise técnica",O258="22 - Instalação/substituição autorizada")),MAX($AC$1:$AC$257)+1,"")</f>
        <v/>
      </c>
      <c r="AD258" s="69" t="str">
        <f aca="false">IF(AND(B258&lt;&gt;"",OR(ISNUMBER(SEARCH("CTO",P258)),LEFT(O258,2)="22",LEFT(O258,2)="23",LEFT(O258,2)="24",LEFT(O258,2)="25",LEFT(O258,2)="26",LEFT(O258,2)="27")),MAX($AD$1:$AD$257)+1,"")</f>
        <v/>
      </c>
      <c r="AE258" s="69" t="str">
        <f aca="false">IF(AND(B258&lt;&gt;"",D258=CONSULTA_UNIDADE!$B$4),MAX($AE$1:$AE$257)+1,"")</f>
        <v/>
      </c>
      <c r="AF258" s="69" t="str">
        <f aca="false">IF(AND(B258&lt;&gt;"",O258&lt;&gt;"27 - Instalação concluída",O258&lt;&gt;"28 - Encerrado",ISNUMBER(S258)),S258*1000+(1000-ROW()),"")</f>
        <v/>
      </c>
      <c r="AG258" s="69" t="str">
        <f aca="false">IF(AF258="","",RANK(AF258,$AF$2:$AF$500))</f>
        <v/>
      </c>
    </row>
    <row r="259" customFormat="false" ht="16.5" hidden="false" customHeight="true" outlineLevel="0" collapsed="false">
      <c r="A259" s="86"/>
      <c r="B259" s="86"/>
      <c r="C259" s="87" t="str">
        <f aca="false">IF(D259="","",IFERROR(INDEX(CADASTRO_VIVO_3CRE!$B$2:$B$150,MATCH(D259,CADASTRO_VIVO_3CRE!$E$2:$E$150,0)),""))</f>
        <v/>
      </c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8"/>
      <c r="S259" s="89" t="str">
        <f aca="true">IF(R259="","",TODAY()-INT(R259))</f>
        <v/>
      </c>
      <c r="T259" s="86"/>
      <c r="U259" s="86"/>
      <c r="V259" s="86"/>
      <c r="W259" s="88"/>
      <c r="X259" s="89" t="str">
        <f aca="true">IF(W259="","",IF(OR(O259="28 - Encerrado",O259="27 - Instalação concluída"),"Concluído",TODAY()-INT(W259)))</f>
        <v/>
      </c>
      <c r="Y259" s="90" t="str">
        <f aca="false">IF(OR(O259="28 - Encerrado",O259="27 - Instalação concluída"),"OK",IF(AND(B259&lt;&gt;"",S259=""),"ATENÇÃO (Sem data de atualização)",IF(S259="","",IF(S259&gt;30,"CRÍTICO (Sem Atualização &gt;30 dias)",IF(S259&gt;15,"ATENÇÃO (Sem Atualização &gt;15 dias)",IF(X259&gt;90,"CRÍTICO (Aberto &gt;90 dias)","OK"))))))</f>
        <v/>
      </c>
      <c r="Z259" s="90" t="str">
        <f aca="false">IF(B259="","",IF(OR(O259="27 - Instalação concluída",O259="28 - Encerrado"),"OK",IF(NOT(ISNUMBER(X259)),"",IF(X259&gt;365,"MUITO ANTIGO (&gt;1 ano)",IF(X259&gt;180,"ANTIGO (&gt;6 meses)",IF(X259&gt;90,"ATENÇÃO ANTIG. (&gt;3 meses)","OK"))))))</f>
        <v/>
      </c>
      <c r="AA259" s="86"/>
      <c r="AB259" s="69" t="str">
        <f aca="false">IF(AND(B259&lt;&gt;"",OR(T259="Pendente de Vistoria",T259="Não validada")),MAX($AB$1:$AB$258)+1,"")</f>
        <v/>
      </c>
      <c r="AC259" s="69" t="str">
        <f aca="false">IF(AND(B259&lt;&gt;"",OR(ISNUMBER(SEARCH("CTIN",P259)),U259="Alta",O259="07 - Relatório recebido — unidade apta",O259="11 - Orçamentos em análise técnica",O259="22 - Instalação/substituição autorizada")),MAX($AC$1:$AC$258)+1,"")</f>
        <v/>
      </c>
      <c r="AD259" s="69" t="str">
        <f aca="false">IF(AND(B259&lt;&gt;"",OR(ISNUMBER(SEARCH("CTO",P259)),LEFT(O259,2)="22",LEFT(O259,2)="23",LEFT(O259,2)="24",LEFT(O259,2)="25",LEFT(O259,2)="26",LEFT(O259,2)="27")),MAX($AD$1:$AD$258)+1,"")</f>
        <v/>
      </c>
      <c r="AE259" s="69" t="str">
        <f aca="false">IF(AND(B259&lt;&gt;"",D259=CONSULTA_UNIDADE!$B$4),MAX($AE$1:$AE$258)+1,"")</f>
        <v/>
      </c>
      <c r="AF259" s="69" t="str">
        <f aca="false">IF(AND(B259&lt;&gt;"",O259&lt;&gt;"27 - Instalação concluída",O259&lt;&gt;"28 - Encerrado",ISNUMBER(S259)),S259*1000+(1000-ROW()),"")</f>
        <v/>
      </c>
      <c r="AG259" s="69" t="str">
        <f aca="false">IF(AF259="","",RANK(AF259,$AF$2:$AF$500))</f>
        <v/>
      </c>
    </row>
    <row r="260" customFormat="false" ht="16.5" hidden="false" customHeight="true" outlineLevel="0" collapsed="false">
      <c r="A260" s="86"/>
      <c r="B260" s="86"/>
      <c r="C260" s="87" t="str">
        <f aca="false">IF(D260="","",IFERROR(INDEX(CADASTRO_VIVO_3CRE!$B$2:$B$150,MATCH(D260,CADASTRO_VIVO_3CRE!$E$2:$E$150,0)),""))</f>
        <v/>
      </c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8"/>
      <c r="S260" s="89" t="str">
        <f aca="true">IF(R260="","",TODAY()-INT(R260))</f>
        <v/>
      </c>
      <c r="T260" s="86"/>
      <c r="U260" s="86"/>
      <c r="V260" s="86"/>
      <c r="W260" s="88"/>
      <c r="X260" s="89" t="str">
        <f aca="true">IF(W260="","",IF(OR(O260="28 - Encerrado",O260="27 - Instalação concluída"),"Concluído",TODAY()-INT(W260)))</f>
        <v/>
      </c>
      <c r="Y260" s="90" t="str">
        <f aca="false">IF(OR(O260="28 - Encerrado",O260="27 - Instalação concluída"),"OK",IF(AND(B260&lt;&gt;"",S260=""),"ATENÇÃO (Sem data de atualização)",IF(S260="","",IF(S260&gt;30,"CRÍTICO (Sem Atualização &gt;30 dias)",IF(S260&gt;15,"ATENÇÃO (Sem Atualização &gt;15 dias)",IF(X260&gt;90,"CRÍTICO (Aberto &gt;90 dias)","OK"))))))</f>
        <v/>
      </c>
      <c r="Z260" s="90" t="str">
        <f aca="false">IF(B260="","",IF(OR(O260="27 - Instalação concluída",O260="28 - Encerrado"),"OK",IF(NOT(ISNUMBER(X260)),"",IF(X260&gt;365,"MUITO ANTIGO (&gt;1 ano)",IF(X260&gt;180,"ANTIGO (&gt;6 meses)",IF(X260&gt;90,"ATENÇÃO ANTIG. (&gt;3 meses)","OK"))))))</f>
        <v/>
      </c>
      <c r="AA260" s="86"/>
      <c r="AB260" s="69" t="str">
        <f aca="false">IF(AND(B260&lt;&gt;"",OR(T260="Pendente de Vistoria",T260="Não validada")),MAX($AB$1:$AB$259)+1,"")</f>
        <v/>
      </c>
      <c r="AC260" s="69" t="str">
        <f aca="false">IF(AND(B260&lt;&gt;"",OR(ISNUMBER(SEARCH("CTIN",P260)),U260="Alta",O260="07 - Relatório recebido — unidade apta",O260="11 - Orçamentos em análise técnica",O260="22 - Instalação/substituição autorizada")),MAX($AC$1:$AC$259)+1,"")</f>
        <v/>
      </c>
      <c r="AD260" s="69" t="str">
        <f aca="false">IF(AND(B260&lt;&gt;"",OR(ISNUMBER(SEARCH("CTO",P260)),LEFT(O260,2)="22",LEFT(O260,2)="23",LEFT(O260,2)="24",LEFT(O260,2)="25",LEFT(O260,2)="26",LEFT(O260,2)="27")),MAX($AD$1:$AD$259)+1,"")</f>
        <v/>
      </c>
      <c r="AE260" s="69" t="str">
        <f aca="false">IF(AND(B260&lt;&gt;"",D260=CONSULTA_UNIDADE!$B$4),MAX($AE$1:$AE$259)+1,"")</f>
        <v/>
      </c>
      <c r="AF260" s="69" t="str">
        <f aca="false">IF(AND(B260&lt;&gt;"",O260&lt;&gt;"27 - Instalação concluída",O260&lt;&gt;"28 - Encerrado",ISNUMBER(S260)),S260*1000+(1000-ROW()),"")</f>
        <v/>
      </c>
      <c r="AG260" s="69" t="str">
        <f aca="false">IF(AF260="","",RANK(AF260,$AF$2:$AF$500))</f>
        <v/>
      </c>
    </row>
    <row r="261" customFormat="false" ht="16.5" hidden="false" customHeight="true" outlineLevel="0" collapsed="false">
      <c r="A261" s="86"/>
      <c r="B261" s="86"/>
      <c r="C261" s="87" t="str">
        <f aca="false">IF(D261="","",IFERROR(INDEX(CADASTRO_VIVO_3CRE!$B$2:$B$150,MATCH(D261,CADASTRO_VIVO_3CRE!$E$2:$E$150,0)),""))</f>
        <v/>
      </c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8"/>
      <c r="S261" s="89" t="str">
        <f aca="true">IF(R261="","",TODAY()-INT(R261))</f>
        <v/>
      </c>
      <c r="T261" s="86"/>
      <c r="U261" s="86"/>
      <c r="V261" s="86"/>
      <c r="W261" s="88"/>
      <c r="X261" s="89" t="str">
        <f aca="true">IF(W261="","",IF(OR(O261="28 - Encerrado",O261="27 - Instalação concluída"),"Concluído",TODAY()-INT(W261)))</f>
        <v/>
      </c>
      <c r="Y261" s="90" t="str">
        <f aca="false">IF(OR(O261="28 - Encerrado",O261="27 - Instalação concluída"),"OK",IF(AND(B261&lt;&gt;"",S261=""),"ATENÇÃO (Sem data de atualização)",IF(S261="","",IF(S261&gt;30,"CRÍTICO (Sem Atualização &gt;30 dias)",IF(S261&gt;15,"ATENÇÃO (Sem Atualização &gt;15 dias)",IF(X261&gt;90,"CRÍTICO (Aberto &gt;90 dias)","OK"))))))</f>
        <v/>
      </c>
      <c r="Z261" s="90" t="str">
        <f aca="false">IF(B261="","",IF(OR(O261="27 - Instalação concluída",O261="28 - Encerrado"),"OK",IF(NOT(ISNUMBER(X261)),"",IF(X261&gt;365,"MUITO ANTIGO (&gt;1 ano)",IF(X261&gt;180,"ANTIGO (&gt;6 meses)",IF(X261&gt;90,"ATENÇÃO ANTIG. (&gt;3 meses)","OK"))))))</f>
        <v/>
      </c>
      <c r="AA261" s="86"/>
      <c r="AB261" s="69" t="str">
        <f aca="false">IF(AND(B261&lt;&gt;"",OR(T261="Pendente de Vistoria",T261="Não validada")),MAX($AB$1:$AB$260)+1,"")</f>
        <v/>
      </c>
      <c r="AC261" s="69" t="str">
        <f aca="false">IF(AND(B261&lt;&gt;"",OR(ISNUMBER(SEARCH("CTIN",P261)),U261="Alta",O261="07 - Relatório recebido — unidade apta",O261="11 - Orçamentos em análise técnica",O261="22 - Instalação/substituição autorizada")),MAX($AC$1:$AC$260)+1,"")</f>
        <v/>
      </c>
      <c r="AD261" s="69" t="str">
        <f aca="false">IF(AND(B261&lt;&gt;"",OR(ISNUMBER(SEARCH("CTO",P261)),LEFT(O261,2)="22",LEFT(O261,2)="23",LEFT(O261,2)="24",LEFT(O261,2)="25",LEFT(O261,2)="26",LEFT(O261,2)="27")),MAX($AD$1:$AD$260)+1,"")</f>
        <v/>
      </c>
      <c r="AE261" s="69" t="str">
        <f aca="false">IF(AND(B261&lt;&gt;"",D261=CONSULTA_UNIDADE!$B$4),MAX($AE$1:$AE$260)+1,"")</f>
        <v/>
      </c>
      <c r="AF261" s="69" t="str">
        <f aca="false">IF(AND(B261&lt;&gt;"",O261&lt;&gt;"27 - Instalação concluída",O261&lt;&gt;"28 - Encerrado",ISNUMBER(S261)),S261*1000+(1000-ROW()),"")</f>
        <v/>
      </c>
      <c r="AG261" s="69" t="str">
        <f aca="false">IF(AF261="","",RANK(AF261,$AF$2:$AF$500))</f>
        <v/>
      </c>
    </row>
    <row r="262" customFormat="false" ht="16.5" hidden="false" customHeight="true" outlineLevel="0" collapsed="false">
      <c r="A262" s="86"/>
      <c r="B262" s="86"/>
      <c r="C262" s="87" t="str">
        <f aca="false">IF(D262="","",IFERROR(INDEX(CADASTRO_VIVO_3CRE!$B$2:$B$150,MATCH(D262,CADASTRO_VIVO_3CRE!$E$2:$E$150,0)),""))</f>
        <v/>
      </c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8"/>
      <c r="S262" s="89" t="str">
        <f aca="true">IF(R262="","",TODAY()-INT(R262))</f>
        <v/>
      </c>
      <c r="T262" s="86"/>
      <c r="U262" s="86"/>
      <c r="V262" s="86"/>
      <c r="W262" s="88"/>
      <c r="X262" s="89" t="str">
        <f aca="true">IF(W262="","",IF(OR(O262="28 - Encerrado",O262="27 - Instalação concluída"),"Concluído",TODAY()-INT(W262)))</f>
        <v/>
      </c>
      <c r="Y262" s="90" t="str">
        <f aca="false">IF(OR(O262="28 - Encerrado",O262="27 - Instalação concluída"),"OK",IF(AND(B262&lt;&gt;"",S262=""),"ATENÇÃO (Sem data de atualização)",IF(S262="","",IF(S262&gt;30,"CRÍTICO (Sem Atualização &gt;30 dias)",IF(S262&gt;15,"ATENÇÃO (Sem Atualização &gt;15 dias)",IF(X262&gt;90,"CRÍTICO (Aberto &gt;90 dias)","OK"))))))</f>
        <v/>
      </c>
      <c r="Z262" s="90" t="str">
        <f aca="false">IF(B262="","",IF(OR(O262="27 - Instalação concluída",O262="28 - Encerrado"),"OK",IF(NOT(ISNUMBER(X262)),"",IF(X262&gt;365,"MUITO ANTIGO (&gt;1 ano)",IF(X262&gt;180,"ANTIGO (&gt;6 meses)",IF(X262&gt;90,"ATENÇÃO ANTIG. (&gt;3 meses)","OK"))))))</f>
        <v/>
      </c>
      <c r="AA262" s="86"/>
      <c r="AB262" s="69" t="str">
        <f aca="false">IF(AND(B262&lt;&gt;"",OR(T262="Pendente de Vistoria",T262="Não validada")),MAX($AB$1:$AB$261)+1,"")</f>
        <v/>
      </c>
      <c r="AC262" s="69" t="str">
        <f aca="false">IF(AND(B262&lt;&gt;"",OR(ISNUMBER(SEARCH("CTIN",P262)),U262="Alta",O262="07 - Relatório recebido — unidade apta",O262="11 - Orçamentos em análise técnica",O262="22 - Instalação/substituição autorizada")),MAX($AC$1:$AC$261)+1,"")</f>
        <v/>
      </c>
      <c r="AD262" s="69" t="str">
        <f aca="false">IF(AND(B262&lt;&gt;"",OR(ISNUMBER(SEARCH("CTO",P262)),LEFT(O262,2)="22",LEFT(O262,2)="23",LEFT(O262,2)="24",LEFT(O262,2)="25",LEFT(O262,2)="26",LEFT(O262,2)="27")),MAX($AD$1:$AD$261)+1,"")</f>
        <v/>
      </c>
      <c r="AE262" s="69" t="str">
        <f aca="false">IF(AND(B262&lt;&gt;"",D262=CONSULTA_UNIDADE!$B$4),MAX($AE$1:$AE$261)+1,"")</f>
        <v/>
      </c>
      <c r="AF262" s="69" t="str">
        <f aca="false">IF(AND(B262&lt;&gt;"",O262&lt;&gt;"27 - Instalação concluída",O262&lt;&gt;"28 - Encerrado",ISNUMBER(S262)),S262*1000+(1000-ROW()),"")</f>
        <v/>
      </c>
      <c r="AG262" s="69" t="str">
        <f aca="false">IF(AF262="","",RANK(AF262,$AF$2:$AF$500))</f>
        <v/>
      </c>
    </row>
    <row r="263" customFormat="false" ht="16.5" hidden="false" customHeight="true" outlineLevel="0" collapsed="false">
      <c r="A263" s="86"/>
      <c r="B263" s="86"/>
      <c r="C263" s="87" t="str">
        <f aca="false">IF(D263="","",IFERROR(INDEX(CADASTRO_VIVO_3CRE!$B$2:$B$150,MATCH(D263,CADASTRO_VIVO_3CRE!$E$2:$E$150,0)),""))</f>
        <v/>
      </c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8"/>
      <c r="S263" s="89" t="str">
        <f aca="true">IF(R263="","",TODAY()-INT(R263))</f>
        <v/>
      </c>
      <c r="T263" s="86"/>
      <c r="U263" s="86"/>
      <c r="V263" s="86"/>
      <c r="W263" s="88"/>
      <c r="X263" s="89" t="str">
        <f aca="true">IF(W263="","",IF(OR(O263="28 - Encerrado",O263="27 - Instalação concluída"),"Concluído",TODAY()-INT(W263)))</f>
        <v/>
      </c>
      <c r="Y263" s="90" t="str">
        <f aca="false">IF(OR(O263="28 - Encerrado",O263="27 - Instalação concluída"),"OK",IF(AND(B263&lt;&gt;"",S263=""),"ATENÇÃO (Sem data de atualização)",IF(S263="","",IF(S263&gt;30,"CRÍTICO (Sem Atualização &gt;30 dias)",IF(S263&gt;15,"ATENÇÃO (Sem Atualização &gt;15 dias)",IF(X263&gt;90,"CRÍTICO (Aberto &gt;90 dias)","OK"))))))</f>
        <v/>
      </c>
      <c r="Z263" s="90" t="str">
        <f aca="false">IF(B263="","",IF(OR(O263="27 - Instalação concluída",O263="28 - Encerrado"),"OK",IF(NOT(ISNUMBER(X263)),"",IF(X263&gt;365,"MUITO ANTIGO (&gt;1 ano)",IF(X263&gt;180,"ANTIGO (&gt;6 meses)",IF(X263&gt;90,"ATENÇÃO ANTIG. (&gt;3 meses)","OK"))))))</f>
        <v/>
      </c>
      <c r="AA263" s="86"/>
      <c r="AB263" s="69" t="str">
        <f aca="false">IF(AND(B263&lt;&gt;"",OR(T263="Pendente de Vistoria",T263="Não validada")),MAX($AB$1:$AB$262)+1,"")</f>
        <v/>
      </c>
      <c r="AC263" s="69" t="str">
        <f aca="false">IF(AND(B263&lt;&gt;"",OR(ISNUMBER(SEARCH("CTIN",P263)),U263="Alta",O263="07 - Relatório recebido — unidade apta",O263="11 - Orçamentos em análise técnica",O263="22 - Instalação/substituição autorizada")),MAX($AC$1:$AC$262)+1,"")</f>
        <v/>
      </c>
      <c r="AD263" s="69" t="str">
        <f aca="false">IF(AND(B263&lt;&gt;"",OR(ISNUMBER(SEARCH("CTO",P263)),LEFT(O263,2)="22",LEFT(O263,2)="23",LEFT(O263,2)="24",LEFT(O263,2)="25",LEFT(O263,2)="26",LEFT(O263,2)="27")),MAX($AD$1:$AD$262)+1,"")</f>
        <v/>
      </c>
      <c r="AE263" s="69" t="str">
        <f aca="false">IF(AND(B263&lt;&gt;"",D263=CONSULTA_UNIDADE!$B$4),MAX($AE$1:$AE$262)+1,"")</f>
        <v/>
      </c>
      <c r="AF263" s="69" t="str">
        <f aca="false">IF(AND(B263&lt;&gt;"",O263&lt;&gt;"27 - Instalação concluída",O263&lt;&gt;"28 - Encerrado",ISNUMBER(S263)),S263*1000+(1000-ROW()),"")</f>
        <v/>
      </c>
      <c r="AG263" s="69" t="str">
        <f aca="false">IF(AF263="","",RANK(AF263,$AF$2:$AF$500))</f>
        <v/>
      </c>
    </row>
    <row r="264" customFormat="false" ht="16.5" hidden="false" customHeight="true" outlineLevel="0" collapsed="false">
      <c r="A264" s="86"/>
      <c r="B264" s="86"/>
      <c r="C264" s="87" t="str">
        <f aca="false">IF(D264="","",IFERROR(INDEX(CADASTRO_VIVO_3CRE!$B$2:$B$150,MATCH(D264,CADASTRO_VIVO_3CRE!$E$2:$E$150,0)),""))</f>
        <v/>
      </c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8"/>
      <c r="S264" s="89" t="str">
        <f aca="true">IF(R264="","",TODAY()-INT(R264))</f>
        <v/>
      </c>
      <c r="T264" s="86"/>
      <c r="U264" s="86"/>
      <c r="V264" s="86"/>
      <c r="W264" s="88"/>
      <c r="X264" s="89" t="str">
        <f aca="true">IF(W264="","",IF(OR(O264="28 - Encerrado",O264="27 - Instalação concluída"),"Concluído",TODAY()-INT(W264)))</f>
        <v/>
      </c>
      <c r="Y264" s="90" t="str">
        <f aca="false">IF(OR(O264="28 - Encerrado",O264="27 - Instalação concluída"),"OK",IF(AND(B264&lt;&gt;"",S264=""),"ATENÇÃO (Sem data de atualização)",IF(S264="","",IF(S264&gt;30,"CRÍTICO (Sem Atualização &gt;30 dias)",IF(S264&gt;15,"ATENÇÃO (Sem Atualização &gt;15 dias)",IF(X264&gt;90,"CRÍTICO (Aberto &gt;90 dias)","OK"))))))</f>
        <v/>
      </c>
      <c r="Z264" s="90" t="str">
        <f aca="false">IF(B264="","",IF(OR(O264="27 - Instalação concluída",O264="28 - Encerrado"),"OK",IF(NOT(ISNUMBER(X264)),"",IF(X264&gt;365,"MUITO ANTIGO (&gt;1 ano)",IF(X264&gt;180,"ANTIGO (&gt;6 meses)",IF(X264&gt;90,"ATENÇÃO ANTIG. (&gt;3 meses)","OK"))))))</f>
        <v/>
      </c>
      <c r="AA264" s="86"/>
      <c r="AB264" s="69" t="str">
        <f aca="false">IF(AND(B264&lt;&gt;"",OR(T264="Pendente de Vistoria",T264="Não validada")),MAX($AB$1:$AB$263)+1,"")</f>
        <v/>
      </c>
      <c r="AC264" s="69" t="str">
        <f aca="false">IF(AND(B264&lt;&gt;"",OR(ISNUMBER(SEARCH("CTIN",P264)),U264="Alta",O264="07 - Relatório recebido — unidade apta",O264="11 - Orçamentos em análise técnica",O264="22 - Instalação/substituição autorizada")),MAX($AC$1:$AC$263)+1,"")</f>
        <v/>
      </c>
      <c r="AD264" s="69" t="str">
        <f aca="false">IF(AND(B264&lt;&gt;"",OR(ISNUMBER(SEARCH("CTO",P264)),LEFT(O264,2)="22",LEFT(O264,2)="23",LEFT(O264,2)="24",LEFT(O264,2)="25",LEFT(O264,2)="26",LEFT(O264,2)="27")),MAX($AD$1:$AD$263)+1,"")</f>
        <v/>
      </c>
      <c r="AE264" s="69" t="str">
        <f aca="false">IF(AND(B264&lt;&gt;"",D264=CONSULTA_UNIDADE!$B$4),MAX($AE$1:$AE$263)+1,"")</f>
        <v/>
      </c>
      <c r="AF264" s="69" t="str">
        <f aca="false">IF(AND(B264&lt;&gt;"",O264&lt;&gt;"27 - Instalação concluída",O264&lt;&gt;"28 - Encerrado",ISNUMBER(S264)),S264*1000+(1000-ROW()),"")</f>
        <v/>
      </c>
      <c r="AG264" s="69" t="str">
        <f aca="false">IF(AF264="","",RANK(AF264,$AF$2:$AF$500))</f>
        <v/>
      </c>
    </row>
    <row r="265" customFormat="false" ht="16.5" hidden="false" customHeight="true" outlineLevel="0" collapsed="false">
      <c r="A265" s="86"/>
      <c r="B265" s="86"/>
      <c r="C265" s="87" t="str">
        <f aca="false">IF(D265="","",IFERROR(INDEX(CADASTRO_VIVO_3CRE!$B$2:$B$150,MATCH(D265,CADASTRO_VIVO_3CRE!$E$2:$E$150,0)),""))</f>
        <v/>
      </c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8"/>
      <c r="S265" s="89" t="str">
        <f aca="true">IF(R265="","",TODAY()-INT(R265))</f>
        <v/>
      </c>
      <c r="T265" s="86"/>
      <c r="U265" s="86"/>
      <c r="V265" s="86"/>
      <c r="W265" s="88"/>
      <c r="X265" s="89" t="str">
        <f aca="true">IF(W265="","",IF(OR(O265="28 - Encerrado",O265="27 - Instalação concluída"),"Concluído",TODAY()-INT(W265)))</f>
        <v/>
      </c>
      <c r="Y265" s="90" t="str">
        <f aca="false">IF(OR(O265="28 - Encerrado",O265="27 - Instalação concluída"),"OK",IF(AND(B265&lt;&gt;"",S265=""),"ATENÇÃO (Sem data de atualização)",IF(S265="","",IF(S265&gt;30,"CRÍTICO (Sem Atualização &gt;30 dias)",IF(S265&gt;15,"ATENÇÃO (Sem Atualização &gt;15 dias)",IF(X265&gt;90,"CRÍTICO (Aberto &gt;90 dias)","OK"))))))</f>
        <v/>
      </c>
      <c r="Z265" s="90" t="str">
        <f aca="false">IF(B265="","",IF(OR(O265="27 - Instalação concluída",O265="28 - Encerrado"),"OK",IF(NOT(ISNUMBER(X265)),"",IF(X265&gt;365,"MUITO ANTIGO (&gt;1 ano)",IF(X265&gt;180,"ANTIGO (&gt;6 meses)",IF(X265&gt;90,"ATENÇÃO ANTIG. (&gt;3 meses)","OK"))))))</f>
        <v/>
      </c>
      <c r="AA265" s="86"/>
      <c r="AB265" s="69" t="str">
        <f aca="false">IF(AND(B265&lt;&gt;"",OR(T265="Pendente de Vistoria",T265="Não validada")),MAX($AB$1:$AB$264)+1,"")</f>
        <v/>
      </c>
      <c r="AC265" s="69" t="str">
        <f aca="false">IF(AND(B265&lt;&gt;"",OR(ISNUMBER(SEARCH("CTIN",P265)),U265="Alta",O265="07 - Relatório recebido — unidade apta",O265="11 - Orçamentos em análise técnica",O265="22 - Instalação/substituição autorizada")),MAX($AC$1:$AC$264)+1,"")</f>
        <v/>
      </c>
      <c r="AD265" s="69" t="str">
        <f aca="false">IF(AND(B265&lt;&gt;"",OR(ISNUMBER(SEARCH("CTO",P265)),LEFT(O265,2)="22",LEFT(O265,2)="23",LEFT(O265,2)="24",LEFT(O265,2)="25",LEFT(O265,2)="26",LEFT(O265,2)="27")),MAX($AD$1:$AD$264)+1,"")</f>
        <v/>
      </c>
      <c r="AE265" s="69" t="str">
        <f aca="false">IF(AND(B265&lt;&gt;"",D265=CONSULTA_UNIDADE!$B$4),MAX($AE$1:$AE$264)+1,"")</f>
        <v/>
      </c>
      <c r="AF265" s="69" t="str">
        <f aca="false">IF(AND(B265&lt;&gt;"",O265&lt;&gt;"27 - Instalação concluída",O265&lt;&gt;"28 - Encerrado",ISNUMBER(S265)),S265*1000+(1000-ROW()),"")</f>
        <v/>
      </c>
      <c r="AG265" s="69" t="str">
        <f aca="false">IF(AF265="","",RANK(AF265,$AF$2:$AF$500))</f>
        <v/>
      </c>
    </row>
    <row r="266" customFormat="false" ht="16.5" hidden="false" customHeight="true" outlineLevel="0" collapsed="false">
      <c r="A266" s="86"/>
      <c r="B266" s="86"/>
      <c r="C266" s="87" t="str">
        <f aca="false">IF(D266="","",IFERROR(INDEX(CADASTRO_VIVO_3CRE!$B$2:$B$150,MATCH(D266,CADASTRO_VIVO_3CRE!$E$2:$E$150,0)),""))</f>
        <v/>
      </c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8"/>
      <c r="S266" s="89" t="str">
        <f aca="true">IF(R266="","",TODAY()-INT(R266))</f>
        <v/>
      </c>
      <c r="T266" s="86"/>
      <c r="U266" s="86"/>
      <c r="V266" s="86"/>
      <c r="W266" s="88"/>
      <c r="X266" s="89" t="str">
        <f aca="true">IF(W266="","",IF(OR(O266="28 - Encerrado",O266="27 - Instalação concluída"),"Concluído",TODAY()-INT(W266)))</f>
        <v/>
      </c>
      <c r="Y266" s="90" t="str">
        <f aca="false">IF(OR(O266="28 - Encerrado",O266="27 - Instalação concluída"),"OK",IF(AND(B266&lt;&gt;"",S266=""),"ATENÇÃO (Sem data de atualização)",IF(S266="","",IF(S266&gt;30,"CRÍTICO (Sem Atualização &gt;30 dias)",IF(S266&gt;15,"ATENÇÃO (Sem Atualização &gt;15 dias)",IF(X266&gt;90,"CRÍTICO (Aberto &gt;90 dias)","OK"))))))</f>
        <v/>
      </c>
      <c r="Z266" s="90" t="str">
        <f aca="false">IF(B266="","",IF(OR(O266="27 - Instalação concluída",O266="28 - Encerrado"),"OK",IF(NOT(ISNUMBER(X266)),"",IF(X266&gt;365,"MUITO ANTIGO (&gt;1 ano)",IF(X266&gt;180,"ANTIGO (&gt;6 meses)",IF(X266&gt;90,"ATENÇÃO ANTIG. (&gt;3 meses)","OK"))))))</f>
        <v/>
      </c>
      <c r="AA266" s="86"/>
      <c r="AB266" s="69" t="str">
        <f aca="false">IF(AND(B266&lt;&gt;"",OR(T266="Pendente de Vistoria",T266="Não validada")),MAX($AB$1:$AB$265)+1,"")</f>
        <v/>
      </c>
      <c r="AC266" s="69" t="str">
        <f aca="false">IF(AND(B266&lt;&gt;"",OR(ISNUMBER(SEARCH("CTIN",P266)),U266="Alta",O266="07 - Relatório recebido — unidade apta",O266="11 - Orçamentos em análise técnica",O266="22 - Instalação/substituição autorizada")),MAX($AC$1:$AC$265)+1,"")</f>
        <v/>
      </c>
      <c r="AD266" s="69" t="str">
        <f aca="false">IF(AND(B266&lt;&gt;"",OR(ISNUMBER(SEARCH("CTO",P266)),LEFT(O266,2)="22",LEFT(O266,2)="23",LEFT(O266,2)="24",LEFT(O266,2)="25",LEFT(O266,2)="26",LEFT(O266,2)="27")),MAX($AD$1:$AD$265)+1,"")</f>
        <v/>
      </c>
      <c r="AE266" s="69" t="str">
        <f aca="false">IF(AND(B266&lt;&gt;"",D266=CONSULTA_UNIDADE!$B$4),MAX($AE$1:$AE$265)+1,"")</f>
        <v/>
      </c>
      <c r="AF266" s="69" t="str">
        <f aca="false">IF(AND(B266&lt;&gt;"",O266&lt;&gt;"27 - Instalação concluída",O266&lt;&gt;"28 - Encerrado",ISNUMBER(S266)),S266*1000+(1000-ROW()),"")</f>
        <v/>
      </c>
      <c r="AG266" s="69" t="str">
        <f aca="false">IF(AF266="","",RANK(AF266,$AF$2:$AF$500))</f>
        <v/>
      </c>
    </row>
    <row r="267" customFormat="false" ht="16.5" hidden="false" customHeight="true" outlineLevel="0" collapsed="false">
      <c r="A267" s="86"/>
      <c r="B267" s="86"/>
      <c r="C267" s="87" t="str">
        <f aca="false">IF(D267="","",IFERROR(INDEX(CADASTRO_VIVO_3CRE!$B$2:$B$150,MATCH(D267,CADASTRO_VIVO_3CRE!$E$2:$E$150,0)),""))</f>
        <v/>
      </c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8"/>
      <c r="S267" s="89" t="str">
        <f aca="true">IF(R267="","",TODAY()-INT(R267))</f>
        <v/>
      </c>
      <c r="T267" s="86"/>
      <c r="U267" s="86"/>
      <c r="V267" s="86"/>
      <c r="W267" s="88"/>
      <c r="X267" s="89" t="str">
        <f aca="true">IF(W267="","",IF(OR(O267="28 - Encerrado",O267="27 - Instalação concluída"),"Concluído",TODAY()-INT(W267)))</f>
        <v/>
      </c>
      <c r="Y267" s="90" t="str">
        <f aca="false">IF(OR(O267="28 - Encerrado",O267="27 - Instalação concluída"),"OK",IF(AND(B267&lt;&gt;"",S267=""),"ATENÇÃO (Sem data de atualização)",IF(S267="","",IF(S267&gt;30,"CRÍTICO (Sem Atualização &gt;30 dias)",IF(S267&gt;15,"ATENÇÃO (Sem Atualização &gt;15 dias)",IF(X267&gt;90,"CRÍTICO (Aberto &gt;90 dias)","OK"))))))</f>
        <v/>
      </c>
      <c r="Z267" s="90" t="str">
        <f aca="false">IF(B267="","",IF(OR(O267="27 - Instalação concluída",O267="28 - Encerrado"),"OK",IF(NOT(ISNUMBER(X267)),"",IF(X267&gt;365,"MUITO ANTIGO (&gt;1 ano)",IF(X267&gt;180,"ANTIGO (&gt;6 meses)",IF(X267&gt;90,"ATENÇÃO ANTIG. (&gt;3 meses)","OK"))))))</f>
        <v/>
      </c>
      <c r="AA267" s="86"/>
      <c r="AB267" s="69" t="str">
        <f aca="false">IF(AND(B267&lt;&gt;"",OR(T267="Pendente de Vistoria",T267="Não validada")),MAX($AB$1:$AB$266)+1,"")</f>
        <v/>
      </c>
      <c r="AC267" s="69" t="str">
        <f aca="false">IF(AND(B267&lt;&gt;"",OR(ISNUMBER(SEARCH("CTIN",P267)),U267="Alta",O267="07 - Relatório recebido — unidade apta",O267="11 - Orçamentos em análise técnica",O267="22 - Instalação/substituição autorizada")),MAX($AC$1:$AC$266)+1,"")</f>
        <v/>
      </c>
      <c r="AD267" s="69" t="str">
        <f aca="false">IF(AND(B267&lt;&gt;"",OR(ISNUMBER(SEARCH("CTO",P267)),LEFT(O267,2)="22",LEFT(O267,2)="23",LEFT(O267,2)="24",LEFT(O267,2)="25",LEFT(O267,2)="26",LEFT(O267,2)="27")),MAX($AD$1:$AD$266)+1,"")</f>
        <v/>
      </c>
      <c r="AE267" s="69" t="str">
        <f aca="false">IF(AND(B267&lt;&gt;"",D267=CONSULTA_UNIDADE!$B$4),MAX($AE$1:$AE$266)+1,"")</f>
        <v/>
      </c>
      <c r="AF267" s="69" t="str">
        <f aca="false">IF(AND(B267&lt;&gt;"",O267&lt;&gt;"27 - Instalação concluída",O267&lt;&gt;"28 - Encerrado",ISNUMBER(S267)),S267*1000+(1000-ROW()),"")</f>
        <v/>
      </c>
      <c r="AG267" s="69" t="str">
        <f aca="false">IF(AF267="","",RANK(AF267,$AF$2:$AF$500))</f>
        <v/>
      </c>
    </row>
    <row r="268" customFormat="false" ht="16.5" hidden="false" customHeight="true" outlineLevel="0" collapsed="false">
      <c r="A268" s="86"/>
      <c r="B268" s="86"/>
      <c r="C268" s="87" t="str">
        <f aca="false">IF(D268="","",IFERROR(INDEX(CADASTRO_VIVO_3CRE!$B$2:$B$150,MATCH(D268,CADASTRO_VIVO_3CRE!$E$2:$E$150,0)),""))</f>
        <v/>
      </c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8"/>
      <c r="S268" s="89" t="str">
        <f aca="true">IF(R268="","",TODAY()-INT(R268))</f>
        <v/>
      </c>
      <c r="T268" s="86"/>
      <c r="U268" s="86"/>
      <c r="V268" s="86"/>
      <c r="W268" s="88"/>
      <c r="X268" s="89" t="str">
        <f aca="true">IF(W268="","",IF(OR(O268="28 - Encerrado",O268="27 - Instalação concluída"),"Concluído",TODAY()-INT(W268)))</f>
        <v/>
      </c>
      <c r="Y268" s="90" t="str">
        <f aca="false">IF(OR(O268="28 - Encerrado",O268="27 - Instalação concluída"),"OK",IF(AND(B268&lt;&gt;"",S268=""),"ATENÇÃO (Sem data de atualização)",IF(S268="","",IF(S268&gt;30,"CRÍTICO (Sem Atualização &gt;30 dias)",IF(S268&gt;15,"ATENÇÃO (Sem Atualização &gt;15 dias)",IF(X268&gt;90,"CRÍTICO (Aberto &gt;90 dias)","OK"))))))</f>
        <v/>
      </c>
      <c r="Z268" s="90" t="str">
        <f aca="false">IF(B268="","",IF(OR(O268="27 - Instalação concluída",O268="28 - Encerrado"),"OK",IF(NOT(ISNUMBER(X268)),"",IF(X268&gt;365,"MUITO ANTIGO (&gt;1 ano)",IF(X268&gt;180,"ANTIGO (&gt;6 meses)",IF(X268&gt;90,"ATENÇÃO ANTIG. (&gt;3 meses)","OK"))))))</f>
        <v/>
      </c>
      <c r="AA268" s="86"/>
      <c r="AB268" s="69" t="str">
        <f aca="false">IF(AND(B268&lt;&gt;"",OR(T268="Pendente de Vistoria",T268="Não validada")),MAX($AB$1:$AB$267)+1,"")</f>
        <v/>
      </c>
      <c r="AC268" s="69" t="str">
        <f aca="false">IF(AND(B268&lt;&gt;"",OR(ISNUMBER(SEARCH("CTIN",P268)),U268="Alta",O268="07 - Relatório recebido — unidade apta",O268="11 - Orçamentos em análise técnica",O268="22 - Instalação/substituição autorizada")),MAX($AC$1:$AC$267)+1,"")</f>
        <v/>
      </c>
      <c r="AD268" s="69" t="str">
        <f aca="false">IF(AND(B268&lt;&gt;"",OR(ISNUMBER(SEARCH("CTO",P268)),LEFT(O268,2)="22",LEFT(O268,2)="23",LEFT(O268,2)="24",LEFT(O268,2)="25",LEFT(O268,2)="26",LEFT(O268,2)="27")),MAX($AD$1:$AD$267)+1,"")</f>
        <v/>
      </c>
      <c r="AE268" s="69" t="str">
        <f aca="false">IF(AND(B268&lt;&gt;"",D268=CONSULTA_UNIDADE!$B$4),MAX($AE$1:$AE$267)+1,"")</f>
        <v/>
      </c>
      <c r="AF268" s="69" t="str">
        <f aca="false">IF(AND(B268&lt;&gt;"",O268&lt;&gt;"27 - Instalação concluída",O268&lt;&gt;"28 - Encerrado",ISNUMBER(S268)),S268*1000+(1000-ROW()),"")</f>
        <v/>
      </c>
      <c r="AG268" s="69" t="str">
        <f aca="false">IF(AF268="","",RANK(AF268,$AF$2:$AF$500))</f>
        <v/>
      </c>
    </row>
    <row r="269" customFormat="false" ht="16.5" hidden="false" customHeight="true" outlineLevel="0" collapsed="false">
      <c r="A269" s="86"/>
      <c r="B269" s="86"/>
      <c r="C269" s="87" t="str">
        <f aca="false">IF(D269="","",IFERROR(INDEX(CADASTRO_VIVO_3CRE!$B$2:$B$150,MATCH(D269,CADASTRO_VIVO_3CRE!$E$2:$E$150,0)),""))</f>
        <v/>
      </c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8"/>
      <c r="S269" s="89" t="str">
        <f aca="true">IF(R269="","",TODAY()-INT(R269))</f>
        <v/>
      </c>
      <c r="T269" s="86"/>
      <c r="U269" s="86"/>
      <c r="V269" s="86"/>
      <c r="W269" s="88"/>
      <c r="X269" s="89" t="str">
        <f aca="true">IF(W269="","",IF(OR(O269="28 - Encerrado",O269="27 - Instalação concluída"),"Concluído",TODAY()-INT(W269)))</f>
        <v/>
      </c>
      <c r="Y269" s="90" t="str">
        <f aca="false">IF(OR(O269="28 - Encerrado",O269="27 - Instalação concluída"),"OK",IF(AND(B269&lt;&gt;"",S269=""),"ATENÇÃO (Sem data de atualização)",IF(S269="","",IF(S269&gt;30,"CRÍTICO (Sem Atualização &gt;30 dias)",IF(S269&gt;15,"ATENÇÃO (Sem Atualização &gt;15 dias)",IF(X269&gt;90,"CRÍTICO (Aberto &gt;90 dias)","OK"))))))</f>
        <v/>
      </c>
      <c r="Z269" s="90" t="str">
        <f aca="false">IF(B269="","",IF(OR(O269="27 - Instalação concluída",O269="28 - Encerrado"),"OK",IF(NOT(ISNUMBER(X269)),"",IF(X269&gt;365,"MUITO ANTIGO (&gt;1 ano)",IF(X269&gt;180,"ANTIGO (&gt;6 meses)",IF(X269&gt;90,"ATENÇÃO ANTIG. (&gt;3 meses)","OK"))))))</f>
        <v/>
      </c>
      <c r="AA269" s="86"/>
      <c r="AB269" s="69" t="str">
        <f aca="false">IF(AND(B269&lt;&gt;"",OR(T269="Pendente de Vistoria",T269="Não validada")),MAX($AB$1:$AB$268)+1,"")</f>
        <v/>
      </c>
      <c r="AC269" s="69" t="str">
        <f aca="false">IF(AND(B269&lt;&gt;"",OR(ISNUMBER(SEARCH("CTIN",P269)),U269="Alta",O269="07 - Relatório recebido — unidade apta",O269="11 - Orçamentos em análise técnica",O269="22 - Instalação/substituição autorizada")),MAX($AC$1:$AC$268)+1,"")</f>
        <v/>
      </c>
      <c r="AD269" s="69" t="str">
        <f aca="false">IF(AND(B269&lt;&gt;"",OR(ISNUMBER(SEARCH("CTO",P269)),LEFT(O269,2)="22",LEFT(O269,2)="23",LEFT(O269,2)="24",LEFT(O269,2)="25",LEFT(O269,2)="26",LEFT(O269,2)="27")),MAX($AD$1:$AD$268)+1,"")</f>
        <v/>
      </c>
      <c r="AE269" s="69" t="str">
        <f aca="false">IF(AND(B269&lt;&gt;"",D269=CONSULTA_UNIDADE!$B$4),MAX($AE$1:$AE$268)+1,"")</f>
        <v/>
      </c>
      <c r="AF269" s="69" t="str">
        <f aca="false">IF(AND(B269&lt;&gt;"",O269&lt;&gt;"27 - Instalação concluída",O269&lt;&gt;"28 - Encerrado",ISNUMBER(S269)),S269*1000+(1000-ROW()),"")</f>
        <v/>
      </c>
      <c r="AG269" s="69" t="str">
        <f aca="false">IF(AF269="","",RANK(AF269,$AF$2:$AF$500))</f>
        <v/>
      </c>
    </row>
    <row r="270" customFormat="false" ht="16.5" hidden="false" customHeight="true" outlineLevel="0" collapsed="false">
      <c r="A270" s="86"/>
      <c r="B270" s="86"/>
      <c r="C270" s="87" t="str">
        <f aca="false">IF(D270="","",IFERROR(INDEX(CADASTRO_VIVO_3CRE!$B$2:$B$150,MATCH(D270,CADASTRO_VIVO_3CRE!$E$2:$E$150,0)),""))</f>
        <v/>
      </c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8"/>
      <c r="S270" s="89" t="str">
        <f aca="true">IF(R270="","",TODAY()-INT(R270))</f>
        <v/>
      </c>
      <c r="T270" s="86"/>
      <c r="U270" s="86"/>
      <c r="V270" s="86"/>
      <c r="W270" s="88"/>
      <c r="X270" s="89" t="str">
        <f aca="true">IF(W270="","",IF(OR(O270="28 - Encerrado",O270="27 - Instalação concluída"),"Concluído",TODAY()-INT(W270)))</f>
        <v/>
      </c>
      <c r="Y270" s="90" t="str">
        <f aca="false">IF(OR(O270="28 - Encerrado",O270="27 - Instalação concluída"),"OK",IF(AND(B270&lt;&gt;"",S270=""),"ATENÇÃO (Sem data de atualização)",IF(S270="","",IF(S270&gt;30,"CRÍTICO (Sem Atualização &gt;30 dias)",IF(S270&gt;15,"ATENÇÃO (Sem Atualização &gt;15 dias)",IF(X270&gt;90,"CRÍTICO (Aberto &gt;90 dias)","OK"))))))</f>
        <v/>
      </c>
      <c r="Z270" s="90" t="str">
        <f aca="false">IF(B270="","",IF(OR(O270="27 - Instalação concluída",O270="28 - Encerrado"),"OK",IF(NOT(ISNUMBER(X270)),"",IF(X270&gt;365,"MUITO ANTIGO (&gt;1 ano)",IF(X270&gt;180,"ANTIGO (&gt;6 meses)",IF(X270&gt;90,"ATENÇÃO ANTIG. (&gt;3 meses)","OK"))))))</f>
        <v/>
      </c>
      <c r="AA270" s="86"/>
      <c r="AB270" s="69" t="str">
        <f aca="false">IF(AND(B270&lt;&gt;"",OR(T270="Pendente de Vistoria",T270="Não validada")),MAX($AB$1:$AB$269)+1,"")</f>
        <v/>
      </c>
      <c r="AC270" s="69" t="str">
        <f aca="false">IF(AND(B270&lt;&gt;"",OR(ISNUMBER(SEARCH("CTIN",P270)),U270="Alta",O270="07 - Relatório recebido — unidade apta",O270="11 - Orçamentos em análise técnica",O270="22 - Instalação/substituição autorizada")),MAX($AC$1:$AC$269)+1,"")</f>
        <v/>
      </c>
      <c r="AD270" s="69" t="str">
        <f aca="false">IF(AND(B270&lt;&gt;"",OR(ISNUMBER(SEARCH("CTO",P270)),LEFT(O270,2)="22",LEFT(O270,2)="23",LEFT(O270,2)="24",LEFT(O270,2)="25",LEFT(O270,2)="26",LEFT(O270,2)="27")),MAX($AD$1:$AD$269)+1,"")</f>
        <v/>
      </c>
      <c r="AE270" s="69" t="str">
        <f aca="false">IF(AND(B270&lt;&gt;"",D270=CONSULTA_UNIDADE!$B$4),MAX($AE$1:$AE$269)+1,"")</f>
        <v/>
      </c>
      <c r="AF270" s="69" t="str">
        <f aca="false">IF(AND(B270&lt;&gt;"",O270&lt;&gt;"27 - Instalação concluída",O270&lt;&gt;"28 - Encerrado",ISNUMBER(S270)),S270*1000+(1000-ROW()),"")</f>
        <v/>
      </c>
      <c r="AG270" s="69" t="str">
        <f aca="false">IF(AF270="","",RANK(AF270,$AF$2:$AF$500))</f>
        <v/>
      </c>
    </row>
    <row r="271" customFormat="false" ht="16.5" hidden="false" customHeight="true" outlineLevel="0" collapsed="false">
      <c r="A271" s="86"/>
      <c r="B271" s="86"/>
      <c r="C271" s="87" t="str">
        <f aca="false">IF(D271="","",IFERROR(INDEX(CADASTRO_VIVO_3CRE!$B$2:$B$150,MATCH(D271,CADASTRO_VIVO_3CRE!$E$2:$E$150,0)),""))</f>
        <v/>
      </c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8"/>
      <c r="S271" s="89" t="str">
        <f aca="true">IF(R271="","",TODAY()-INT(R271))</f>
        <v/>
      </c>
      <c r="T271" s="86"/>
      <c r="U271" s="86"/>
      <c r="V271" s="86"/>
      <c r="W271" s="88"/>
      <c r="X271" s="89" t="str">
        <f aca="true">IF(W271="","",IF(OR(O271="28 - Encerrado",O271="27 - Instalação concluída"),"Concluído",TODAY()-INT(W271)))</f>
        <v/>
      </c>
      <c r="Y271" s="90" t="str">
        <f aca="false">IF(OR(O271="28 - Encerrado",O271="27 - Instalação concluída"),"OK",IF(AND(B271&lt;&gt;"",S271=""),"ATENÇÃO (Sem data de atualização)",IF(S271="","",IF(S271&gt;30,"CRÍTICO (Sem Atualização &gt;30 dias)",IF(S271&gt;15,"ATENÇÃO (Sem Atualização &gt;15 dias)",IF(X271&gt;90,"CRÍTICO (Aberto &gt;90 dias)","OK"))))))</f>
        <v/>
      </c>
      <c r="Z271" s="90" t="str">
        <f aca="false">IF(B271="","",IF(OR(O271="27 - Instalação concluída",O271="28 - Encerrado"),"OK",IF(NOT(ISNUMBER(X271)),"",IF(X271&gt;365,"MUITO ANTIGO (&gt;1 ano)",IF(X271&gt;180,"ANTIGO (&gt;6 meses)",IF(X271&gt;90,"ATENÇÃO ANTIG. (&gt;3 meses)","OK"))))))</f>
        <v/>
      </c>
      <c r="AA271" s="86"/>
      <c r="AB271" s="69" t="str">
        <f aca="false">IF(AND(B271&lt;&gt;"",OR(T271="Pendente de Vistoria",T271="Não validada")),MAX($AB$1:$AB$270)+1,"")</f>
        <v/>
      </c>
      <c r="AC271" s="69" t="str">
        <f aca="false">IF(AND(B271&lt;&gt;"",OR(ISNUMBER(SEARCH("CTIN",P271)),U271="Alta",O271="07 - Relatório recebido — unidade apta",O271="11 - Orçamentos em análise técnica",O271="22 - Instalação/substituição autorizada")),MAX($AC$1:$AC$270)+1,"")</f>
        <v/>
      </c>
      <c r="AD271" s="69" t="str">
        <f aca="false">IF(AND(B271&lt;&gt;"",OR(ISNUMBER(SEARCH("CTO",P271)),LEFT(O271,2)="22",LEFT(O271,2)="23",LEFT(O271,2)="24",LEFT(O271,2)="25",LEFT(O271,2)="26",LEFT(O271,2)="27")),MAX($AD$1:$AD$270)+1,"")</f>
        <v/>
      </c>
      <c r="AE271" s="69" t="str">
        <f aca="false">IF(AND(B271&lt;&gt;"",D271=CONSULTA_UNIDADE!$B$4),MAX($AE$1:$AE$270)+1,"")</f>
        <v/>
      </c>
      <c r="AF271" s="69" t="str">
        <f aca="false">IF(AND(B271&lt;&gt;"",O271&lt;&gt;"27 - Instalação concluída",O271&lt;&gt;"28 - Encerrado",ISNUMBER(S271)),S271*1000+(1000-ROW()),"")</f>
        <v/>
      </c>
      <c r="AG271" s="69" t="str">
        <f aca="false">IF(AF271="","",RANK(AF271,$AF$2:$AF$500))</f>
        <v/>
      </c>
    </row>
    <row r="272" customFormat="false" ht="16.5" hidden="false" customHeight="true" outlineLevel="0" collapsed="false">
      <c r="A272" s="86"/>
      <c r="B272" s="86"/>
      <c r="C272" s="87" t="str">
        <f aca="false">IF(D272="","",IFERROR(INDEX(CADASTRO_VIVO_3CRE!$B$2:$B$150,MATCH(D272,CADASTRO_VIVO_3CRE!$E$2:$E$150,0)),""))</f>
        <v/>
      </c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8"/>
      <c r="S272" s="89" t="str">
        <f aca="true">IF(R272="","",TODAY()-INT(R272))</f>
        <v/>
      </c>
      <c r="T272" s="86"/>
      <c r="U272" s="86"/>
      <c r="V272" s="86"/>
      <c r="W272" s="88"/>
      <c r="X272" s="89" t="str">
        <f aca="true">IF(W272="","",IF(OR(O272="28 - Encerrado",O272="27 - Instalação concluída"),"Concluído",TODAY()-INT(W272)))</f>
        <v/>
      </c>
      <c r="Y272" s="90" t="str">
        <f aca="false">IF(OR(O272="28 - Encerrado",O272="27 - Instalação concluída"),"OK",IF(AND(B272&lt;&gt;"",S272=""),"ATENÇÃO (Sem data de atualização)",IF(S272="","",IF(S272&gt;30,"CRÍTICO (Sem Atualização &gt;30 dias)",IF(S272&gt;15,"ATENÇÃO (Sem Atualização &gt;15 dias)",IF(X272&gt;90,"CRÍTICO (Aberto &gt;90 dias)","OK"))))))</f>
        <v/>
      </c>
      <c r="Z272" s="90" t="str">
        <f aca="false">IF(B272="","",IF(OR(O272="27 - Instalação concluída",O272="28 - Encerrado"),"OK",IF(NOT(ISNUMBER(X272)),"",IF(X272&gt;365,"MUITO ANTIGO (&gt;1 ano)",IF(X272&gt;180,"ANTIGO (&gt;6 meses)",IF(X272&gt;90,"ATENÇÃO ANTIG. (&gt;3 meses)","OK"))))))</f>
        <v/>
      </c>
      <c r="AA272" s="86"/>
      <c r="AB272" s="69" t="str">
        <f aca="false">IF(AND(B272&lt;&gt;"",OR(T272="Pendente de Vistoria",T272="Não validada")),MAX($AB$1:$AB$271)+1,"")</f>
        <v/>
      </c>
      <c r="AC272" s="69" t="str">
        <f aca="false">IF(AND(B272&lt;&gt;"",OR(ISNUMBER(SEARCH("CTIN",P272)),U272="Alta",O272="07 - Relatório recebido — unidade apta",O272="11 - Orçamentos em análise técnica",O272="22 - Instalação/substituição autorizada")),MAX($AC$1:$AC$271)+1,"")</f>
        <v/>
      </c>
      <c r="AD272" s="69" t="str">
        <f aca="false">IF(AND(B272&lt;&gt;"",OR(ISNUMBER(SEARCH("CTO",P272)),LEFT(O272,2)="22",LEFT(O272,2)="23",LEFT(O272,2)="24",LEFT(O272,2)="25",LEFT(O272,2)="26",LEFT(O272,2)="27")),MAX($AD$1:$AD$271)+1,"")</f>
        <v/>
      </c>
      <c r="AE272" s="69" t="str">
        <f aca="false">IF(AND(B272&lt;&gt;"",D272=CONSULTA_UNIDADE!$B$4),MAX($AE$1:$AE$271)+1,"")</f>
        <v/>
      </c>
      <c r="AF272" s="69" t="str">
        <f aca="false">IF(AND(B272&lt;&gt;"",O272&lt;&gt;"27 - Instalação concluída",O272&lt;&gt;"28 - Encerrado",ISNUMBER(S272)),S272*1000+(1000-ROW()),"")</f>
        <v/>
      </c>
      <c r="AG272" s="69" t="str">
        <f aca="false">IF(AF272="","",RANK(AF272,$AF$2:$AF$500))</f>
        <v/>
      </c>
    </row>
    <row r="273" customFormat="false" ht="16.5" hidden="false" customHeight="true" outlineLevel="0" collapsed="false">
      <c r="A273" s="86"/>
      <c r="B273" s="86"/>
      <c r="C273" s="87" t="str">
        <f aca="false">IF(D273="","",IFERROR(INDEX(CADASTRO_VIVO_3CRE!$B$2:$B$150,MATCH(D273,CADASTRO_VIVO_3CRE!$E$2:$E$150,0)),""))</f>
        <v/>
      </c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8"/>
      <c r="S273" s="89" t="str">
        <f aca="true">IF(R273="","",TODAY()-INT(R273))</f>
        <v/>
      </c>
      <c r="T273" s="86"/>
      <c r="U273" s="86"/>
      <c r="V273" s="86"/>
      <c r="W273" s="88"/>
      <c r="X273" s="89" t="str">
        <f aca="true">IF(W273="","",IF(OR(O273="28 - Encerrado",O273="27 - Instalação concluída"),"Concluído",TODAY()-INT(W273)))</f>
        <v/>
      </c>
      <c r="Y273" s="90" t="str">
        <f aca="false">IF(OR(O273="28 - Encerrado",O273="27 - Instalação concluída"),"OK",IF(AND(B273&lt;&gt;"",S273=""),"ATENÇÃO (Sem data de atualização)",IF(S273="","",IF(S273&gt;30,"CRÍTICO (Sem Atualização &gt;30 dias)",IF(S273&gt;15,"ATENÇÃO (Sem Atualização &gt;15 dias)",IF(X273&gt;90,"CRÍTICO (Aberto &gt;90 dias)","OK"))))))</f>
        <v/>
      </c>
      <c r="Z273" s="90" t="str">
        <f aca="false">IF(B273="","",IF(OR(O273="27 - Instalação concluída",O273="28 - Encerrado"),"OK",IF(NOT(ISNUMBER(X273)),"",IF(X273&gt;365,"MUITO ANTIGO (&gt;1 ano)",IF(X273&gt;180,"ANTIGO (&gt;6 meses)",IF(X273&gt;90,"ATENÇÃO ANTIG. (&gt;3 meses)","OK"))))))</f>
        <v/>
      </c>
      <c r="AA273" s="86"/>
      <c r="AB273" s="69" t="str">
        <f aca="false">IF(AND(B273&lt;&gt;"",OR(T273="Pendente de Vistoria",T273="Não validada")),MAX($AB$1:$AB$272)+1,"")</f>
        <v/>
      </c>
      <c r="AC273" s="69" t="str">
        <f aca="false">IF(AND(B273&lt;&gt;"",OR(ISNUMBER(SEARCH("CTIN",P273)),U273="Alta",O273="07 - Relatório recebido — unidade apta",O273="11 - Orçamentos em análise técnica",O273="22 - Instalação/substituição autorizada")),MAX($AC$1:$AC$272)+1,"")</f>
        <v/>
      </c>
      <c r="AD273" s="69" t="str">
        <f aca="false">IF(AND(B273&lt;&gt;"",OR(ISNUMBER(SEARCH("CTO",P273)),LEFT(O273,2)="22",LEFT(O273,2)="23",LEFT(O273,2)="24",LEFT(O273,2)="25",LEFT(O273,2)="26",LEFT(O273,2)="27")),MAX($AD$1:$AD$272)+1,"")</f>
        <v/>
      </c>
      <c r="AE273" s="69" t="str">
        <f aca="false">IF(AND(B273&lt;&gt;"",D273=CONSULTA_UNIDADE!$B$4),MAX($AE$1:$AE$272)+1,"")</f>
        <v/>
      </c>
      <c r="AF273" s="69" t="str">
        <f aca="false">IF(AND(B273&lt;&gt;"",O273&lt;&gt;"27 - Instalação concluída",O273&lt;&gt;"28 - Encerrado",ISNUMBER(S273)),S273*1000+(1000-ROW()),"")</f>
        <v/>
      </c>
      <c r="AG273" s="69" t="str">
        <f aca="false">IF(AF273="","",RANK(AF273,$AF$2:$AF$500))</f>
        <v/>
      </c>
    </row>
    <row r="274" customFormat="false" ht="16.5" hidden="false" customHeight="true" outlineLevel="0" collapsed="false">
      <c r="A274" s="86"/>
      <c r="B274" s="86"/>
      <c r="C274" s="87" t="str">
        <f aca="false">IF(D274="","",IFERROR(INDEX(CADASTRO_VIVO_3CRE!$B$2:$B$150,MATCH(D274,CADASTRO_VIVO_3CRE!$E$2:$E$150,0)),""))</f>
        <v/>
      </c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8"/>
      <c r="S274" s="89" t="str">
        <f aca="true">IF(R274="","",TODAY()-INT(R274))</f>
        <v/>
      </c>
      <c r="T274" s="86"/>
      <c r="U274" s="86"/>
      <c r="V274" s="86"/>
      <c r="W274" s="88"/>
      <c r="X274" s="89" t="str">
        <f aca="true">IF(W274="","",IF(OR(O274="28 - Encerrado",O274="27 - Instalação concluída"),"Concluído",TODAY()-INT(W274)))</f>
        <v/>
      </c>
      <c r="Y274" s="90" t="str">
        <f aca="false">IF(OR(O274="28 - Encerrado",O274="27 - Instalação concluída"),"OK",IF(AND(B274&lt;&gt;"",S274=""),"ATENÇÃO (Sem data de atualização)",IF(S274="","",IF(S274&gt;30,"CRÍTICO (Sem Atualização &gt;30 dias)",IF(S274&gt;15,"ATENÇÃO (Sem Atualização &gt;15 dias)",IF(X274&gt;90,"CRÍTICO (Aberto &gt;90 dias)","OK"))))))</f>
        <v/>
      </c>
      <c r="Z274" s="90" t="str">
        <f aca="false">IF(B274="","",IF(OR(O274="27 - Instalação concluída",O274="28 - Encerrado"),"OK",IF(NOT(ISNUMBER(X274)),"",IF(X274&gt;365,"MUITO ANTIGO (&gt;1 ano)",IF(X274&gt;180,"ANTIGO (&gt;6 meses)",IF(X274&gt;90,"ATENÇÃO ANTIG. (&gt;3 meses)","OK"))))))</f>
        <v/>
      </c>
      <c r="AA274" s="86"/>
      <c r="AB274" s="69" t="str">
        <f aca="false">IF(AND(B274&lt;&gt;"",OR(T274="Pendente de Vistoria",T274="Não validada")),MAX($AB$1:$AB$273)+1,"")</f>
        <v/>
      </c>
      <c r="AC274" s="69" t="str">
        <f aca="false">IF(AND(B274&lt;&gt;"",OR(ISNUMBER(SEARCH("CTIN",P274)),U274="Alta",O274="07 - Relatório recebido — unidade apta",O274="11 - Orçamentos em análise técnica",O274="22 - Instalação/substituição autorizada")),MAX($AC$1:$AC$273)+1,"")</f>
        <v/>
      </c>
      <c r="AD274" s="69" t="str">
        <f aca="false">IF(AND(B274&lt;&gt;"",OR(ISNUMBER(SEARCH("CTO",P274)),LEFT(O274,2)="22",LEFT(O274,2)="23",LEFT(O274,2)="24",LEFT(O274,2)="25",LEFT(O274,2)="26",LEFT(O274,2)="27")),MAX($AD$1:$AD$273)+1,"")</f>
        <v/>
      </c>
      <c r="AE274" s="69" t="str">
        <f aca="false">IF(AND(B274&lt;&gt;"",D274=CONSULTA_UNIDADE!$B$4),MAX($AE$1:$AE$273)+1,"")</f>
        <v/>
      </c>
      <c r="AF274" s="69" t="str">
        <f aca="false">IF(AND(B274&lt;&gt;"",O274&lt;&gt;"27 - Instalação concluída",O274&lt;&gt;"28 - Encerrado",ISNUMBER(S274)),S274*1000+(1000-ROW()),"")</f>
        <v/>
      </c>
      <c r="AG274" s="69" t="str">
        <f aca="false">IF(AF274="","",RANK(AF274,$AF$2:$AF$500))</f>
        <v/>
      </c>
    </row>
    <row r="275" customFormat="false" ht="16.5" hidden="false" customHeight="true" outlineLevel="0" collapsed="false">
      <c r="A275" s="86"/>
      <c r="B275" s="86"/>
      <c r="C275" s="87" t="str">
        <f aca="false">IF(D275="","",IFERROR(INDEX(CADASTRO_VIVO_3CRE!$B$2:$B$150,MATCH(D275,CADASTRO_VIVO_3CRE!$E$2:$E$150,0)),""))</f>
        <v/>
      </c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8"/>
      <c r="S275" s="89" t="str">
        <f aca="true">IF(R275="","",TODAY()-INT(R275))</f>
        <v/>
      </c>
      <c r="T275" s="86"/>
      <c r="U275" s="86"/>
      <c r="V275" s="86"/>
      <c r="W275" s="88"/>
      <c r="X275" s="89" t="str">
        <f aca="true">IF(W275="","",IF(OR(O275="28 - Encerrado",O275="27 - Instalação concluída"),"Concluído",TODAY()-INT(W275)))</f>
        <v/>
      </c>
      <c r="Y275" s="90" t="str">
        <f aca="false">IF(OR(O275="28 - Encerrado",O275="27 - Instalação concluída"),"OK",IF(AND(B275&lt;&gt;"",S275=""),"ATENÇÃO (Sem data de atualização)",IF(S275="","",IF(S275&gt;30,"CRÍTICO (Sem Atualização &gt;30 dias)",IF(S275&gt;15,"ATENÇÃO (Sem Atualização &gt;15 dias)",IF(X275&gt;90,"CRÍTICO (Aberto &gt;90 dias)","OK"))))))</f>
        <v/>
      </c>
      <c r="Z275" s="90" t="str">
        <f aca="false">IF(B275="","",IF(OR(O275="27 - Instalação concluída",O275="28 - Encerrado"),"OK",IF(NOT(ISNUMBER(X275)),"",IF(X275&gt;365,"MUITO ANTIGO (&gt;1 ano)",IF(X275&gt;180,"ANTIGO (&gt;6 meses)",IF(X275&gt;90,"ATENÇÃO ANTIG. (&gt;3 meses)","OK"))))))</f>
        <v/>
      </c>
      <c r="AA275" s="86"/>
      <c r="AB275" s="69" t="str">
        <f aca="false">IF(AND(B275&lt;&gt;"",OR(T275="Pendente de Vistoria",T275="Não validada")),MAX($AB$1:$AB$274)+1,"")</f>
        <v/>
      </c>
      <c r="AC275" s="69" t="str">
        <f aca="false">IF(AND(B275&lt;&gt;"",OR(ISNUMBER(SEARCH("CTIN",P275)),U275="Alta",O275="07 - Relatório recebido — unidade apta",O275="11 - Orçamentos em análise técnica",O275="22 - Instalação/substituição autorizada")),MAX($AC$1:$AC$274)+1,"")</f>
        <v/>
      </c>
      <c r="AD275" s="69" t="str">
        <f aca="false">IF(AND(B275&lt;&gt;"",OR(ISNUMBER(SEARCH("CTO",P275)),LEFT(O275,2)="22",LEFT(O275,2)="23",LEFT(O275,2)="24",LEFT(O275,2)="25",LEFT(O275,2)="26",LEFT(O275,2)="27")),MAX($AD$1:$AD$274)+1,"")</f>
        <v/>
      </c>
      <c r="AE275" s="69" t="str">
        <f aca="false">IF(AND(B275&lt;&gt;"",D275=CONSULTA_UNIDADE!$B$4),MAX($AE$1:$AE$274)+1,"")</f>
        <v/>
      </c>
      <c r="AF275" s="69" t="str">
        <f aca="false">IF(AND(B275&lt;&gt;"",O275&lt;&gt;"27 - Instalação concluída",O275&lt;&gt;"28 - Encerrado",ISNUMBER(S275)),S275*1000+(1000-ROW()),"")</f>
        <v/>
      </c>
      <c r="AG275" s="69" t="str">
        <f aca="false">IF(AF275="","",RANK(AF275,$AF$2:$AF$500))</f>
        <v/>
      </c>
    </row>
    <row r="276" customFormat="false" ht="16.5" hidden="false" customHeight="true" outlineLevel="0" collapsed="false">
      <c r="A276" s="86"/>
      <c r="B276" s="86"/>
      <c r="C276" s="87" t="str">
        <f aca="false">IF(D276="","",IFERROR(INDEX(CADASTRO_VIVO_3CRE!$B$2:$B$150,MATCH(D276,CADASTRO_VIVO_3CRE!$E$2:$E$150,0)),""))</f>
        <v/>
      </c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8"/>
      <c r="S276" s="89" t="str">
        <f aca="true">IF(R276="","",TODAY()-INT(R276))</f>
        <v/>
      </c>
      <c r="T276" s="86"/>
      <c r="U276" s="86"/>
      <c r="V276" s="86"/>
      <c r="W276" s="88"/>
      <c r="X276" s="89" t="str">
        <f aca="true">IF(W276="","",IF(OR(O276="28 - Encerrado",O276="27 - Instalação concluída"),"Concluído",TODAY()-INT(W276)))</f>
        <v/>
      </c>
      <c r="Y276" s="90" t="str">
        <f aca="false">IF(OR(O276="28 - Encerrado",O276="27 - Instalação concluída"),"OK",IF(AND(B276&lt;&gt;"",S276=""),"ATENÇÃO (Sem data de atualização)",IF(S276="","",IF(S276&gt;30,"CRÍTICO (Sem Atualização &gt;30 dias)",IF(S276&gt;15,"ATENÇÃO (Sem Atualização &gt;15 dias)",IF(X276&gt;90,"CRÍTICO (Aberto &gt;90 dias)","OK"))))))</f>
        <v/>
      </c>
      <c r="Z276" s="90" t="str">
        <f aca="false">IF(B276="","",IF(OR(O276="27 - Instalação concluída",O276="28 - Encerrado"),"OK",IF(NOT(ISNUMBER(X276)),"",IF(X276&gt;365,"MUITO ANTIGO (&gt;1 ano)",IF(X276&gt;180,"ANTIGO (&gt;6 meses)",IF(X276&gt;90,"ATENÇÃO ANTIG. (&gt;3 meses)","OK"))))))</f>
        <v/>
      </c>
      <c r="AA276" s="86"/>
      <c r="AB276" s="69" t="str">
        <f aca="false">IF(AND(B276&lt;&gt;"",OR(T276="Pendente de Vistoria",T276="Não validada")),MAX($AB$1:$AB$275)+1,"")</f>
        <v/>
      </c>
      <c r="AC276" s="69" t="str">
        <f aca="false">IF(AND(B276&lt;&gt;"",OR(ISNUMBER(SEARCH("CTIN",P276)),U276="Alta",O276="07 - Relatório recebido — unidade apta",O276="11 - Orçamentos em análise técnica",O276="22 - Instalação/substituição autorizada")),MAX($AC$1:$AC$275)+1,"")</f>
        <v/>
      </c>
      <c r="AD276" s="69" t="str">
        <f aca="false">IF(AND(B276&lt;&gt;"",OR(ISNUMBER(SEARCH("CTO",P276)),LEFT(O276,2)="22",LEFT(O276,2)="23",LEFT(O276,2)="24",LEFT(O276,2)="25",LEFT(O276,2)="26",LEFT(O276,2)="27")),MAX($AD$1:$AD$275)+1,"")</f>
        <v/>
      </c>
      <c r="AE276" s="69" t="str">
        <f aca="false">IF(AND(B276&lt;&gt;"",D276=CONSULTA_UNIDADE!$B$4),MAX($AE$1:$AE$275)+1,"")</f>
        <v/>
      </c>
      <c r="AF276" s="69" t="str">
        <f aca="false">IF(AND(B276&lt;&gt;"",O276&lt;&gt;"27 - Instalação concluída",O276&lt;&gt;"28 - Encerrado",ISNUMBER(S276)),S276*1000+(1000-ROW()),"")</f>
        <v/>
      </c>
      <c r="AG276" s="69" t="str">
        <f aca="false">IF(AF276="","",RANK(AF276,$AF$2:$AF$500))</f>
        <v/>
      </c>
    </row>
    <row r="277" customFormat="false" ht="16.5" hidden="false" customHeight="true" outlineLevel="0" collapsed="false">
      <c r="A277" s="86"/>
      <c r="B277" s="86"/>
      <c r="C277" s="87" t="str">
        <f aca="false">IF(D277="","",IFERROR(INDEX(CADASTRO_VIVO_3CRE!$B$2:$B$150,MATCH(D277,CADASTRO_VIVO_3CRE!$E$2:$E$150,0)),""))</f>
        <v/>
      </c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8"/>
      <c r="S277" s="89" t="str">
        <f aca="true">IF(R277="","",TODAY()-INT(R277))</f>
        <v/>
      </c>
      <c r="T277" s="86"/>
      <c r="U277" s="86"/>
      <c r="V277" s="86"/>
      <c r="W277" s="88"/>
      <c r="X277" s="89" t="str">
        <f aca="true">IF(W277="","",IF(OR(O277="28 - Encerrado",O277="27 - Instalação concluída"),"Concluído",TODAY()-INT(W277)))</f>
        <v/>
      </c>
      <c r="Y277" s="90" t="str">
        <f aca="false">IF(OR(O277="28 - Encerrado",O277="27 - Instalação concluída"),"OK",IF(AND(B277&lt;&gt;"",S277=""),"ATENÇÃO (Sem data de atualização)",IF(S277="","",IF(S277&gt;30,"CRÍTICO (Sem Atualização &gt;30 dias)",IF(S277&gt;15,"ATENÇÃO (Sem Atualização &gt;15 dias)",IF(X277&gt;90,"CRÍTICO (Aberto &gt;90 dias)","OK"))))))</f>
        <v/>
      </c>
      <c r="Z277" s="90" t="str">
        <f aca="false">IF(B277="","",IF(OR(O277="27 - Instalação concluída",O277="28 - Encerrado"),"OK",IF(NOT(ISNUMBER(X277)),"",IF(X277&gt;365,"MUITO ANTIGO (&gt;1 ano)",IF(X277&gt;180,"ANTIGO (&gt;6 meses)",IF(X277&gt;90,"ATENÇÃO ANTIG. (&gt;3 meses)","OK"))))))</f>
        <v/>
      </c>
      <c r="AA277" s="86"/>
      <c r="AB277" s="69" t="str">
        <f aca="false">IF(AND(B277&lt;&gt;"",OR(T277="Pendente de Vistoria",T277="Não validada")),MAX($AB$1:$AB$276)+1,"")</f>
        <v/>
      </c>
      <c r="AC277" s="69" t="str">
        <f aca="false">IF(AND(B277&lt;&gt;"",OR(ISNUMBER(SEARCH("CTIN",P277)),U277="Alta",O277="07 - Relatório recebido — unidade apta",O277="11 - Orçamentos em análise técnica",O277="22 - Instalação/substituição autorizada")),MAX($AC$1:$AC$276)+1,"")</f>
        <v/>
      </c>
      <c r="AD277" s="69" t="str">
        <f aca="false">IF(AND(B277&lt;&gt;"",OR(ISNUMBER(SEARCH("CTO",P277)),LEFT(O277,2)="22",LEFT(O277,2)="23",LEFT(O277,2)="24",LEFT(O277,2)="25",LEFT(O277,2)="26",LEFT(O277,2)="27")),MAX($AD$1:$AD$276)+1,"")</f>
        <v/>
      </c>
      <c r="AE277" s="69" t="str">
        <f aca="false">IF(AND(B277&lt;&gt;"",D277=CONSULTA_UNIDADE!$B$4),MAX($AE$1:$AE$276)+1,"")</f>
        <v/>
      </c>
      <c r="AF277" s="69" t="str">
        <f aca="false">IF(AND(B277&lt;&gt;"",O277&lt;&gt;"27 - Instalação concluída",O277&lt;&gt;"28 - Encerrado",ISNUMBER(S277)),S277*1000+(1000-ROW()),"")</f>
        <v/>
      </c>
      <c r="AG277" s="69" t="str">
        <f aca="false">IF(AF277="","",RANK(AF277,$AF$2:$AF$500))</f>
        <v/>
      </c>
    </row>
    <row r="278" customFormat="false" ht="16.5" hidden="false" customHeight="true" outlineLevel="0" collapsed="false">
      <c r="A278" s="86"/>
      <c r="B278" s="86"/>
      <c r="C278" s="87" t="str">
        <f aca="false">IF(D278="","",IFERROR(INDEX(CADASTRO_VIVO_3CRE!$B$2:$B$150,MATCH(D278,CADASTRO_VIVO_3CRE!$E$2:$E$150,0)),""))</f>
        <v/>
      </c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8"/>
      <c r="S278" s="89" t="str">
        <f aca="true">IF(R278="","",TODAY()-INT(R278))</f>
        <v/>
      </c>
      <c r="T278" s="86"/>
      <c r="U278" s="86"/>
      <c r="V278" s="86"/>
      <c r="W278" s="88"/>
      <c r="X278" s="89" t="str">
        <f aca="true">IF(W278="","",IF(OR(O278="28 - Encerrado",O278="27 - Instalação concluída"),"Concluído",TODAY()-INT(W278)))</f>
        <v/>
      </c>
      <c r="Y278" s="90" t="str">
        <f aca="false">IF(OR(O278="28 - Encerrado",O278="27 - Instalação concluída"),"OK",IF(AND(B278&lt;&gt;"",S278=""),"ATENÇÃO (Sem data de atualização)",IF(S278="","",IF(S278&gt;30,"CRÍTICO (Sem Atualização &gt;30 dias)",IF(S278&gt;15,"ATENÇÃO (Sem Atualização &gt;15 dias)",IF(X278&gt;90,"CRÍTICO (Aberto &gt;90 dias)","OK"))))))</f>
        <v/>
      </c>
      <c r="Z278" s="90" t="str">
        <f aca="false">IF(B278="","",IF(OR(O278="27 - Instalação concluída",O278="28 - Encerrado"),"OK",IF(NOT(ISNUMBER(X278)),"",IF(X278&gt;365,"MUITO ANTIGO (&gt;1 ano)",IF(X278&gt;180,"ANTIGO (&gt;6 meses)",IF(X278&gt;90,"ATENÇÃO ANTIG. (&gt;3 meses)","OK"))))))</f>
        <v/>
      </c>
      <c r="AA278" s="86"/>
      <c r="AB278" s="69" t="str">
        <f aca="false">IF(AND(B278&lt;&gt;"",OR(T278="Pendente de Vistoria",T278="Não validada")),MAX($AB$1:$AB$277)+1,"")</f>
        <v/>
      </c>
      <c r="AC278" s="69" t="str">
        <f aca="false">IF(AND(B278&lt;&gt;"",OR(ISNUMBER(SEARCH("CTIN",P278)),U278="Alta",O278="07 - Relatório recebido — unidade apta",O278="11 - Orçamentos em análise técnica",O278="22 - Instalação/substituição autorizada")),MAX($AC$1:$AC$277)+1,"")</f>
        <v/>
      </c>
      <c r="AD278" s="69" t="str">
        <f aca="false">IF(AND(B278&lt;&gt;"",OR(ISNUMBER(SEARCH("CTO",P278)),LEFT(O278,2)="22",LEFT(O278,2)="23",LEFT(O278,2)="24",LEFT(O278,2)="25",LEFT(O278,2)="26",LEFT(O278,2)="27")),MAX($AD$1:$AD$277)+1,"")</f>
        <v/>
      </c>
      <c r="AE278" s="69" t="str">
        <f aca="false">IF(AND(B278&lt;&gt;"",D278=CONSULTA_UNIDADE!$B$4),MAX($AE$1:$AE$277)+1,"")</f>
        <v/>
      </c>
      <c r="AF278" s="69" t="str">
        <f aca="false">IF(AND(B278&lt;&gt;"",O278&lt;&gt;"27 - Instalação concluída",O278&lt;&gt;"28 - Encerrado",ISNUMBER(S278)),S278*1000+(1000-ROW()),"")</f>
        <v/>
      </c>
      <c r="AG278" s="69" t="str">
        <f aca="false">IF(AF278="","",RANK(AF278,$AF$2:$AF$500))</f>
        <v/>
      </c>
    </row>
    <row r="279" customFormat="false" ht="16.5" hidden="false" customHeight="true" outlineLevel="0" collapsed="false">
      <c r="A279" s="86"/>
      <c r="B279" s="86"/>
      <c r="C279" s="87" t="str">
        <f aca="false">IF(D279="","",IFERROR(INDEX(CADASTRO_VIVO_3CRE!$B$2:$B$150,MATCH(D279,CADASTRO_VIVO_3CRE!$E$2:$E$150,0)),""))</f>
        <v/>
      </c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8"/>
      <c r="S279" s="89" t="str">
        <f aca="true">IF(R279="","",TODAY()-INT(R279))</f>
        <v/>
      </c>
      <c r="T279" s="86"/>
      <c r="U279" s="86"/>
      <c r="V279" s="86"/>
      <c r="W279" s="88"/>
      <c r="X279" s="89" t="str">
        <f aca="true">IF(W279="","",IF(OR(O279="28 - Encerrado",O279="27 - Instalação concluída"),"Concluído",TODAY()-INT(W279)))</f>
        <v/>
      </c>
      <c r="Y279" s="90" t="str">
        <f aca="false">IF(OR(O279="28 - Encerrado",O279="27 - Instalação concluída"),"OK",IF(AND(B279&lt;&gt;"",S279=""),"ATENÇÃO (Sem data de atualização)",IF(S279="","",IF(S279&gt;30,"CRÍTICO (Sem Atualização &gt;30 dias)",IF(S279&gt;15,"ATENÇÃO (Sem Atualização &gt;15 dias)",IF(X279&gt;90,"CRÍTICO (Aberto &gt;90 dias)","OK"))))))</f>
        <v/>
      </c>
      <c r="Z279" s="90" t="str">
        <f aca="false">IF(B279="","",IF(OR(O279="27 - Instalação concluída",O279="28 - Encerrado"),"OK",IF(NOT(ISNUMBER(X279)),"",IF(X279&gt;365,"MUITO ANTIGO (&gt;1 ano)",IF(X279&gt;180,"ANTIGO (&gt;6 meses)",IF(X279&gt;90,"ATENÇÃO ANTIG. (&gt;3 meses)","OK"))))))</f>
        <v/>
      </c>
      <c r="AA279" s="86"/>
      <c r="AB279" s="69" t="str">
        <f aca="false">IF(AND(B279&lt;&gt;"",OR(T279="Pendente de Vistoria",T279="Não validada")),MAX($AB$1:$AB$278)+1,"")</f>
        <v/>
      </c>
      <c r="AC279" s="69" t="str">
        <f aca="false">IF(AND(B279&lt;&gt;"",OR(ISNUMBER(SEARCH("CTIN",P279)),U279="Alta",O279="07 - Relatório recebido — unidade apta",O279="11 - Orçamentos em análise técnica",O279="22 - Instalação/substituição autorizada")),MAX($AC$1:$AC$278)+1,"")</f>
        <v/>
      </c>
      <c r="AD279" s="69" t="str">
        <f aca="false">IF(AND(B279&lt;&gt;"",OR(ISNUMBER(SEARCH("CTO",P279)),LEFT(O279,2)="22",LEFT(O279,2)="23",LEFT(O279,2)="24",LEFT(O279,2)="25",LEFT(O279,2)="26",LEFT(O279,2)="27")),MAX($AD$1:$AD$278)+1,"")</f>
        <v/>
      </c>
      <c r="AE279" s="69" t="str">
        <f aca="false">IF(AND(B279&lt;&gt;"",D279=CONSULTA_UNIDADE!$B$4),MAX($AE$1:$AE$278)+1,"")</f>
        <v/>
      </c>
      <c r="AF279" s="69" t="str">
        <f aca="false">IF(AND(B279&lt;&gt;"",O279&lt;&gt;"27 - Instalação concluída",O279&lt;&gt;"28 - Encerrado",ISNUMBER(S279)),S279*1000+(1000-ROW()),"")</f>
        <v/>
      </c>
      <c r="AG279" s="69" t="str">
        <f aca="false">IF(AF279="","",RANK(AF279,$AF$2:$AF$500))</f>
        <v/>
      </c>
    </row>
    <row r="280" customFormat="false" ht="16.5" hidden="false" customHeight="true" outlineLevel="0" collapsed="false">
      <c r="A280" s="86"/>
      <c r="B280" s="86"/>
      <c r="C280" s="87" t="str">
        <f aca="false">IF(D280="","",IFERROR(INDEX(CADASTRO_VIVO_3CRE!$B$2:$B$150,MATCH(D280,CADASTRO_VIVO_3CRE!$E$2:$E$150,0)),""))</f>
        <v/>
      </c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8"/>
      <c r="S280" s="89" t="str">
        <f aca="true">IF(R280="","",TODAY()-INT(R280))</f>
        <v/>
      </c>
      <c r="T280" s="86"/>
      <c r="U280" s="86"/>
      <c r="V280" s="86"/>
      <c r="W280" s="88"/>
      <c r="X280" s="89" t="str">
        <f aca="true">IF(W280="","",IF(OR(O280="28 - Encerrado",O280="27 - Instalação concluída"),"Concluído",TODAY()-INT(W280)))</f>
        <v/>
      </c>
      <c r="Y280" s="90" t="str">
        <f aca="false">IF(OR(O280="28 - Encerrado",O280="27 - Instalação concluída"),"OK",IF(AND(B280&lt;&gt;"",S280=""),"ATENÇÃO (Sem data de atualização)",IF(S280="","",IF(S280&gt;30,"CRÍTICO (Sem Atualização &gt;30 dias)",IF(S280&gt;15,"ATENÇÃO (Sem Atualização &gt;15 dias)",IF(X280&gt;90,"CRÍTICO (Aberto &gt;90 dias)","OK"))))))</f>
        <v/>
      </c>
      <c r="Z280" s="90" t="str">
        <f aca="false">IF(B280="","",IF(OR(O280="27 - Instalação concluída",O280="28 - Encerrado"),"OK",IF(NOT(ISNUMBER(X280)),"",IF(X280&gt;365,"MUITO ANTIGO (&gt;1 ano)",IF(X280&gt;180,"ANTIGO (&gt;6 meses)",IF(X280&gt;90,"ATENÇÃO ANTIG. (&gt;3 meses)","OK"))))))</f>
        <v/>
      </c>
      <c r="AA280" s="86"/>
      <c r="AB280" s="69" t="str">
        <f aca="false">IF(AND(B280&lt;&gt;"",OR(T280="Pendente de Vistoria",T280="Não validada")),MAX($AB$1:$AB$279)+1,"")</f>
        <v/>
      </c>
      <c r="AC280" s="69" t="str">
        <f aca="false">IF(AND(B280&lt;&gt;"",OR(ISNUMBER(SEARCH("CTIN",P280)),U280="Alta",O280="07 - Relatório recebido — unidade apta",O280="11 - Orçamentos em análise técnica",O280="22 - Instalação/substituição autorizada")),MAX($AC$1:$AC$279)+1,"")</f>
        <v/>
      </c>
      <c r="AD280" s="69" t="str">
        <f aca="false">IF(AND(B280&lt;&gt;"",OR(ISNUMBER(SEARCH("CTO",P280)),LEFT(O280,2)="22",LEFT(O280,2)="23",LEFT(O280,2)="24",LEFT(O280,2)="25",LEFT(O280,2)="26",LEFT(O280,2)="27")),MAX($AD$1:$AD$279)+1,"")</f>
        <v/>
      </c>
      <c r="AE280" s="69" t="str">
        <f aca="false">IF(AND(B280&lt;&gt;"",D280=CONSULTA_UNIDADE!$B$4),MAX($AE$1:$AE$279)+1,"")</f>
        <v/>
      </c>
      <c r="AF280" s="69" t="str">
        <f aca="false">IF(AND(B280&lt;&gt;"",O280&lt;&gt;"27 - Instalação concluída",O280&lt;&gt;"28 - Encerrado",ISNUMBER(S280)),S280*1000+(1000-ROW()),"")</f>
        <v/>
      </c>
      <c r="AG280" s="69" t="str">
        <f aca="false">IF(AF280="","",RANK(AF280,$AF$2:$AF$500))</f>
        <v/>
      </c>
    </row>
    <row r="281" customFormat="false" ht="16.5" hidden="false" customHeight="true" outlineLevel="0" collapsed="false">
      <c r="A281" s="86"/>
      <c r="B281" s="86"/>
      <c r="C281" s="87" t="str">
        <f aca="false">IF(D281="","",IFERROR(INDEX(CADASTRO_VIVO_3CRE!$B$2:$B$150,MATCH(D281,CADASTRO_VIVO_3CRE!$E$2:$E$150,0)),""))</f>
        <v/>
      </c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8"/>
      <c r="S281" s="89" t="str">
        <f aca="true">IF(R281="","",TODAY()-INT(R281))</f>
        <v/>
      </c>
      <c r="T281" s="86"/>
      <c r="U281" s="86"/>
      <c r="V281" s="86"/>
      <c r="W281" s="88"/>
      <c r="X281" s="89" t="str">
        <f aca="true">IF(W281="","",IF(OR(O281="28 - Encerrado",O281="27 - Instalação concluída"),"Concluído",TODAY()-INT(W281)))</f>
        <v/>
      </c>
      <c r="Y281" s="90" t="str">
        <f aca="false">IF(OR(O281="28 - Encerrado",O281="27 - Instalação concluída"),"OK",IF(AND(B281&lt;&gt;"",S281=""),"ATENÇÃO (Sem data de atualização)",IF(S281="","",IF(S281&gt;30,"CRÍTICO (Sem Atualização &gt;30 dias)",IF(S281&gt;15,"ATENÇÃO (Sem Atualização &gt;15 dias)",IF(X281&gt;90,"CRÍTICO (Aberto &gt;90 dias)","OK"))))))</f>
        <v/>
      </c>
      <c r="Z281" s="90" t="str">
        <f aca="false">IF(B281="","",IF(OR(O281="27 - Instalação concluída",O281="28 - Encerrado"),"OK",IF(NOT(ISNUMBER(X281)),"",IF(X281&gt;365,"MUITO ANTIGO (&gt;1 ano)",IF(X281&gt;180,"ANTIGO (&gt;6 meses)",IF(X281&gt;90,"ATENÇÃO ANTIG. (&gt;3 meses)","OK"))))))</f>
        <v/>
      </c>
      <c r="AA281" s="86"/>
      <c r="AB281" s="69" t="str">
        <f aca="false">IF(AND(B281&lt;&gt;"",OR(T281="Pendente de Vistoria",T281="Não validada")),MAX($AB$1:$AB$280)+1,"")</f>
        <v/>
      </c>
      <c r="AC281" s="69" t="str">
        <f aca="false">IF(AND(B281&lt;&gt;"",OR(ISNUMBER(SEARCH("CTIN",P281)),U281="Alta",O281="07 - Relatório recebido — unidade apta",O281="11 - Orçamentos em análise técnica",O281="22 - Instalação/substituição autorizada")),MAX($AC$1:$AC$280)+1,"")</f>
        <v/>
      </c>
      <c r="AD281" s="69" t="str">
        <f aca="false">IF(AND(B281&lt;&gt;"",OR(ISNUMBER(SEARCH("CTO",P281)),LEFT(O281,2)="22",LEFT(O281,2)="23",LEFT(O281,2)="24",LEFT(O281,2)="25",LEFT(O281,2)="26",LEFT(O281,2)="27")),MAX($AD$1:$AD$280)+1,"")</f>
        <v/>
      </c>
      <c r="AE281" s="69" t="str">
        <f aca="false">IF(AND(B281&lt;&gt;"",D281=CONSULTA_UNIDADE!$B$4),MAX($AE$1:$AE$280)+1,"")</f>
        <v/>
      </c>
      <c r="AF281" s="69" t="str">
        <f aca="false">IF(AND(B281&lt;&gt;"",O281&lt;&gt;"27 - Instalação concluída",O281&lt;&gt;"28 - Encerrado",ISNUMBER(S281)),S281*1000+(1000-ROW()),"")</f>
        <v/>
      </c>
      <c r="AG281" s="69" t="str">
        <f aca="false">IF(AF281="","",RANK(AF281,$AF$2:$AF$500))</f>
        <v/>
      </c>
    </row>
    <row r="282" customFormat="false" ht="16.5" hidden="false" customHeight="true" outlineLevel="0" collapsed="false">
      <c r="A282" s="86"/>
      <c r="B282" s="86"/>
      <c r="C282" s="87" t="str">
        <f aca="false">IF(D282="","",IFERROR(INDEX(CADASTRO_VIVO_3CRE!$B$2:$B$150,MATCH(D282,CADASTRO_VIVO_3CRE!$E$2:$E$150,0)),""))</f>
        <v/>
      </c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8"/>
      <c r="S282" s="89" t="str">
        <f aca="true">IF(R282="","",TODAY()-INT(R282))</f>
        <v/>
      </c>
      <c r="T282" s="86"/>
      <c r="U282" s="86"/>
      <c r="V282" s="86"/>
      <c r="W282" s="88"/>
      <c r="X282" s="89" t="str">
        <f aca="true">IF(W282="","",IF(OR(O282="28 - Encerrado",O282="27 - Instalação concluída"),"Concluído",TODAY()-INT(W282)))</f>
        <v/>
      </c>
      <c r="Y282" s="90" t="str">
        <f aca="false">IF(OR(O282="28 - Encerrado",O282="27 - Instalação concluída"),"OK",IF(AND(B282&lt;&gt;"",S282=""),"ATENÇÃO (Sem data de atualização)",IF(S282="","",IF(S282&gt;30,"CRÍTICO (Sem Atualização &gt;30 dias)",IF(S282&gt;15,"ATENÇÃO (Sem Atualização &gt;15 dias)",IF(X282&gt;90,"CRÍTICO (Aberto &gt;90 dias)","OK"))))))</f>
        <v/>
      </c>
      <c r="Z282" s="90" t="str">
        <f aca="false">IF(B282="","",IF(OR(O282="27 - Instalação concluída",O282="28 - Encerrado"),"OK",IF(NOT(ISNUMBER(X282)),"",IF(X282&gt;365,"MUITO ANTIGO (&gt;1 ano)",IF(X282&gt;180,"ANTIGO (&gt;6 meses)",IF(X282&gt;90,"ATENÇÃO ANTIG. (&gt;3 meses)","OK"))))))</f>
        <v/>
      </c>
      <c r="AA282" s="86"/>
      <c r="AB282" s="69" t="str">
        <f aca="false">IF(AND(B282&lt;&gt;"",OR(T282="Pendente de Vistoria",T282="Não validada")),MAX($AB$1:$AB$281)+1,"")</f>
        <v/>
      </c>
      <c r="AC282" s="69" t="str">
        <f aca="false">IF(AND(B282&lt;&gt;"",OR(ISNUMBER(SEARCH("CTIN",P282)),U282="Alta",O282="07 - Relatório recebido — unidade apta",O282="11 - Orçamentos em análise técnica",O282="22 - Instalação/substituição autorizada")),MAX($AC$1:$AC$281)+1,"")</f>
        <v/>
      </c>
      <c r="AD282" s="69" t="str">
        <f aca="false">IF(AND(B282&lt;&gt;"",OR(ISNUMBER(SEARCH("CTO",P282)),LEFT(O282,2)="22",LEFT(O282,2)="23",LEFT(O282,2)="24",LEFT(O282,2)="25",LEFT(O282,2)="26",LEFT(O282,2)="27")),MAX($AD$1:$AD$281)+1,"")</f>
        <v/>
      </c>
      <c r="AE282" s="69" t="str">
        <f aca="false">IF(AND(B282&lt;&gt;"",D282=CONSULTA_UNIDADE!$B$4),MAX($AE$1:$AE$281)+1,"")</f>
        <v/>
      </c>
      <c r="AF282" s="69" t="str">
        <f aca="false">IF(AND(B282&lt;&gt;"",O282&lt;&gt;"27 - Instalação concluída",O282&lt;&gt;"28 - Encerrado",ISNUMBER(S282)),S282*1000+(1000-ROW()),"")</f>
        <v/>
      </c>
      <c r="AG282" s="69" t="str">
        <f aca="false">IF(AF282="","",RANK(AF282,$AF$2:$AF$500))</f>
        <v/>
      </c>
    </row>
    <row r="283" customFormat="false" ht="16.5" hidden="false" customHeight="true" outlineLevel="0" collapsed="false">
      <c r="A283" s="86"/>
      <c r="B283" s="86"/>
      <c r="C283" s="87" t="str">
        <f aca="false">IF(D283="","",IFERROR(INDEX(CADASTRO_VIVO_3CRE!$B$2:$B$150,MATCH(D283,CADASTRO_VIVO_3CRE!$E$2:$E$150,0)),""))</f>
        <v/>
      </c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8"/>
      <c r="S283" s="89" t="str">
        <f aca="true">IF(R283="","",TODAY()-INT(R283))</f>
        <v/>
      </c>
      <c r="T283" s="86"/>
      <c r="U283" s="86"/>
      <c r="V283" s="86"/>
      <c r="W283" s="88"/>
      <c r="X283" s="89" t="str">
        <f aca="true">IF(W283="","",IF(OR(O283="28 - Encerrado",O283="27 - Instalação concluída"),"Concluído",TODAY()-INT(W283)))</f>
        <v/>
      </c>
      <c r="Y283" s="90" t="str">
        <f aca="false">IF(OR(O283="28 - Encerrado",O283="27 - Instalação concluída"),"OK",IF(AND(B283&lt;&gt;"",S283=""),"ATENÇÃO (Sem data de atualização)",IF(S283="","",IF(S283&gt;30,"CRÍTICO (Sem Atualização &gt;30 dias)",IF(S283&gt;15,"ATENÇÃO (Sem Atualização &gt;15 dias)",IF(X283&gt;90,"CRÍTICO (Aberto &gt;90 dias)","OK"))))))</f>
        <v/>
      </c>
      <c r="Z283" s="90" t="str">
        <f aca="false">IF(B283="","",IF(OR(O283="27 - Instalação concluída",O283="28 - Encerrado"),"OK",IF(NOT(ISNUMBER(X283)),"",IF(X283&gt;365,"MUITO ANTIGO (&gt;1 ano)",IF(X283&gt;180,"ANTIGO (&gt;6 meses)",IF(X283&gt;90,"ATENÇÃO ANTIG. (&gt;3 meses)","OK"))))))</f>
        <v/>
      </c>
      <c r="AA283" s="86"/>
      <c r="AB283" s="69" t="str">
        <f aca="false">IF(AND(B283&lt;&gt;"",OR(T283="Pendente de Vistoria",T283="Não validada")),MAX($AB$1:$AB$282)+1,"")</f>
        <v/>
      </c>
      <c r="AC283" s="69" t="str">
        <f aca="false">IF(AND(B283&lt;&gt;"",OR(ISNUMBER(SEARCH("CTIN",P283)),U283="Alta",O283="07 - Relatório recebido — unidade apta",O283="11 - Orçamentos em análise técnica",O283="22 - Instalação/substituição autorizada")),MAX($AC$1:$AC$282)+1,"")</f>
        <v/>
      </c>
      <c r="AD283" s="69" t="str">
        <f aca="false">IF(AND(B283&lt;&gt;"",OR(ISNUMBER(SEARCH("CTO",P283)),LEFT(O283,2)="22",LEFT(O283,2)="23",LEFT(O283,2)="24",LEFT(O283,2)="25",LEFT(O283,2)="26",LEFT(O283,2)="27")),MAX($AD$1:$AD$282)+1,"")</f>
        <v/>
      </c>
      <c r="AE283" s="69" t="str">
        <f aca="false">IF(AND(B283&lt;&gt;"",D283=CONSULTA_UNIDADE!$B$4),MAX($AE$1:$AE$282)+1,"")</f>
        <v/>
      </c>
      <c r="AF283" s="69" t="str">
        <f aca="false">IF(AND(B283&lt;&gt;"",O283&lt;&gt;"27 - Instalação concluída",O283&lt;&gt;"28 - Encerrado",ISNUMBER(S283)),S283*1000+(1000-ROW()),"")</f>
        <v/>
      </c>
      <c r="AG283" s="69" t="str">
        <f aca="false">IF(AF283="","",RANK(AF283,$AF$2:$AF$500))</f>
        <v/>
      </c>
    </row>
    <row r="284" customFormat="false" ht="16.5" hidden="false" customHeight="true" outlineLevel="0" collapsed="false">
      <c r="A284" s="86"/>
      <c r="B284" s="86"/>
      <c r="C284" s="87" t="str">
        <f aca="false">IF(D284="","",IFERROR(INDEX(CADASTRO_VIVO_3CRE!$B$2:$B$150,MATCH(D284,CADASTRO_VIVO_3CRE!$E$2:$E$150,0)),""))</f>
        <v/>
      </c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8"/>
      <c r="S284" s="89" t="str">
        <f aca="true">IF(R284="","",TODAY()-INT(R284))</f>
        <v/>
      </c>
      <c r="T284" s="86"/>
      <c r="U284" s="86"/>
      <c r="V284" s="86"/>
      <c r="W284" s="88"/>
      <c r="X284" s="89" t="str">
        <f aca="true">IF(W284="","",IF(OR(O284="28 - Encerrado",O284="27 - Instalação concluída"),"Concluído",TODAY()-INT(W284)))</f>
        <v/>
      </c>
      <c r="Y284" s="90" t="str">
        <f aca="false">IF(OR(O284="28 - Encerrado",O284="27 - Instalação concluída"),"OK",IF(AND(B284&lt;&gt;"",S284=""),"ATENÇÃO (Sem data de atualização)",IF(S284="","",IF(S284&gt;30,"CRÍTICO (Sem Atualização &gt;30 dias)",IF(S284&gt;15,"ATENÇÃO (Sem Atualização &gt;15 dias)",IF(X284&gt;90,"CRÍTICO (Aberto &gt;90 dias)","OK"))))))</f>
        <v/>
      </c>
      <c r="Z284" s="90" t="str">
        <f aca="false">IF(B284="","",IF(OR(O284="27 - Instalação concluída",O284="28 - Encerrado"),"OK",IF(NOT(ISNUMBER(X284)),"",IF(X284&gt;365,"MUITO ANTIGO (&gt;1 ano)",IF(X284&gt;180,"ANTIGO (&gt;6 meses)",IF(X284&gt;90,"ATENÇÃO ANTIG. (&gt;3 meses)","OK"))))))</f>
        <v/>
      </c>
      <c r="AA284" s="86"/>
      <c r="AB284" s="69" t="str">
        <f aca="false">IF(AND(B284&lt;&gt;"",OR(T284="Pendente de Vistoria",T284="Não validada")),MAX($AB$1:$AB$283)+1,"")</f>
        <v/>
      </c>
      <c r="AC284" s="69" t="str">
        <f aca="false">IF(AND(B284&lt;&gt;"",OR(ISNUMBER(SEARCH("CTIN",P284)),U284="Alta",O284="07 - Relatório recebido — unidade apta",O284="11 - Orçamentos em análise técnica",O284="22 - Instalação/substituição autorizada")),MAX($AC$1:$AC$283)+1,"")</f>
        <v/>
      </c>
      <c r="AD284" s="69" t="str">
        <f aca="false">IF(AND(B284&lt;&gt;"",OR(ISNUMBER(SEARCH("CTO",P284)),LEFT(O284,2)="22",LEFT(O284,2)="23",LEFT(O284,2)="24",LEFT(O284,2)="25",LEFT(O284,2)="26",LEFT(O284,2)="27")),MAX($AD$1:$AD$283)+1,"")</f>
        <v/>
      </c>
      <c r="AE284" s="69" t="str">
        <f aca="false">IF(AND(B284&lt;&gt;"",D284=CONSULTA_UNIDADE!$B$4),MAX($AE$1:$AE$283)+1,"")</f>
        <v/>
      </c>
      <c r="AF284" s="69" t="str">
        <f aca="false">IF(AND(B284&lt;&gt;"",O284&lt;&gt;"27 - Instalação concluída",O284&lt;&gt;"28 - Encerrado",ISNUMBER(S284)),S284*1000+(1000-ROW()),"")</f>
        <v/>
      </c>
      <c r="AG284" s="69" t="str">
        <f aca="false">IF(AF284="","",RANK(AF284,$AF$2:$AF$500))</f>
        <v/>
      </c>
    </row>
    <row r="285" customFormat="false" ht="16.5" hidden="false" customHeight="true" outlineLevel="0" collapsed="false">
      <c r="A285" s="86"/>
      <c r="B285" s="86"/>
      <c r="C285" s="87" t="str">
        <f aca="false">IF(D285="","",IFERROR(INDEX(CADASTRO_VIVO_3CRE!$B$2:$B$150,MATCH(D285,CADASTRO_VIVO_3CRE!$E$2:$E$150,0)),""))</f>
        <v/>
      </c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8"/>
      <c r="S285" s="89" t="str">
        <f aca="true">IF(R285="","",TODAY()-INT(R285))</f>
        <v/>
      </c>
      <c r="T285" s="86"/>
      <c r="U285" s="86"/>
      <c r="V285" s="86"/>
      <c r="W285" s="88"/>
      <c r="X285" s="89" t="str">
        <f aca="true">IF(W285="","",IF(OR(O285="28 - Encerrado",O285="27 - Instalação concluída"),"Concluído",TODAY()-INT(W285)))</f>
        <v/>
      </c>
      <c r="Y285" s="90" t="str">
        <f aca="false">IF(OR(O285="28 - Encerrado",O285="27 - Instalação concluída"),"OK",IF(AND(B285&lt;&gt;"",S285=""),"ATENÇÃO (Sem data de atualização)",IF(S285="","",IF(S285&gt;30,"CRÍTICO (Sem Atualização &gt;30 dias)",IF(S285&gt;15,"ATENÇÃO (Sem Atualização &gt;15 dias)",IF(X285&gt;90,"CRÍTICO (Aberto &gt;90 dias)","OK"))))))</f>
        <v/>
      </c>
      <c r="Z285" s="90" t="str">
        <f aca="false">IF(B285="","",IF(OR(O285="27 - Instalação concluída",O285="28 - Encerrado"),"OK",IF(NOT(ISNUMBER(X285)),"",IF(X285&gt;365,"MUITO ANTIGO (&gt;1 ano)",IF(X285&gt;180,"ANTIGO (&gt;6 meses)",IF(X285&gt;90,"ATENÇÃO ANTIG. (&gt;3 meses)","OK"))))))</f>
        <v/>
      </c>
      <c r="AA285" s="86"/>
      <c r="AB285" s="69" t="str">
        <f aca="false">IF(AND(B285&lt;&gt;"",OR(T285="Pendente de Vistoria",T285="Não validada")),MAX($AB$1:$AB$284)+1,"")</f>
        <v/>
      </c>
      <c r="AC285" s="69" t="str">
        <f aca="false">IF(AND(B285&lt;&gt;"",OR(ISNUMBER(SEARCH("CTIN",P285)),U285="Alta",O285="07 - Relatório recebido — unidade apta",O285="11 - Orçamentos em análise técnica",O285="22 - Instalação/substituição autorizada")),MAX($AC$1:$AC$284)+1,"")</f>
        <v/>
      </c>
      <c r="AD285" s="69" t="str">
        <f aca="false">IF(AND(B285&lt;&gt;"",OR(ISNUMBER(SEARCH("CTO",P285)),LEFT(O285,2)="22",LEFT(O285,2)="23",LEFT(O285,2)="24",LEFT(O285,2)="25",LEFT(O285,2)="26",LEFT(O285,2)="27")),MAX($AD$1:$AD$284)+1,"")</f>
        <v/>
      </c>
      <c r="AE285" s="69" t="str">
        <f aca="false">IF(AND(B285&lt;&gt;"",D285=CONSULTA_UNIDADE!$B$4),MAX($AE$1:$AE$284)+1,"")</f>
        <v/>
      </c>
      <c r="AF285" s="69" t="str">
        <f aca="false">IF(AND(B285&lt;&gt;"",O285&lt;&gt;"27 - Instalação concluída",O285&lt;&gt;"28 - Encerrado",ISNUMBER(S285)),S285*1000+(1000-ROW()),"")</f>
        <v/>
      </c>
      <c r="AG285" s="69" t="str">
        <f aca="false">IF(AF285="","",RANK(AF285,$AF$2:$AF$500))</f>
        <v/>
      </c>
    </row>
    <row r="286" customFormat="false" ht="16.5" hidden="false" customHeight="true" outlineLevel="0" collapsed="false">
      <c r="A286" s="86"/>
      <c r="B286" s="86"/>
      <c r="C286" s="87" t="str">
        <f aca="false">IF(D286="","",IFERROR(INDEX(CADASTRO_VIVO_3CRE!$B$2:$B$150,MATCH(D286,CADASTRO_VIVO_3CRE!$E$2:$E$150,0)),""))</f>
        <v/>
      </c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8"/>
      <c r="S286" s="89" t="str">
        <f aca="true">IF(R286="","",TODAY()-INT(R286))</f>
        <v/>
      </c>
      <c r="T286" s="86"/>
      <c r="U286" s="86"/>
      <c r="V286" s="86"/>
      <c r="W286" s="88"/>
      <c r="X286" s="89" t="str">
        <f aca="true">IF(W286="","",IF(OR(O286="28 - Encerrado",O286="27 - Instalação concluída"),"Concluído",TODAY()-INT(W286)))</f>
        <v/>
      </c>
      <c r="Y286" s="90" t="str">
        <f aca="false">IF(OR(O286="28 - Encerrado",O286="27 - Instalação concluída"),"OK",IF(AND(B286&lt;&gt;"",S286=""),"ATENÇÃO (Sem data de atualização)",IF(S286="","",IF(S286&gt;30,"CRÍTICO (Sem Atualização &gt;30 dias)",IF(S286&gt;15,"ATENÇÃO (Sem Atualização &gt;15 dias)",IF(X286&gt;90,"CRÍTICO (Aberto &gt;90 dias)","OK"))))))</f>
        <v/>
      </c>
      <c r="Z286" s="90" t="str">
        <f aca="false">IF(B286="","",IF(OR(O286="27 - Instalação concluída",O286="28 - Encerrado"),"OK",IF(NOT(ISNUMBER(X286)),"",IF(X286&gt;365,"MUITO ANTIGO (&gt;1 ano)",IF(X286&gt;180,"ANTIGO (&gt;6 meses)",IF(X286&gt;90,"ATENÇÃO ANTIG. (&gt;3 meses)","OK"))))))</f>
        <v/>
      </c>
      <c r="AA286" s="86"/>
      <c r="AB286" s="69" t="str">
        <f aca="false">IF(AND(B286&lt;&gt;"",OR(T286="Pendente de Vistoria",T286="Não validada")),MAX($AB$1:$AB$285)+1,"")</f>
        <v/>
      </c>
      <c r="AC286" s="69" t="str">
        <f aca="false">IF(AND(B286&lt;&gt;"",OR(ISNUMBER(SEARCH("CTIN",P286)),U286="Alta",O286="07 - Relatório recebido — unidade apta",O286="11 - Orçamentos em análise técnica",O286="22 - Instalação/substituição autorizada")),MAX($AC$1:$AC$285)+1,"")</f>
        <v/>
      </c>
      <c r="AD286" s="69" t="str">
        <f aca="false">IF(AND(B286&lt;&gt;"",OR(ISNUMBER(SEARCH("CTO",P286)),LEFT(O286,2)="22",LEFT(O286,2)="23",LEFT(O286,2)="24",LEFT(O286,2)="25",LEFT(O286,2)="26",LEFT(O286,2)="27")),MAX($AD$1:$AD$285)+1,"")</f>
        <v/>
      </c>
      <c r="AE286" s="69" t="str">
        <f aca="false">IF(AND(B286&lt;&gt;"",D286=CONSULTA_UNIDADE!$B$4),MAX($AE$1:$AE$285)+1,"")</f>
        <v/>
      </c>
      <c r="AF286" s="69" t="str">
        <f aca="false">IF(AND(B286&lt;&gt;"",O286&lt;&gt;"27 - Instalação concluída",O286&lt;&gt;"28 - Encerrado",ISNUMBER(S286)),S286*1000+(1000-ROW()),"")</f>
        <v/>
      </c>
      <c r="AG286" s="69" t="str">
        <f aca="false">IF(AF286="","",RANK(AF286,$AF$2:$AF$500))</f>
        <v/>
      </c>
    </row>
    <row r="287" customFormat="false" ht="16.5" hidden="false" customHeight="true" outlineLevel="0" collapsed="false">
      <c r="A287" s="86"/>
      <c r="B287" s="86"/>
      <c r="C287" s="87" t="str">
        <f aca="false">IF(D287="","",IFERROR(INDEX(CADASTRO_VIVO_3CRE!$B$2:$B$150,MATCH(D287,CADASTRO_VIVO_3CRE!$E$2:$E$150,0)),""))</f>
        <v/>
      </c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8"/>
      <c r="S287" s="89" t="str">
        <f aca="true">IF(R287="","",TODAY()-INT(R287))</f>
        <v/>
      </c>
      <c r="T287" s="86"/>
      <c r="U287" s="86"/>
      <c r="V287" s="86"/>
      <c r="W287" s="88"/>
      <c r="X287" s="89" t="str">
        <f aca="true">IF(W287="","",IF(OR(O287="28 - Encerrado",O287="27 - Instalação concluída"),"Concluído",TODAY()-INT(W287)))</f>
        <v/>
      </c>
      <c r="Y287" s="90" t="str">
        <f aca="false">IF(OR(O287="28 - Encerrado",O287="27 - Instalação concluída"),"OK",IF(AND(B287&lt;&gt;"",S287=""),"ATENÇÃO (Sem data de atualização)",IF(S287="","",IF(S287&gt;30,"CRÍTICO (Sem Atualização &gt;30 dias)",IF(S287&gt;15,"ATENÇÃO (Sem Atualização &gt;15 dias)",IF(X287&gt;90,"CRÍTICO (Aberto &gt;90 dias)","OK"))))))</f>
        <v/>
      </c>
      <c r="Z287" s="90" t="str">
        <f aca="false">IF(B287="","",IF(OR(O287="27 - Instalação concluída",O287="28 - Encerrado"),"OK",IF(NOT(ISNUMBER(X287)),"",IF(X287&gt;365,"MUITO ANTIGO (&gt;1 ano)",IF(X287&gt;180,"ANTIGO (&gt;6 meses)",IF(X287&gt;90,"ATENÇÃO ANTIG. (&gt;3 meses)","OK"))))))</f>
        <v/>
      </c>
      <c r="AA287" s="86"/>
      <c r="AB287" s="69" t="str">
        <f aca="false">IF(AND(B287&lt;&gt;"",OR(T287="Pendente de Vistoria",T287="Não validada")),MAX($AB$1:$AB$286)+1,"")</f>
        <v/>
      </c>
      <c r="AC287" s="69" t="str">
        <f aca="false">IF(AND(B287&lt;&gt;"",OR(ISNUMBER(SEARCH("CTIN",P287)),U287="Alta",O287="07 - Relatório recebido — unidade apta",O287="11 - Orçamentos em análise técnica",O287="22 - Instalação/substituição autorizada")),MAX($AC$1:$AC$286)+1,"")</f>
        <v/>
      </c>
      <c r="AD287" s="69" t="str">
        <f aca="false">IF(AND(B287&lt;&gt;"",OR(ISNUMBER(SEARCH("CTO",P287)),LEFT(O287,2)="22",LEFT(O287,2)="23",LEFT(O287,2)="24",LEFT(O287,2)="25",LEFT(O287,2)="26",LEFT(O287,2)="27")),MAX($AD$1:$AD$286)+1,"")</f>
        <v/>
      </c>
      <c r="AE287" s="69" t="str">
        <f aca="false">IF(AND(B287&lt;&gt;"",D287=CONSULTA_UNIDADE!$B$4),MAX($AE$1:$AE$286)+1,"")</f>
        <v/>
      </c>
      <c r="AF287" s="69" t="str">
        <f aca="false">IF(AND(B287&lt;&gt;"",O287&lt;&gt;"27 - Instalação concluída",O287&lt;&gt;"28 - Encerrado",ISNUMBER(S287)),S287*1000+(1000-ROW()),"")</f>
        <v/>
      </c>
      <c r="AG287" s="69" t="str">
        <f aca="false">IF(AF287="","",RANK(AF287,$AF$2:$AF$500))</f>
        <v/>
      </c>
    </row>
    <row r="288" customFormat="false" ht="16.5" hidden="false" customHeight="true" outlineLevel="0" collapsed="false">
      <c r="A288" s="86"/>
      <c r="B288" s="86"/>
      <c r="C288" s="87" t="str">
        <f aca="false">IF(D288="","",IFERROR(INDEX(CADASTRO_VIVO_3CRE!$B$2:$B$150,MATCH(D288,CADASTRO_VIVO_3CRE!$E$2:$E$150,0)),""))</f>
        <v/>
      </c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8"/>
      <c r="S288" s="89" t="str">
        <f aca="true">IF(R288="","",TODAY()-INT(R288))</f>
        <v/>
      </c>
      <c r="T288" s="86"/>
      <c r="U288" s="86"/>
      <c r="V288" s="86"/>
      <c r="W288" s="88"/>
      <c r="X288" s="89" t="str">
        <f aca="true">IF(W288="","",IF(OR(O288="28 - Encerrado",O288="27 - Instalação concluída"),"Concluído",TODAY()-INT(W288)))</f>
        <v/>
      </c>
      <c r="Y288" s="90" t="str">
        <f aca="false">IF(OR(O288="28 - Encerrado",O288="27 - Instalação concluída"),"OK",IF(AND(B288&lt;&gt;"",S288=""),"ATENÇÃO (Sem data de atualização)",IF(S288="","",IF(S288&gt;30,"CRÍTICO (Sem Atualização &gt;30 dias)",IF(S288&gt;15,"ATENÇÃO (Sem Atualização &gt;15 dias)",IF(X288&gt;90,"CRÍTICO (Aberto &gt;90 dias)","OK"))))))</f>
        <v/>
      </c>
      <c r="Z288" s="90" t="str">
        <f aca="false">IF(B288="","",IF(OR(O288="27 - Instalação concluída",O288="28 - Encerrado"),"OK",IF(NOT(ISNUMBER(X288)),"",IF(X288&gt;365,"MUITO ANTIGO (&gt;1 ano)",IF(X288&gt;180,"ANTIGO (&gt;6 meses)",IF(X288&gt;90,"ATENÇÃO ANTIG. (&gt;3 meses)","OK"))))))</f>
        <v/>
      </c>
      <c r="AA288" s="86"/>
      <c r="AB288" s="69" t="str">
        <f aca="false">IF(AND(B288&lt;&gt;"",OR(T288="Pendente de Vistoria",T288="Não validada")),MAX($AB$1:$AB$287)+1,"")</f>
        <v/>
      </c>
      <c r="AC288" s="69" t="str">
        <f aca="false">IF(AND(B288&lt;&gt;"",OR(ISNUMBER(SEARCH("CTIN",P288)),U288="Alta",O288="07 - Relatório recebido — unidade apta",O288="11 - Orçamentos em análise técnica",O288="22 - Instalação/substituição autorizada")),MAX($AC$1:$AC$287)+1,"")</f>
        <v/>
      </c>
      <c r="AD288" s="69" t="str">
        <f aca="false">IF(AND(B288&lt;&gt;"",OR(ISNUMBER(SEARCH("CTO",P288)),LEFT(O288,2)="22",LEFT(O288,2)="23",LEFT(O288,2)="24",LEFT(O288,2)="25",LEFT(O288,2)="26",LEFT(O288,2)="27")),MAX($AD$1:$AD$287)+1,"")</f>
        <v/>
      </c>
      <c r="AE288" s="69" t="str">
        <f aca="false">IF(AND(B288&lt;&gt;"",D288=CONSULTA_UNIDADE!$B$4),MAX($AE$1:$AE$287)+1,"")</f>
        <v/>
      </c>
      <c r="AF288" s="69" t="str">
        <f aca="false">IF(AND(B288&lt;&gt;"",O288&lt;&gt;"27 - Instalação concluída",O288&lt;&gt;"28 - Encerrado",ISNUMBER(S288)),S288*1000+(1000-ROW()),"")</f>
        <v/>
      </c>
      <c r="AG288" s="69" t="str">
        <f aca="false">IF(AF288="","",RANK(AF288,$AF$2:$AF$500))</f>
        <v/>
      </c>
    </row>
    <row r="289" customFormat="false" ht="16.5" hidden="false" customHeight="true" outlineLevel="0" collapsed="false">
      <c r="A289" s="86"/>
      <c r="B289" s="86"/>
      <c r="C289" s="87" t="str">
        <f aca="false">IF(D289="","",IFERROR(INDEX(CADASTRO_VIVO_3CRE!$B$2:$B$150,MATCH(D289,CADASTRO_VIVO_3CRE!$E$2:$E$150,0)),""))</f>
        <v/>
      </c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8"/>
      <c r="S289" s="89" t="str">
        <f aca="true">IF(R289="","",TODAY()-INT(R289))</f>
        <v/>
      </c>
      <c r="T289" s="86"/>
      <c r="U289" s="86"/>
      <c r="V289" s="86"/>
      <c r="W289" s="88"/>
      <c r="X289" s="89" t="str">
        <f aca="true">IF(W289="","",IF(OR(O289="28 - Encerrado",O289="27 - Instalação concluída"),"Concluído",TODAY()-INT(W289)))</f>
        <v/>
      </c>
      <c r="Y289" s="90" t="str">
        <f aca="false">IF(OR(O289="28 - Encerrado",O289="27 - Instalação concluída"),"OK",IF(AND(B289&lt;&gt;"",S289=""),"ATENÇÃO (Sem data de atualização)",IF(S289="","",IF(S289&gt;30,"CRÍTICO (Sem Atualização &gt;30 dias)",IF(S289&gt;15,"ATENÇÃO (Sem Atualização &gt;15 dias)",IF(X289&gt;90,"CRÍTICO (Aberto &gt;90 dias)","OK"))))))</f>
        <v/>
      </c>
      <c r="Z289" s="90" t="str">
        <f aca="false">IF(B289="","",IF(OR(O289="27 - Instalação concluída",O289="28 - Encerrado"),"OK",IF(NOT(ISNUMBER(X289)),"",IF(X289&gt;365,"MUITO ANTIGO (&gt;1 ano)",IF(X289&gt;180,"ANTIGO (&gt;6 meses)",IF(X289&gt;90,"ATENÇÃO ANTIG. (&gt;3 meses)","OK"))))))</f>
        <v/>
      </c>
      <c r="AA289" s="86"/>
      <c r="AB289" s="69" t="str">
        <f aca="false">IF(AND(B289&lt;&gt;"",OR(T289="Pendente de Vistoria",T289="Não validada")),MAX($AB$1:$AB$288)+1,"")</f>
        <v/>
      </c>
      <c r="AC289" s="69" t="str">
        <f aca="false">IF(AND(B289&lt;&gt;"",OR(ISNUMBER(SEARCH("CTIN",P289)),U289="Alta",O289="07 - Relatório recebido — unidade apta",O289="11 - Orçamentos em análise técnica",O289="22 - Instalação/substituição autorizada")),MAX($AC$1:$AC$288)+1,"")</f>
        <v/>
      </c>
      <c r="AD289" s="69" t="str">
        <f aca="false">IF(AND(B289&lt;&gt;"",OR(ISNUMBER(SEARCH("CTO",P289)),LEFT(O289,2)="22",LEFT(O289,2)="23",LEFT(O289,2)="24",LEFT(O289,2)="25",LEFT(O289,2)="26",LEFT(O289,2)="27")),MAX($AD$1:$AD$288)+1,"")</f>
        <v/>
      </c>
      <c r="AE289" s="69" t="str">
        <f aca="false">IF(AND(B289&lt;&gt;"",D289=CONSULTA_UNIDADE!$B$4),MAX($AE$1:$AE$288)+1,"")</f>
        <v/>
      </c>
      <c r="AF289" s="69" t="str">
        <f aca="false">IF(AND(B289&lt;&gt;"",O289&lt;&gt;"27 - Instalação concluída",O289&lt;&gt;"28 - Encerrado",ISNUMBER(S289)),S289*1000+(1000-ROW()),"")</f>
        <v/>
      </c>
      <c r="AG289" s="69" t="str">
        <f aca="false">IF(AF289="","",RANK(AF289,$AF$2:$AF$500))</f>
        <v/>
      </c>
    </row>
    <row r="290" customFormat="false" ht="16.5" hidden="false" customHeight="true" outlineLevel="0" collapsed="false">
      <c r="A290" s="86"/>
      <c r="B290" s="86"/>
      <c r="C290" s="87" t="str">
        <f aca="false">IF(D290="","",IFERROR(INDEX(CADASTRO_VIVO_3CRE!$B$2:$B$150,MATCH(D290,CADASTRO_VIVO_3CRE!$E$2:$E$150,0)),""))</f>
        <v/>
      </c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8"/>
      <c r="S290" s="89" t="str">
        <f aca="true">IF(R290="","",TODAY()-INT(R290))</f>
        <v/>
      </c>
      <c r="T290" s="86"/>
      <c r="U290" s="86"/>
      <c r="V290" s="86"/>
      <c r="W290" s="88"/>
      <c r="X290" s="89" t="str">
        <f aca="true">IF(W290="","",IF(OR(O290="28 - Encerrado",O290="27 - Instalação concluída"),"Concluído",TODAY()-INT(W290)))</f>
        <v/>
      </c>
      <c r="Y290" s="90" t="str">
        <f aca="false">IF(OR(O290="28 - Encerrado",O290="27 - Instalação concluída"),"OK",IF(AND(B290&lt;&gt;"",S290=""),"ATENÇÃO (Sem data de atualização)",IF(S290="","",IF(S290&gt;30,"CRÍTICO (Sem Atualização &gt;30 dias)",IF(S290&gt;15,"ATENÇÃO (Sem Atualização &gt;15 dias)",IF(X290&gt;90,"CRÍTICO (Aberto &gt;90 dias)","OK"))))))</f>
        <v/>
      </c>
      <c r="Z290" s="90" t="str">
        <f aca="false">IF(B290="","",IF(OR(O290="27 - Instalação concluída",O290="28 - Encerrado"),"OK",IF(NOT(ISNUMBER(X290)),"",IF(X290&gt;365,"MUITO ANTIGO (&gt;1 ano)",IF(X290&gt;180,"ANTIGO (&gt;6 meses)",IF(X290&gt;90,"ATENÇÃO ANTIG. (&gt;3 meses)","OK"))))))</f>
        <v/>
      </c>
      <c r="AA290" s="86"/>
      <c r="AB290" s="69" t="str">
        <f aca="false">IF(AND(B290&lt;&gt;"",OR(T290="Pendente de Vistoria",T290="Não validada")),MAX($AB$1:$AB$289)+1,"")</f>
        <v/>
      </c>
      <c r="AC290" s="69" t="str">
        <f aca="false">IF(AND(B290&lt;&gt;"",OR(ISNUMBER(SEARCH("CTIN",P290)),U290="Alta",O290="07 - Relatório recebido — unidade apta",O290="11 - Orçamentos em análise técnica",O290="22 - Instalação/substituição autorizada")),MAX($AC$1:$AC$289)+1,"")</f>
        <v/>
      </c>
      <c r="AD290" s="69" t="str">
        <f aca="false">IF(AND(B290&lt;&gt;"",OR(ISNUMBER(SEARCH("CTO",P290)),LEFT(O290,2)="22",LEFT(O290,2)="23",LEFT(O290,2)="24",LEFT(O290,2)="25",LEFT(O290,2)="26",LEFT(O290,2)="27")),MAX($AD$1:$AD$289)+1,"")</f>
        <v/>
      </c>
      <c r="AE290" s="69" t="str">
        <f aca="false">IF(AND(B290&lt;&gt;"",D290=CONSULTA_UNIDADE!$B$4),MAX($AE$1:$AE$289)+1,"")</f>
        <v/>
      </c>
      <c r="AF290" s="69" t="str">
        <f aca="false">IF(AND(B290&lt;&gt;"",O290&lt;&gt;"27 - Instalação concluída",O290&lt;&gt;"28 - Encerrado",ISNUMBER(S290)),S290*1000+(1000-ROW()),"")</f>
        <v/>
      </c>
      <c r="AG290" s="69" t="str">
        <f aca="false">IF(AF290="","",RANK(AF290,$AF$2:$AF$500))</f>
        <v/>
      </c>
    </row>
    <row r="291" customFormat="false" ht="16.5" hidden="false" customHeight="true" outlineLevel="0" collapsed="false">
      <c r="A291" s="86"/>
      <c r="B291" s="86"/>
      <c r="C291" s="87" t="str">
        <f aca="false">IF(D291="","",IFERROR(INDEX(CADASTRO_VIVO_3CRE!$B$2:$B$150,MATCH(D291,CADASTRO_VIVO_3CRE!$E$2:$E$150,0)),""))</f>
        <v/>
      </c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8"/>
      <c r="S291" s="89" t="str">
        <f aca="true">IF(R291="","",TODAY()-INT(R291))</f>
        <v/>
      </c>
      <c r="T291" s="86"/>
      <c r="U291" s="86"/>
      <c r="V291" s="86"/>
      <c r="W291" s="88"/>
      <c r="X291" s="89" t="str">
        <f aca="true">IF(W291="","",IF(OR(O291="28 - Encerrado",O291="27 - Instalação concluída"),"Concluído",TODAY()-INT(W291)))</f>
        <v/>
      </c>
      <c r="Y291" s="90" t="str">
        <f aca="false">IF(OR(O291="28 - Encerrado",O291="27 - Instalação concluída"),"OK",IF(AND(B291&lt;&gt;"",S291=""),"ATENÇÃO (Sem data de atualização)",IF(S291="","",IF(S291&gt;30,"CRÍTICO (Sem Atualização &gt;30 dias)",IF(S291&gt;15,"ATENÇÃO (Sem Atualização &gt;15 dias)",IF(X291&gt;90,"CRÍTICO (Aberto &gt;90 dias)","OK"))))))</f>
        <v/>
      </c>
      <c r="Z291" s="90" t="str">
        <f aca="false">IF(B291="","",IF(OR(O291="27 - Instalação concluída",O291="28 - Encerrado"),"OK",IF(NOT(ISNUMBER(X291)),"",IF(X291&gt;365,"MUITO ANTIGO (&gt;1 ano)",IF(X291&gt;180,"ANTIGO (&gt;6 meses)",IF(X291&gt;90,"ATENÇÃO ANTIG. (&gt;3 meses)","OK"))))))</f>
        <v/>
      </c>
      <c r="AA291" s="86"/>
      <c r="AB291" s="69" t="str">
        <f aca="false">IF(AND(B291&lt;&gt;"",OR(T291="Pendente de Vistoria",T291="Não validada")),MAX($AB$1:$AB$290)+1,"")</f>
        <v/>
      </c>
      <c r="AC291" s="69" t="str">
        <f aca="false">IF(AND(B291&lt;&gt;"",OR(ISNUMBER(SEARCH("CTIN",P291)),U291="Alta",O291="07 - Relatório recebido — unidade apta",O291="11 - Orçamentos em análise técnica",O291="22 - Instalação/substituição autorizada")),MAX($AC$1:$AC$290)+1,"")</f>
        <v/>
      </c>
      <c r="AD291" s="69" t="str">
        <f aca="false">IF(AND(B291&lt;&gt;"",OR(ISNUMBER(SEARCH("CTO",P291)),LEFT(O291,2)="22",LEFT(O291,2)="23",LEFT(O291,2)="24",LEFT(O291,2)="25",LEFT(O291,2)="26",LEFT(O291,2)="27")),MAX($AD$1:$AD$290)+1,"")</f>
        <v/>
      </c>
      <c r="AE291" s="69" t="str">
        <f aca="false">IF(AND(B291&lt;&gt;"",D291=CONSULTA_UNIDADE!$B$4),MAX($AE$1:$AE$290)+1,"")</f>
        <v/>
      </c>
      <c r="AF291" s="69" t="str">
        <f aca="false">IF(AND(B291&lt;&gt;"",O291&lt;&gt;"27 - Instalação concluída",O291&lt;&gt;"28 - Encerrado",ISNUMBER(S291)),S291*1000+(1000-ROW()),"")</f>
        <v/>
      </c>
      <c r="AG291" s="69" t="str">
        <f aca="false">IF(AF291="","",RANK(AF291,$AF$2:$AF$500))</f>
        <v/>
      </c>
    </row>
    <row r="292" customFormat="false" ht="16.5" hidden="false" customHeight="true" outlineLevel="0" collapsed="false">
      <c r="A292" s="86"/>
      <c r="B292" s="86"/>
      <c r="C292" s="87" t="str">
        <f aca="false">IF(D292="","",IFERROR(INDEX(CADASTRO_VIVO_3CRE!$B$2:$B$150,MATCH(D292,CADASTRO_VIVO_3CRE!$E$2:$E$150,0)),""))</f>
        <v/>
      </c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8"/>
      <c r="S292" s="89" t="str">
        <f aca="true">IF(R292="","",TODAY()-INT(R292))</f>
        <v/>
      </c>
      <c r="T292" s="86"/>
      <c r="U292" s="86"/>
      <c r="V292" s="86"/>
      <c r="W292" s="88"/>
      <c r="X292" s="89" t="str">
        <f aca="true">IF(W292="","",IF(OR(O292="28 - Encerrado",O292="27 - Instalação concluída"),"Concluído",TODAY()-INT(W292)))</f>
        <v/>
      </c>
      <c r="Y292" s="90" t="str">
        <f aca="false">IF(OR(O292="28 - Encerrado",O292="27 - Instalação concluída"),"OK",IF(AND(B292&lt;&gt;"",S292=""),"ATENÇÃO (Sem data de atualização)",IF(S292="","",IF(S292&gt;30,"CRÍTICO (Sem Atualização &gt;30 dias)",IF(S292&gt;15,"ATENÇÃO (Sem Atualização &gt;15 dias)",IF(X292&gt;90,"CRÍTICO (Aberto &gt;90 dias)","OK"))))))</f>
        <v/>
      </c>
      <c r="Z292" s="90" t="str">
        <f aca="false">IF(B292="","",IF(OR(O292="27 - Instalação concluída",O292="28 - Encerrado"),"OK",IF(NOT(ISNUMBER(X292)),"",IF(X292&gt;365,"MUITO ANTIGO (&gt;1 ano)",IF(X292&gt;180,"ANTIGO (&gt;6 meses)",IF(X292&gt;90,"ATENÇÃO ANTIG. (&gt;3 meses)","OK"))))))</f>
        <v/>
      </c>
      <c r="AA292" s="86"/>
      <c r="AB292" s="69" t="str">
        <f aca="false">IF(AND(B292&lt;&gt;"",OR(T292="Pendente de Vistoria",T292="Não validada")),MAX($AB$1:$AB$291)+1,"")</f>
        <v/>
      </c>
      <c r="AC292" s="69" t="str">
        <f aca="false">IF(AND(B292&lt;&gt;"",OR(ISNUMBER(SEARCH("CTIN",P292)),U292="Alta",O292="07 - Relatório recebido — unidade apta",O292="11 - Orçamentos em análise técnica",O292="22 - Instalação/substituição autorizada")),MAX($AC$1:$AC$291)+1,"")</f>
        <v/>
      </c>
      <c r="AD292" s="69" t="str">
        <f aca="false">IF(AND(B292&lt;&gt;"",OR(ISNUMBER(SEARCH("CTO",P292)),LEFT(O292,2)="22",LEFT(O292,2)="23",LEFT(O292,2)="24",LEFT(O292,2)="25",LEFT(O292,2)="26",LEFT(O292,2)="27")),MAX($AD$1:$AD$291)+1,"")</f>
        <v/>
      </c>
      <c r="AE292" s="69" t="str">
        <f aca="false">IF(AND(B292&lt;&gt;"",D292=CONSULTA_UNIDADE!$B$4),MAX($AE$1:$AE$291)+1,"")</f>
        <v/>
      </c>
      <c r="AF292" s="69" t="str">
        <f aca="false">IF(AND(B292&lt;&gt;"",O292&lt;&gt;"27 - Instalação concluída",O292&lt;&gt;"28 - Encerrado",ISNUMBER(S292)),S292*1000+(1000-ROW()),"")</f>
        <v/>
      </c>
      <c r="AG292" s="69" t="str">
        <f aca="false">IF(AF292="","",RANK(AF292,$AF$2:$AF$500))</f>
        <v/>
      </c>
    </row>
    <row r="293" customFormat="false" ht="16.5" hidden="false" customHeight="true" outlineLevel="0" collapsed="false">
      <c r="A293" s="86"/>
      <c r="B293" s="86"/>
      <c r="C293" s="87" t="str">
        <f aca="false">IF(D293="","",IFERROR(INDEX(CADASTRO_VIVO_3CRE!$B$2:$B$150,MATCH(D293,CADASTRO_VIVO_3CRE!$E$2:$E$150,0)),""))</f>
        <v/>
      </c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8"/>
      <c r="S293" s="89" t="str">
        <f aca="true">IF(R293="","",TODAY()-INT(R293))</f>
        <v/>
      </c>
      <c r="T293" s="86"/>
      <c r="U293" s="86"/>
      <c r="V293" s="86"/>
      <c r="W293" s="88"/>
      <c r="X293" s="89" t="str">
        <f aca="true">IF(W293="","",IF(OR(O293="28 - Encerrado",O293="27 - Instalação concluída"),"Concluído",TODAY()-INT(W293)))</f>
        <v/>
      </c>
      <c r="Y293" s="90" t="str">
        <f aca="false">IF(OR(O293="28 - Encerrado",O293="27 - Instalação concluída"),"OK",IF(AND(B293&lt;&gt;"",S293=""),"ATENÇÃO (Sem data de atualização)",IF(S293="","",IF(S293&gt;30,"CRÍTICO (Sem Atualização &gt;30 dias)",IF(S293&gt;15,"ATENÇÃO (Sem Atualização &gt;15 dias)",IF(X293&gt;90,"CRÍTICO (Aberto &gt;90 dias)","OK"))))))</f>
        <v/>
      </c>
      <c r="Z293" s="90" t="str">
        <f aca="false">IF(B293="","",IF(OR(O293="27 - Instalação concluída",O293="28 - Encerrado"),"OK",IF(NOT(ISNUMBER(X293)),"",IF(X293&gt;365,"MUITO ANTIGO (&gt;1 ano)",IF(X293&gt;180,"ANTIGO (&gt;6 meses)",IF(X293&gt;90,"ATENÇÃO ANTIG. (&gt;3 meses)","OK"))))))</f>
        <v/>
      </c>
      <c r="AA293" s="86"/>
      <c r="AB293" s="69" t="str">
        <f aca="false">IF(AND(B293&lt;&gt;"",OR(T293="Pendente de Vistoria",T293="Não validada")),MAX($AB$1:$AB$292)+1,"")</f>
        <v/>
      </c>
      <c r="AC293" s="69" t="str">
        <f aca="false">IF(AND(B293&lt;&gt;"",OR(ISNUMBER(SEARCH("CTIN",P293)),U293="Alta",O293="07 - Relatório recebido — unidade apta",O293="11 - Orçamentos em análise técnica",O293="22 - Instalação/substituição autorizada")),MAX($AC$1:$AC$292)+1,"")</f>
        <v/>
      </c>
      <c r="AD293" s="69" t="str">
        <f aca="false">IF(AND(B293&lt;&gt;"",OR(ISNUMBER(SEARCH("CTO",P293)),LEFT(O293,2)="22",LEFT(O293,2)="23",LEFT(O293,2)="24",LEFT(O293,2)="25",LEFT(O293,2)="26",LEFT(O293,2)="27")),MAX($AD$1:$AD$292)+1,"")</f>
        <v/>
      </c>
      <c r="AE293" s="69" t="str">
        <f aca="false">IF(AND(B293&lt;&gt;"",D293=CONSULTA_UNIDADE!$B$4),MAX($AE$1:$AE$292)+1,"")</f>
        <v/>
      </c>
      <c r="AF293" s="69" t="str">
        <f aca="false">IF(AND(B293&lt;&gt;"",O293&lt;&gt;"27 - Instalação concluída",O293&lt;&gt;"28 - Encerrado",ISNUMBER(S293)),S293*1000+(1000-ROW()),"")</f>
        <v/>
      </c>
      <c r="AG293" s="69" t="str">
        <f aca="false">IF(AF293="","",RANK(AF293,$AF$2:$AF$500))</f>
        <v/>
      </c>
    </row>
    <row r="294" customFormat="false" ht="16.5" hidden="false" customHeight="true" outlineLevel="0" collapsed="false">
      <c r="A294" s="86"/>
      <c r="B294" s="86"/>
      <c r="C294" s="87" t="str">
        <f aca="false">IF(D294="","",IFERROR(INDEX(CADASTRO_VIVO_3CRE!$B$2:$B$150,MATCH(D294,CADASTRO_VIVO_3CRE!$E$2:$E$150,0)),""))</f>
        <v/>
      </c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8"/>
      <c r="S294" s="89" t="str">
        <f aca="true">IF(R294="","",TODAY()-INT(R294))</f>
        <v/>
      </c>
      <c r="T294" s="86"/>
      <c r="U294" s="86"/>
      <c r="V294" s="86"/>
      <c r="W294" s="88"/>
      <c r="X294" s="89" t="str">
        <f aca="true">IF(W294="","",IF(OR(O294="28 - Encerrado",O294="27 - Instalação concluída"),"Concluído",TODAY()-INT(W294)))</f>
        <v/>
      </c>
      <c r="Y294" s="90" t="str">
        <f aca="false">IF(OR(O294="28 - Encerrado",O294="27 - Instalação concluída"),"OK",IF(AND(B294&lt;&gt;"",S294=""),"ATENÇÃO (Sem data de atualização)",IF(S294="","",IF(S294&gt;30,"CRÍTICO (Sem Atualização &gt;30 dias)",IF(S294&gt;15,"ATENÇÃO (Sem Atualização &gt;15 dias)",IF(X294&gt;90,"CRÍTICO (Aberto &gt;90 dias)","OK"))))))</f>
        <v/>
      </c>
      <c r="Z294" s="90" t="str">
        <f aca="false">IF(B294="","",IF(OR(O294="27 - Instalação concluída",O294="28 - Encerrado"),"OK",IF(NOT(ISNUMBER(X294)),"",IF(X294&gt;365,"MUITO ANTIGO (&gt;1 ano)",IF(X294&gt;180,"ANTIGO (&gt;6 meses)",IF(X294&gt;90,"ATENÇÃO ANTIG. (&gt;3 meses)","OK"))))))</f>
        <v/>
      </c>
      <c r="AA294" s="86"/>
      <c r="AB294" s="69" t="str">
        <f aca="false">IF(AND(B294&lt;&gt;"",OR(T294="Pendente de Vistoria",T294="Não validada")),MAX($AB$1:$AB$293)+1,"")</f>
        <v/>
      </c>
      <c r="AC294" s="69" t="str">
        <f aca="false">IF(AND(B294&lt;&gt;"",OR(ISNUMBER(SEARCH("CTIN",P294)),U294="Alta",O294="07 - Relatório recebido — unidade apta",O294="11 - Orçamentos em análise técnica",O294="22 - Instalação/substituição autorizada")),MAX($AC$1:$AC$293)+1,"")</f>
        <v/>
      </c>
      <c r="AD294" s="69" t="str">
        <f aca="false">IF(AND(B294&lt;&gt;"",OR(ISNUMBER(SEARCH("CTO",P294)),LEFT(O294,2)="22",LEFT(O294,2)="23",LEFT(O294,2)="24",LEFT(O294,2)="25",LEFT(O294,2)="26",LEFT(O294,2)="27")),MAX($AD$1:$AD$293)+1,"")</f>
        <v/>
      </c>
      <c r="AE294" s="69" t="str">
        <f aca="false">IF(AND(B294&lt;&gt;"",D294=CONSULTA_UNIDADE!$B$4),MAX($AE$1:$AE$293)+1,"")</f>
        <v/>
      </c>
      <c r="AF294" s="69" t="str">
        <f aca="false">IF(AND(B294&lt;&gt;"",O294&lt;&gt;"27 - Instalação concluída",O294&lt;&gt;"28 - Encerrado",ISNUMBER(S294)),S294*1000+(1000-ROW()),"")</f>
        <v/>
      </c>
      <c r="AG294" s="69" t="str">
        <f aca="false">IF(AF294="","",RANK(AF294,$AF$2:$AF$500))</f>
        <v/>
      </c>
    </row>
    <row r="295" customFormat="false" ht="16.5" hidden="false" customHeight="true" outlineLevel="0" collapsed="false">
      <c r="A295" s="86"/>
      <c r="B295" s="86"/>
      <c r="C295" s="87" t="str">
        <f aca="false">IF(D295="","",IFERROR(INDEX(CADASTRO_VIVO_3CRE!$B$2:$B$150,MATCH(D295,CADASTRO_VIVO_3CRE!$E$2:$E$150,0)),""))</f>
        <v/>
      </c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8"/>
      <c r="S295" s="89" t="str">
        <f aca="true">IF(R295="","",TODAY()-INT(R295))</f>
        <v/>
      </c>
      <c r="T295" s="86"/>
      <c r="U295" s="86"/>
      <c r="V295" s="86"/>
      <c r="W295" s="88"/>
      <c r="X295" s="89" t="str">
        <f aca="true">IF(W295="","",IF(OR(O295="28 - Encerrado",O295="27 - Instalação concluída"),"Concluído",TODAY()-INT(W295)))</f>
        <v/>
      </c>
      <c r="Y295" s="90" t="str">
        <f aca="false">IF(OR(O295="28 - Encerrado",O295="27 - Instalação concluída"),"OK",IF(AND(B295&lt;&gt;"",S295=""),"ATENÇÃO (Sem data de atualização)",IF(S295="","",IF(S295&gt;30,"CRÍTICO (Sem Atualização &gt;30 dias)",IF(S295&gt;15,"ATENÇÃO (Sem Atualização &gt;15 dias)",IF(X295&gt;90,"CRÍTICO (Aberto &gt;90 dias)","OK"))))))</f>
        <v/>
      </c>
      <c r="Z295" s="90" t="str">
        <f aca="false">IF(B295="","",IF(OR(O295="27 - Instalação concluída",O295="28 - Encerrado"),"OK",IF(NOT(ISNUMBER(X295)),"",IF(X295&gt;365,"MUITO ANTIGO (&gt;1 ano)",IF(X295&gt;180,"ANTIGO (&gt;6 meses)",IF(X295&gt;90,"ATENÇÃO ANTIG. (&gt;3 meses)","OK"))))))</f>
        <v/>
      </c>
      <c r="AA295" s="86"/>
      <c r="AB295" s="69" t="str">
        <f aca="false">IF(AND(B295&lt;&gt;"",OR(T295="Pendente de Vistoria",T295="Não validada")),MAX($AB$1:$AB$294)+1,"")</f>
        <v/>
      </c>
      <c r="AC295" s="69" t="str">
        <f aca="false">IF(AND(B295&lt;&gt;"",OR(ISNUMBER(SEARCH("CTIN",P295)),U295="Alta",O295="07 - Relatório recebido — unidade apta",O295="11 - Orçamentos em análise técnica",O295="22 - Instalação/substituição autorizada")),MAX($AC$1:$AC$294)+1,"")</f>
        <v/>
      </c>
      <c r="AD295" s="69" t="str">
        <f aca="false">IF(AND(B295&lt;&gt;"",OR(ISNUMBER(SEARCH("CTO",P295)),LEFT(O295,2)="22",LEFT(O295,2)="23",LEFT(O295,2)="24",LEFT(O295,2)="25",LEFT(O295,2)="26",LEFT(O295,2)="27")),MAX($AD$1:$AD$294)+1,"")</f>
        <v/>
      </c>
      <c r="AE295" s="69" t="str">
        <f aca="false">IF(AND(B295&lt;&gt;"",D295=CONSULTA_UNIDADE!$B$4),MAX($AE$1:$AE$294)+1,"")</f>
        <v/>
      </c>
      <c r="AF295" s="69" t="str">
        <f aca="false">IF(AND(B295&lt;&gt;"",O295&lt;&gt;"27 - Instalação concluída",O295&lt;&gt;"28 - Encerrado",ISNUMBER(S295)),S295*1000+(1000-ROW()),"")</f>
        <v/>
      </c>
      <c r="AG295" s="69" t="str">
        <f aca="false">IF(AF295="","",RANK(AF295,$AF$2:$AF$500))</f>
        <v/>
      </c>
    </row>
    <row r="296" customFormat="false" ht="16.5" hidden="false" customHeight="true" outlineLevel="0" collapsed="false">
      <c r="A296" s="86"/>
      <c r="B296" s="86"/>
      <c r="C296" s="87" t="str">
        <f aca="false">IF(D296="","",IFERROR(INDEX(CADASTRO_VIVO_3CRE!$B$2:$B$150,MATCH(D296,CADASTRO_VIVO_3CRE!$E$2:$E$150,0)),""))</f>
        <v/>
      </c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8"/>
      <c r="S296" s="89" t="str">
        <f aca="true">IF(R296="","",TODAY()-INT(R296))</f>
        <v/>
      </c>
      <c r="T296" s="86"/>
      <c r="U296" s="86"/>
      <c r="V296" s="86"/>
      <c r="W296" s="88"/>
      <c r="X296" s="89" t="str">
        <f aca="true">IF(W296="","",IF(OR(O296="28 - Encerrado",O296="27 - Instalação concluída"),"Concluído",TODAY()-INT(W296)))</f>
        <v/>
      </c>
      <c r="Y296" s="90" t="str">
        <f aca="false">IF(OR(O296="28 - Encerrado",O296="27 - Instalação concluída"),"OK",IF(AND(B296&lt;&gt;"",S296=""),"ATENÇÃO (Sem data de atualização)",IF(S296="","",IF(S296&gt;30,"CRÍTICO (Sem Atualização &gt;30 dias)",IF(S296&gt;15,"ATENÇÃO (Sem Atualização &gt;15 dias)",IF(X296&gt;90,"CRÍTICO (Aberto &gt;90 dias)","OK"))))))</f>
        <v/>
      </c>
      <c r="Z296" s="90" t="str">
        <f aca="false">IF(B296="","",IF(OR(O296="27 - Instalação concluída",O296="28 - Encerrado"),"OK",IF(NOT(ISNUMBER(X296)),"",IF(X296&gt;365,"MUITO ANTIGO (&gt;1 ano)",IF(X296&gt;180,"ANTIGO (&gt;6 meses)",IF(X296&gt;90,"ATENÇÃO ANTIG. (&gt;3 meses)","OK"))))))</f>
        <v/>
      </c>
      <c r="AA296" s="86"/>
      <c r="AB296" s="69" t="str">
        <f aca="false">IF(AND(B296&lt;&gt;"",OR(T296="Pendente de Vistoria",T296="Não validada")),MAX($AB$1:$AB$295)+1,"")</f>
        <v/>
      </c>
      <c r="AC296" s="69" t="str">
        <f aca="false">IF(AND(B296&lt;&gt;"",OR(ISNUMBER(SEARCH("CTIN",P296)),U296="Alta",O296="07 - Relatório recebido — unidade apta",O296="11 - Orçamentos em análise técnica",O296="22 - Instalação/substituição autorizada")),MAX($AC$1:$AC$295)+1,"")</f>
        <v/>
      </c>
      <c r="AD296" s="69" t="str">
        <f aca="false">IF(AND(B296&lt;&gt;"",OR(ISNUMBER(SEARCH("CTO",P296)),LEFT(O296,2)="22",LEFT(O296,2)="23",LEFT(O296,2)="24",LEFT(O296,2)="25",LEFT(O296,2)="26",LEFT(O296,2)="27")),MAX($AD$1:$AD$295)+1,"")</f>
        <v/>
      </c>
      <c r="AE296" s="69" t="str">
        <f aca="false">IF(AND(B296&lt;&gt;"",D296=CONSULTA_UNIDADE!$B$4),MAX($AE$1:$AE$295)+1,"")</f>
        <v/>
      </c>
      <c r="AF296" s="69" t="str">
        <f aca="false">IF(AND(B296&lt;&gt;"",O296&lt;&gt;"27 - Instalação concluída",O296&lt;&gt;"28 - Encerrado",ISNUMBER(S296)),S296*1000+(1000-ROW()),"")</f>
        <v/>
      </c>
      <c r="AG296" s="69" t="str">
        <f aca="false">IF(AF296="","",RANK(AF296,$AF$2:$AF$500))</f>
        <v/>
      </c>
    </row>
    <row r="297" customFormat="false" ht="16.5" hidden="false" customHeight="true" outlineLevel="0" collapsed="false">
      <c r="A297" s="86"/>
      <c r="B297" s="86"/>
      <c r="C297" s="87" t="str">
        <f aca="false">IF(D297="","",IFERROR(INDEX(CADASTRO_VIVO_3CRE!$B$2:$B$150,MATCH(D297,CADASTRO_VIVO_3CRE!$E$2:$E$150,0)),""))</f>
        <v/>
      </c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8"/>
      <c r="S297" s="89" t="str">
        <f aca="true">IF(R297="","",TODAY()-INT(R297))</f>
        <v/>
      </c>
      <c r="T297" s="86"/>
      <c r="U297" s="86"/>
      <c r="V297" s="86"/>
      <c r="W297" s="88"/>
      <c r="X297" s="89" t="str">
        <f aca="true">IF(W297="","",IF(OR(O297="28 - Encerrado",O297="27 - Instalação concluída"),"Concluído",TODAY()-INT(W297)))</f>
        <v/>
      </c>
      <c r="Y297" s="90" t="str">
        <f aca="false">IF(OR(O297="28 - Encerrado",O297="27 - Instalação concluída"),"OK",IF(AND(B297&lt;&gt;"",S297=""),"ATENÇÃO (Sem data de atualização)",IF(S297="","",IF(S297&gt;30,"CRÍTICO (Sem Atualização &gt;30 dias)",IF(S297&gt;15,"ATENÇÃO (Sem Atualização &gt;15 dias)",IF(X297&gt;90,"CRÍTICO (Aberto &gt;90 dias)","OK"))))))</f>
        <v/>
      </c>
      <c r="Z297" s="90" t="str">
        <f aca="false">IF(B297="","",IF(OR(O297="27 - Instalação concluída",O297="28 - Encerrado"),"OK",IF(NOT(ISNUMBER(X297)),"",IF(X297&gt;365,"MUITO ANTIGO (&gt;1 ano)",IF(X297&gt;180,"ANTIGO (&gt;6 meses)",IF(X297&gt;90,"ATENÇÃO ANTIG. (&gt;3 meses)","OK"))))))</f>
        <v/>
      </c>
      <c r="AA297" s="86"/>
      <c r="AB297" s="69" t="str">
        <f aca="false">IF(AND(B297&lt;&gt;"",OR(T297="Pendente de Vistoria",T297="Não validada")),MAX($AB$1:$AB$296)+1,"")</f>
        <v/>
      </c>
      <c r="AC297" s="69" t="str">
        <f aca="false">IF(AND(B297&lt;&gt;"",OR(ISNUMBER(SEARCH("CTIN",P297)),U297="Alta",O297="07 - Relatório recebido — unidade apta",O297="11 - Orçamentos em análise técnica",O297="22 - Instalação/substituição autorizada")),MAX($AC$1:$AC$296)+1,"")</f>
        <v/>
      </c>
      <c r="AD297" s="69" t="str">
        <f aca="false">IF(AND(B297&lt;&gt;"",OR(ISNUMBER(SEARCH("CTO",P297)),LEFT(O297,2)="22",LEFT(O297,2)="23",LEFT(O297,2)="24",LEFT(O297,2)="25",LEFT(O297,2)="26",LEFT(O297,2)="27")),MAX($AD$1:$AD$296)+1,"")</f>
        <v/>
      </c>
      <c r="AE297" s="69" t="str">
        <f aca="false">IF(AND(B297&lt;&gt;"",D297=CONSULTA_UNIDADE!$B$4),MAX($AE$1:$AE$296)+1,"")</f>
        <v/>
      </c>
      <c r="AF297" s="69" t="str">
        <f aca="false">IF(AND(B297&lt;&gt;"",O297&lt;&gt;"27 - Instalação concluída",O297&lt;&gt;"28 - Encerrado",ISNUMBER(S297)),S297*1000+(1000-ROW()),"")</f>
        <v/>
      </c>
      <c r="AG297" s="69" t="str">
        <f aca="false">IF(AF297="","",RANK(AF297,$AF$2:$AF$500))</f>
        <v/>
      </c>
    </row>
    <row r="298" customFormat="false" ht="16.5" hidden="false" customHeight="true" outlineLevel="0" collapsed="false">
      <c r="A298" s="86"/>
      <c r="B298" s="86"/>
      <c r="C298" s="87" t="str">
        <f aca="false">IF(D298="","",IFERROR(INDEX(CADASTRO_VIVO_3CRE!$B$2:$B$150,MATCH(D298,CADASTRO_VIVO_3CRE!$E$2:$E$150,0)),""))</f>
        <v/>
      </c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8"/>
      <c r="S298" s="89" t="str">
        <f aca="true">IF(R298="","",TODAY()-INT(R298))</f>
        <v/>
      </c>
      <c r="T298" s="86"/>
      <c r="U298" s="86"/>
      <c r="V298" s="86"/>
      <c r="W298" s="88"/>
      <c r="X298" s="89" t="str">
        <f aca="true">IF(W298="","",IF(OR(O298="28 - Encerrado",O298="27 - Instalação concluída"),"Concluído",TODAY()-INT(W298)))</f>
        <v/>
      </c>
      <c r="Y298" s="90" t="str">
        <f aca="false">IF(OR(O298="28 - Encerrado",O298="27 - Instalação concluída"),"OK",IF(AND(B298&lt;&gt;"",S298=""),"ATENÇÃO (Sem data de atualização)",IF(S298="","",IF(S298&gt;30,"CRÍTICO (Sem Atualização &gt;30 dias)",IF(S298&gt;15,"ATENÇÃO (Sem Atualização &gt;15 dias)",IF(X298&gt;90,"CRÍTICO (Aberto &gt;90 dias)","OK"))))))</f>
        <v/>
      </c>
      <c r="Z298" s="90" t="str">
        <f aca="false">IF(B298="","",IF(OR(O298="27 - Instalação concluída",O298="28 - Encerrado"),"OK",IF(NOT(ISNUMBER(X298)),"",IF(X298&gt;365,"MUITO ANTIGO (&gt;1 ano)",IF(X298&gt;180,"ANTIGO (&gt;6 meses)",IF(X298&gt;90,"ATENÇÃO ANTIG. (&gt;3 meses)","OK"))))))</f>
        <v/>
      </c>
      <c r="AA298" s="86"/>
      <c r="AB298" s="69" t="str">
        <f aca="false">IF(AND(B298&lt;&gt;"",OR(T298="Pendente de Vistoria",T298="Não validada")),MAX($AB$1:$AB$297)+1,"")</f>
        <v/>
      </c>
      <c r="AC298" s="69" t="str">
        <f aca="false">IF(AND(B298&lt;&gt;"",OR(ISNUMBER(SEARCH("CTIN",P298)),U298="Alta",O298="07 - Relatório recebido — unidade apta",O298="11 - Orçamentos em análise técnica",O298="22 - Instalação/substituição autorizada")),MAX($AC$1:$AC$297)+1,"")</f>
        <v/>
      </c>
      <c r="AD298" s="69" t="str">
        <f aca="false">IF(AND(B298&lt;&gt;"",OR(ISNUMBER(SEARCH("CTO",P298)),LEFT(O298,2)="22",LEFT(O298,2)="23",LEFT(O298,2)="24",LEFT(O298,2)="25",LEFT(O298,2)="26",LEFT(O298,2)="27")),MAX($AD$1:$AD$297)+1,"")</f>
        <v/>
      </c>
      <c r="AE298" s="69" t="str">
        <f aca="false">IF(AND(B298&lt;&gt;"",D298=CONSULTA_UNIDADE!$B$4),MAX($AE$1:$AE$297)+1,"")</f>
        <v/>
      </c>
      <c r="AF298" s="69" t="str">
        <f aca="false">IF(AND(B298&lt;&gt;"",O298&lt;&gt;"27 - Instalação concluída",O298&lt;&gt;"28 - Encerrado",ISNUMBER(S298)),S298*1000+(1000-ROW()),"")</f>
        <v/>
      </c>
      <c r="AG298" s="69" t="str">
        <f aca="false">IF(AF298="","",RANK(AF298,$AF$2:$AF$500))</f>
        <v/>
      </c>
    </row>
    <row r="299" customFormat="false" ht="16.5" hidden="false" customHeight="true" outlineLevel="0" collapsed="false">
      <c r="A299" s="86"/>
      <c r="B299" s="86"/>
      <c r="C299" s="87" t="str">
        <f aca="false">IF(D299="","",IFERROR(INDEX(CADASTRO_VIVO_3CRE!$B$2:$B$150,MATCH(D299,CADASTRO_VIVO_3CRE!$E$2:$E$150,0)),""))</f>
        <v/>
      </c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8"/>
      <c r="S299" s="89" t="str">
        <f aca="true">IF(R299="","",TODAY()-INT(R299))</f>
        <v/>
      </c>
      <c r="T299" s="86"/>
      <c r="U299" s="86"/>
      <c r="V299" s="86"/>
      <c r="W299" s="88"/>
      <c r="X299" s="89" t="str">
        <f aca="true">IF(W299="","",IF(OR(O299="28 - Encerrado",O299="27 - Instalação concluída"),"Concluído",TODAY()-INT(W299)))</f>
        <v/>
      </c>
      <c r="Y299" s="90" t="str">
        <f aca="false">IF(OR(O299="28 - Encerrado",O299="27 - Instalação concluída"),"OK",IF(AND(B299&lt;&gt;"",S299=""),"ATENÇÃO (Sem data de atualização)",IF(S299="","",IF(S299&gt;30,"CRÍTICO (Sem Atualização &gt;30 dias)",IF(S299&gt;15,"ATENÇÃO (Sem Atualização &gt;15 dias)",IF(X299&gt;90,"CRÍTICO (Aberto &gt;90 dias)","OK"))))))</f>
        <v/>
      </c>
      <c r="Z299" s="90" t="str">
        <f aca="false">IF(B299="","",IF(OR(O299="27 - Instalação concluída",O299="28 - Encerrado"),"OK",IF(NOT(ISNUMBER(X299)),"",IF(X299&gt;365,"MUITO ANTIGO (&gt;1 ano)",IF(X299&gt;180,"ANTIGO (&gt;6 meses)",IF(X299&gt;90,"ATENÇÃO ANTIG. (&gt;3 meses)","OK"))))))</f>
        <v/>
      </c>
      <c r="AA299" s="86"/>
      <c r="AB299" s="69" t="str">
        <f aca="false">IF(AND(B299&lt;&gt;"",OR(T299="Pendente de Vistoria",T299="Não validada")),MAX($AB$1:$AB$298)+1,"")</f>
        <v/>
      </c>
      <c r="AC299" s="69" t="str">
        <f aca="false">IF(AND(B299&lt;&gt;"",OR(ISNUMBER(SEARCH("CTIN",P299)),U299="Alta",O299="07 - Relatório recebido — unidade apta",O299="11 - Orçamentos em análise técnica",O299="22 - Instalação/substituição autorizada")),MAX($AC$1:$AC$298)+1,"")</f>
        <v/>
      </c>
      <c r="AD299" s="69" t="str">
        <f aca="false">IF(AND(B299&lt;&gt;"",OR(ISNUMBER(SEARCH("CTO",P299)),LEFT(O299,2)="22",LEFT(O299,2)="23",LEFT(O299,2)="24",LEFT(O299,2)="25",LEFT(O299,2)="26",LEFT(O299,2)="27")),MAX($AD$1:$AD$298)+1,"")</f>
        <v/>
      </c>
      <c r="AE299" s="69" t="str">
        <f aca="false">IF(AND(B299&lt;&gt;"",D299=CONSULTA_UNIDADE!$B$4),MAX($AE$1:$AE$298)+1,"")</f>
        <v/>
      </c>
      <c r="AF299" s="69" t="str">
        <f aca="false">IF(AND(B299&lt;&gt;"",O299&lt;&gt;"27 - Instalação concluída",O299&lt;&gt;"28 - Encerrado",ISNUMBER(S299)),S299*1000+(1000-ROW()),"")</f>
        <v/>
      </c>
      <c r="AG299" s="69" t="str">
        <f aca="false">IF(AF299="","",RANK(AF299,$AF$2:$AF$500))</f>
        <v/>
      </c>
    </row>
    <row r="300" customFormat="false" ht="16.5" hidden="false" customHeight="true" outlineLevel="0" collapsed="false">
      <c r="A300" s="86"/>
      <c r="B300" s="86"/>
      <c r="C300" s="87" t="str">
        <f aca="false">IF(D300="","",IFERROR(INDEX(CADASTRO_VIVO_3CRE!$B$2:$B$150,MATCH(D300,CADASTRO_VIVO_3CRE!$E$2:$E$150,0)),""))</f>
        <v/>
      </c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8"/>
      <c r="S300" s="89" t="str">
        <f aca="true">IF(R300="","",TODAY()-INT(R300))</f>
        <v/>
      </c>
      <c r="T300" s="86"/>
      <c r="U300" s="86"/>
      <c r="V300" s="86"/>
      <c r="W300" s="88"/>
      <c r="X300" s="89" t="str">
        <f aca="true">IF(W300="","",IF(OR(O300="28 - Encerrado",O300="27 - Instalação concluída"),"Concluído",TODAY()-INT(W300)))</f>
        <v/>
      </c>
      <c r="Y300" s="90" t="str">
        <f aca="false">IF(OR(O300="28 - Encerrado",O300="27 - Instalação concluída"),"OK",IF(AND(B300&lt;&gt;"",S300=""),"ATENÇÃO (Sem data de atualização)",IF(S300="","",IF(S300&gt;30,"CRÍTICO (Sem Atualização &gt;30 dias)",IF(S300&gt;15,"ATENÇÃO (Sem Atualização &gt;15 dias)",IF(X300&gt;90,"CRÍTICO (Aberto &gt;90 dias)","OK"))))))</f>
        <v/>
      </c>
      <c r="Z300" s="90" t="str">
        <f aca="false">IF(B300="","",IF(OR(O300="27 - Instalação concluída",O300="28 - Encerrado"),"OK",IF(NOT(ISNUMBER(X300)),"",IF(X300&gt;365,"MUITO ANTIGO (&gt;1 ano)",IF(X300&gt;180,"ANTIGO (&gt;6 meses)",IF(X300&gt;90,"ATENÇÃO ANTIG. (&gt;3 meses)","OK"))))))</f>
        <v/>
      </c>
      <c r="AA300" s="86"/>
      <c r="AB300" s="69" t="str">
        <f aca="false">IF(AND(B300&lt;&gt;"",OR(T300="Pendente de Vistoria",T300="Não validada")),MAX($AB$1:$AB$299)+1,"")</f>
        <v/>
      </c>
      <c r="AC300" s="69" t="str">
        <f aca="false">IF(AND(B300&lt;&gt;"",OR(ISNUMBER(SEARCH("CTIN",P300)),U300="Alta",O300="07 - Relatório recebido — unidade apta",O300="11 - Orçamentos em análise técnica",O300="22 - Instalação/substituição autorizada")),MAX($AC$1:$AC$299)+1,"")</f>
        <v/>
      </c>
      <c r="AD300" s="69" t="str">
        <f aca="false">IF(AND(B300&lt;&gt;"",OR(ISNUMBER(SEARCH("CTO",P300)),LEFT(O300,2)="22",LEFT(O300,2)="23",LEFT(O300,2)="24",LEFT(O300,2)="25",LEFT(O300,2)="26",LEFT(O300,2)="27")),MAX($AD$1:$AD$299)+1,"")</f>
        <v/>
      </c>
      <c r="AE300" s="69" t="str">
        <f aca="false">IF(AND(B300&lt;&gt;"",D300=CONSULTA_UNIDADE!$B$4),MAX($AE$1:$AE$299)+1,"")</f>
        <v/>
      </c>
      <c r="AF300" s="69" t="str">
        <f aca="false">IF(AND(B300&lt;&gt;"",O300&lt;&gt;"27 - Instalação concluída",O300&lt;&gt;"28 - Encerrado",ISNUMBER(S300)),S300*1000+(1000-ROW()),"")</f>
        <v/>
      </c>
      <c r="AG300" s="69" t="str">
        <f aca="false">IF(AF300="","",RANK(AF300,$AF$2:$AF$500))</f>
        <v/>
      </c>
    </row>
    <row r="301" customFormat="false" ht="16.5" hidden="false" customHeight="true" outlineLevel="0" collapsed="false">
      <c r="A301" s="86"/>
      <c r="B301" s="86"/>
      <c r="C301" s="87" t="str">
        <f aca="false">IF(D301="","",IFERROR(INDEX(CADASTRO_VIVO_3CRE!$B$2:$B$150,MATCH(D301,CADASTRO_VIVO_3CRE!$E$2:$E$150,0)),""))</f>
        <v/>
      </c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8"/>
      <c r="S301" s="89" t="str">
        <f aca="true">IF(R301="","",TODAY()-INT(R301))</f>
        <v/>
      </c>
      <c r="T301" s="86"/>
      <c r="U301" s="86"/>
      <c r="V301" s="86"/>
      <c r="W301" s="88"/>
      <c r="X301" s="89" t="str">
        <f aca="true">IF(W301="","",IF(OR(O301="28 - Encerrado",O301="27 - Instalação concluída"),"Concluído",TODAY()-INT(W301)))</f>
        <v/>
      </c>
      <c r="Y301" s="90" t="str">
        <f aca="false">IF(OR(O301="28 - Encerrado",O301="27 - Instalação concluída"),"OK",IF(AND(B301&lt;&gt;"",S301=""),"ATENÇÃO (Sem data de atualização)",IF(S301="","",IF(S301&gt;30,"CRÍTICO (Sem Atualização &gt;30 dias)",IF(S301&gt;15,"ATENÇÃO (Sem Atualização &gt;15 dias)",IF(X301&gt;90,"CRÍTICO (Aberto &gt;90 dias)","OK"))))))</f>
        <v/>
      </c>
      <c r="Z301" s="90" t="str">
        <f aca="false">IF(B301="","",IF(OR(O301="27 - Instalação concluída",O301="28 - Encerrado"),"OK",IF(NOT(ISNUMBER(X301)),"",IF(X301&gt;365,"MUITO ANTIGO (&gt;1 ano)",IF(X301&gt;180,"ANTIGO (&gt;6 meses)",IF(X301&gt;90,"ATENÇÃO ANTIG. (&gt;3 meses)","OK"))))))</f>
        <v/>
      </c>
      <c r="AA301" s="86"/>
      <c r="AB301" s="69" t="str">
        <f aca="false">IF(AND(B301&lt;&gt;"",OR(T301="Pendente de Vistoria",T301="Não validada")),MAX($AB$1:$AB$300)+1,"")</f>
        <v/>
      </c>
      <c r="AC301" s="69" t="str">
        <f aca="false">IF(AND(B301&lt;&gt;"",OR(ISNUMBER(SEARCH("CTIN",P301)),U301="Alta",O301="07 - Relatório recebido — unidade apta",O301="11 - Orçamentos em análise técnica",O301="22 - Instalação/substituição autorizada")),MAX($AC$1:$AC$300)+1,"")</f>
        <v/>
      </c>
      <c r="AD301" s="69" t="str">
        <f aca="false">IF(AND(B301&lt;&gt;"",OR(ISNUMBER(SEARCH("CTO",P301)),LEFT(O301,2)="22",LEFT(O301,2)="23",LEFT(O301,2)="24",LEFT(O301,2)="25",LEFT(O301,2)="26",LEFT(O301,2)="27")),MAX($AD$1:$AD$300)+1,"")</f>
        <v/>
      </c>
      <c r="AE301" s="69" t="str">
        <f aca="false">IF(AND(B301&lt;&gt;"",D301=CONSULTA_UNIDADE!$B$4),MAX($AE$1:$AE$300)+1,"")</f>
        <v/>
      </c>
      <c r="AF301" s="69" t="str">
        <f aca="false">IF(AND(B301&lt;&gt;"",O301&lt;&gt;"27 - Instalação concluída",O301&lt;&gt;"28 - Encerrado",ISNUMBER(S301)),S301*1000+(1000-ROW()),"")</f>
        <v/>
      </c>
      <c r="AG301" s="69" t="str">
        <f aca="false">IF(AF301="","",RANK(AF301,$AF$2:$AF$500))</f>
        <v/>
      </c>
    </row>
    <row r="302" customFormat="false" ht="16.5" hidden="false" customHeight="true" outlineLevel="0" collapsed="false">
      <c r="A302" s="86"/>
      <c r="B302" s="86"/>
      <c r="C302" s="87" t="str">
        <f aca="false">IF(D302="","",IFERROR(INDEX(CADASTRO_VIVO_3CRE!$B$2:$B$150,MATCH(D302,CADASTRO_VIVO_3CRE!$E$2:$E$150,0)),""))</f>
        <v/>
      </c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8"/>
      <c r="S302" s="89" t="str">
        <f aca="true">IF(R302="","",TODAY()-INT(R302))</f>
        <v/>
      </c>
      <c r="T302" s="86"/>
      <c r="U302" s="86"/>
      <c r="V302" s="86"/>
      <c r="W302" s="88"/>
      <c r="X302" s="89" t="str">
        <f aca="true">IF(W302="","",IF(OR(O302="28 - Encerrado",O302="27 - Instalação concluída"),"Concluído",TODAY()-INT(W302)))</f>
        <v/>
      </c>
      <c r="Y302" s="90" t="str">
        <f aca="false">IF(OR(O302="28 - Encerrado",O302="27 - Instalação concluída"),"OK",IF(AND(B302&lt;&gt;"",S302=""),"ATENÇÃO (Sem data de atualização)",IF(S302="","",IF(S302&gt;30,"CRÍTICO (Sem Atualização &gt;30 dias)",IF(S302&gt;15,"ATENÇÃO (Sem Atualização &gt;15 dias)",IF(X302&gt;90,"CRÍTICO (Aberto &gt;90 dias)","OK"))))))</f>
        <v/>
      </c>
      <c r="Z302" s="90" t="str">
        <f aca="false">IF(B302="","",IF(OR(O302="27 - Instalação concluída",O302="28 - Encerrado"),"OK",IF(NOT(ISNUMBER(X302)),"",IF(X302&gt;365,"MUITO ANTIGO (&gt;1 ano)",IF(X302&gt;180,"ANTIGO (&gt;6 meses)",IF(X302&gt;90,"ATENÇÃO ANTIG. (&gt;3 meses)","OK"))))))</f>
        <v/>
      </c>
      <c r="AA302" s="86"/>
      <c r="AB302" s="69" t="str">
        <f aca="false">IF(AND(B302&lt;&gt;"",OR(T302="Pendente de Vistoria",T302="Não validada")),MAX($AB$1:$AB$301)+1,"")</f>
        <v/>
      </c>
      <c r="AC302" s="69" t="str">
        <f aca="false">IF(AND(B302&lt;&gt;"",OR(ISNUMBER(SEARCH("CTIN",P302)),U302="Alta",O302="07 - Relatório recebido — unidade apta",O302="11 - Orçamentos em análise técnica",O302="22 - Instalação/substituição autorizada")),MAX($AC$1:$AC$301)+1,"")</f>
        <v/>
      </c>
      <c r="AD302" s="69" t="str">
        <f aca="false">IF(AND(B302&lt;&gt;"",OR(ISNUMBER(SEARCH("CTO",P302)),LEFT(O302,2)="22",LEFT(O302,2)="23",LEFT(O302,2)="24",LEFT(O302,2)="25",LEFT(O302,2)="26",LEFT(O302,2)="27")),MAX($AD$1:$AD$301)+1,"")</f>
        <v/>
      </c>
      <c r="AE302" s="69" t="str">
        <f aca="false">IF(AND(B302&lt;&gt;"",D302=CONSULTA_UNIDADE!$B$4),MAX($AE$1:$AE$301)+1,"")</f>
        <v/>
      </c>
      <c r="AF302" s="69" t="str">
        <f aca="false">IF(AND(B302&lt;&gt;"",O302&lt;&gt;"27 - Instalação concluída",O302&lt;&gt;"28 - Encerrado",ISNUMBER(S302)),S302*1000+(1000-ROW()),"")</f>
        <v/>
      </c>
      <c r="AG302" s="69" t="str">
        <f aca="false">IF(AF302="","",RANK(AF302,$AF$2:$AF$500))</f>
        <v/>
      </c>
    </row>
    <row r="303" customFormat="false" ht="16.5" hidden="false" customHeight="true" outlineLevel="0" collapsed="false">
      <c r="A303" s="86"/>
      <c r="B303" s="86"/>
      <c r="C303" s="87" t="str">
        <f aca="false">IF(D303="","",IFERROR(INDEX(CADASTRO_VIVO_3CRE!$B$2:$B$150,MATCH(D303,CADASTRO_VIVO_3CRE!$E$2:$E$150,0)),""))</f>
        <v/>
      </c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8"/>
      <c r="S303" s="89" t="str">
        <f aca="true">IF(R303="","",TODAY()-INT(R303))</f>
        <v/>
      </c>
      <c r="T303" s="86"/>
      <c r="U303" s="86"/>
      <c r="V303" s="86"/>
      <c r="W303" s="88"/>
      <c r="X303" s="89" t="str">
        <f aca="true">IF(W303="","",IF(OR(O303="28 - Encerrado",O303="27 - Instalação concluída"),"Concluído",TODAY()-INT(W303)))</f>
        <v/>
      </c>
      <c r="Y303" s="90" t="str">
        <f aca="false">IF(OR(O303="28 - Encerrado",O303="27 - Instalação concluída"),"OK",IF(AND(B303&lt;&gt;"",S303=""),"ATENÇÃO (Sem data de atualização)",IF(S303="","",IF(S303&gt;30,"CRÍTICO (Sem Atualização &gt;30 dias)",IF(S303&gt;15,"ATENÇÃO (Sem Atualização &gt;15 dias)",IF(X303&gt;90,"CRÍTICO (Aberto &gt;90 dias)","OK"))))))</f>
        <v/>
      </c>
      <c r="Z303" s="90" t="str">
        <f aca="false">IF(B303="","",IF(OR(O303="27 - Instalação concluída",O303="28 - Encerrado"),"OK",IF(NOT(ISNUMBER(X303)),"",IF(X303&gt;365,"MUITO ANTIGO (&gt;1 ano)",IF(X303&gt;180,"ANTIGO (&gt;6 meses)",IF(X303&gt;90,"ATENÇÃO ANTIG. (&gt;3 meses)","OK"))))))</f>
        <v/>
      </c>
      <c r="AA303" s="86"/>
      <c r="AB303" s="69" t="str">
        <f aca="false">IF(AND(B303&lt;&gt;"",OR(T303="Pendente de Vistoria",T303="Não validada")),MAX($AB$1:$AB$302)+1,"")</f>
        <v/>
      </c>
      <c r="AC303" s="69" t="str">
        <f aca="false">IF(AND(B303&lt;&gt;"",OR(ISNUMBER(SEARCH("CTIN",P303)),U303="Alta",O303="07 - Relatório recebido — unidade apta",O303="11 - Orçamentos em análise técnica",O303="22 - Instalação/substituição autorizada")),MAX($AC$1:$AC$302)+1,"")</f>
        <v/>
      </c>
      <c r="AD303" s="69" t="str">
        <f aca="false">IF(AND(B303&lt;&gt;"",OR(ISNUMBER(SEARCH("CTO",P303)),LEFT(O303,2)="22",LEFT(O303,2)="23",LEFT(O303,2)="24",LEFT(O303,2)="25",LEFT(O303,2)="26",LEFT(O303,2)="27")),MAX($AD$1:$AD$302)+1,"")</f>
        <v/>
      </c>
      <c r="AE303" s="69" t="str">
        <f aca="false">IF(AND(B303&lt;&gt;"",D303=CONSULTA_UNIDADE!$B$4),MAX($AE$1:$AE$302)+1,"")</f>
        <v/>
      </c>
      <c r="AF303" s="69" t="str">
        <f aca="false">IF(AND(B303&lt;&gt;"",O303&lt;&gt;"27 - Instalação concluída",O303&lt;&gt;"28 - Encerrado",ISNUMBER(S303)),S303*1000+(1000-ROW()),"")</f>
        <v/>
      </c>
      <c r="AG303" s="69" t="str">
        <f aca="false">IF(AF303="","",RANK(AF303,$AF$2:$AF$500))</f>
        <v/>
      </c>
    </row>
    <row r="304" customFormat="false" ht="16.5" hidden="false" customHeight="true" outlineLevel="0" collapsed="false">
      <c r="A304" s="86"/>
      <c r="B304" s="86"/>
      <c r="C304" s="87" t="str">
        <f aca="false">IF(D304="","",IFERROR(INDEX(CADASTRO_VIVO_3CRE!$B$2:$B$150,MATCH(D304,CADASTRO_VIVO_3CRE!$E$2:$E$150,0)),""))</f>
        <v/>
      </c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8"/>
      <c r="S304" s="89" t="str">
        <f aca="true">IF(R304="","",TODAY()-INT(R304))</f>
        <v/>
      </c>
      <c r="T304" s="86"/>
      <c r="U304" s="86"/>
      <c r="V304" s="86"/>
      <c r="W304" s="88"/>
      <c r="X304" s="89" t="str">
        <f aca="true">IF(W304="","",IF(OR(O304="28 - Encerrado",O304="27 - Instalação concluída"),"Concluído",TODAY()-INT(W304)))</f>
        <v/>
      </c>
      <c r="Y304" s="90" t="str">
        <f aca="false">IF(OR(O304="28 - Encerrado",O304="27 - Instalação concluída"),"OK",IF(AND(B304&lt;&gt;"",S304=""),"ATENÇÃO (Sem data de atualização)",IF(S304="","",IF(S304&gt;30,"CRÍTICO (Sem Atualização &gt;30 dias)",IF(S304&gt;15,"ATENÇÃO (Sem Atualização &gt;15 dias)",IF(X304&gt;90,"CRÍTICO (Aberto &gt;90 dias)","OK"))))))</f>
        <v/>
      </c>
      <c r="Z304" s="90" t="str">
        <f aca="false">IF(B304="","",IF(OR(O304="27 - Instalação concluída",O304="28 - Encerrado"),"OK",IF(NOT(ISNUMBER(X304)),"",IF(X304&gt;365,"MUITO ANTIGO (&gt;1 ano)",IF(X304&gt;180,"ANTIGO (&gt;6 meses)",IF(X304&gt;90,"ATENÇÃO ANTIG. (&gt;3 meses)","OK"))))))</f>
        <v/>
      </c>
      <c r="AA304" s="86"/>
      <c r="AB304" s="69" t="str">
        <f aca="false">IF(AND(B304&lt;&gt;"",OR(T304="Pendente de Vistoria",T304="Não validada")),MAX($AB$1:$AB$303)+1,"")</f>
        <v/>
      </c>
      <c r="AC304" s="69" t="str">
        <f aca="false">IF(AND(B304&lt;&gt;"",OR(ISNUMBER(SEARCH("CTIN",P304)),U304="Alta",O304="07 - Relatório recebido — unidade apta",O304="11 - Orçamentos em análise técnica",O304="22 - Instalação/substituição autorizada")),MAX($AC$1:$AC$303)+1,"")</f>
        <v/>
      </c>
      <c r="AD304" s="69" t="str">
        <f aca="false">IF(AND(B304&lt;&gt;"",OR(ISNUMBER(SEARCH("CTO",P304)),LEFT(O304,2)="22",LEFT(O304,2)="23",LEFT(O304,2)="24",LEFT(O304,2)="25",LEFT(O304,2)="26",LEFT(O304,2)="27")),MAX($AD$1:$AD$303)+1,"")</f>
        <v/>
      </c>
      <c r="AE304" s="69" t="str">
        <f aca="false">IF(AND(B304&lt;&gt;"",D304=CONSULTA_UNIDADE!$B$4),MAX($AE$1:$AE$303)+1,"")</f>
        <v/>
      </c>
      <c r="AF304" s="69" t="str">
        <f aca="false">IF(AND(B304&lt;&gt;"",O304&lt;&gt;"27 - Instalação concluída",O304&lt;&gt;"28 - Encerrado",ISNUMBER(S304)),S304*1000+(1000-ROW()),"")</f>
        <v/>
      </c>
      <c r="AG304" s="69" t="str">
        <f aca="false">IF(AF304="","",RANK(AF304,$AF$2:$AF$500))</f>
        <v/>
      </c>
    </row>
    <row r="305" customFormat="false" ht="16.5" hidden="false" customHeight="true" outlineLevel="0" collapsed="false">
      <c r="A305" s="86"/>
      <c r="B305" s="86"/>
      <c r="C305" s="87" t="str">
        <f aca="false">IF(D305="","",IFERROR(INDEX(CADASTRO_VIVO_3CRE!$B$2:$B$150,MATCH(D305,CADASTRO_VIVO_3CRE!$E$2:$E$150,0)),""))</f>
        <v/>
      </c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8"/>
      <c r="S305" s="89" t="str">
        <f aca="true">IF(R305="","",TODAY()-INT(R305))</f>
        <v/>
      </c>
      <c r="T305" s="86"/>
      <c r="U305" s="86"/>
      <c r="V305" s="86"/>
      <c r="W305" s="88"/>
      <c r="X305" s="89" t="str">
        <f aca="true">IF(W305="","",IF(OR(O305="28 - Encerrado",O305="27 - Instalação concluída"),"Concluído",TODAY()-INT(W305)))</f>
        <v/>
      </c>
      <c r="Y305" s="90" t="str">
        <f aca="false">IF(OR(O305="28 - Encerrado",O305="27 - Instalação concluída"),"OK",IF(AND(B305&lt;&gt;"",S305=""),"ATENÇÃO (Sem data de atualização)",IF(S305="","",IF(S305&gt;30,"CRÍTICO (Sem Atualização &gt;30 dias)",IF(S305&gt;15,"ATENÇÃO (Sem Atualização &gt;15 dias)",IF(X305&gt;90,"CRÍTICO (Aberto &gt;90 dias)","OK"))))))</f>
        <v/>
      </c>
      <c r="Z305" s="90" t="str">
        <f aca="false">IF(B305="","",IF(OR(O305="27 - Instalação concluída",O305="28 - Encerrado"),"OK",IF(NOT(ISNUMBER(X305)),"",IF(X305&gt;365,"MUITO ANTIGO (&gt;1 ano)",IF(X305&gt;180,"ANTIGO (&gt;6 meses)",IF(X305&gt;90,"ATENÇÃO ANTIG. (&gt;3 meses)","OK"))))))</f>
        <v/>
      </c>
      <c r="AA305" s="86"/>
      <c r="AB305" s="69" t="str">
        <f aca="false">IF(AND(B305&lt;&gt;"",OR(T305="Pendente de Vistoria",T305="Não validada")),MAX($AB$1:$AB$304)+1,"")</f>
        <v/>
      </c>
      <c r="AC305" s="69" t="str">
        <f aca="false">IF(AND(B305&lt;&gt;"",OR(ISNUMBER(SEARCH("CTIN",P305)),U305="Alta",O305="07 - Relatório recebido — unidade apta",O305="11 - Orçamentos em análise técnica",O305="22 - Instalação/substituição autorizada")),MAX($AC$1:$AC$304)+1,"")</f>
        <v/>
      </c>
      <c r="AD305" s="69" t="str">
        <f aca="false">IF(AND(B305&lt;&gt;"",OR(ISNUMBER(SEARCH("CTO",P305)),LEFT(O305,2)="22",LEFT(O305,2)="23",LEFT(O305,2)="24",LEFT(O305,2)="25",LEFT(O305,2)="26",LEFT(O305,2)="27")),MAX($AD$1:$AD$304)+1,"")</f>
        <v/>
      </c>
      <c r="AE305" s="69" t="str">
        <f aca="false">IF(AND(B305&lt;&gt;"",D305=CONSULTA_UNIDADE!$B$4),MAX($AE$1:$AE$304)+1,"")</f>
        <v/>
      </c>
      <c r="AF305" s="69" t="str">
        <f aca="false">IF(AND(B305&lt;&gt;"",O305&lt;&gt;"27 - Instalação concluída",O305&lt;&gt;"28 - Encerrado",ISNUMBER(S305)),S305*1000+(1000-ROW()),"")</f>
        <v/>
      </c>
      <c r="AG305" s="69" t="str">
        <f aca="false">IF(AF305="","",RANK(AF305,$AF$2:$AF$500))</f>
        <v/>
      </c>
    </row>
    <row r="306" customFormat="false" ht="16.5" hidden="false" customHeight="true" outlineLevel="0" collapsed="false">
      <c r="A306" s="86"/>
      <c r="B306" s="86"/>
      <c r="C306" s="87" t="str">
        <f aca="false">IF(D306="","",IFERROR(INDEX(CADASTRO_VIVO_3CRE!$B$2:$B$150,MATCH(D306,CADASTRO_VIVO_3CRE!$E$2:$E$150,0)),""))</f>
        <v/>
      </c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8"/>
      <c r="S306" s="89" t="str">
        <f aca="true">IF(R306="","",TODAY()-INT(R306))</f>
        <v/>
      </c>
      <c r="T306" s="86"/>
      <c r="U306" s="86"/>
      <c r="V306" s="86"/>
      <c r="W306" s="88"/>
      <c r="X306" s="89" t="str">
        <f aca="true">IF(W306="","",IF(OR(O306="28 - Encerrado",O306="27 - Instalação concluída"),"Concluído",TODAY()-INT(W306)))</f>
        <v/>
      </c>
      <c r="Y306" s="90" t="str">
        <f aca="false">IF(OR(O306="28 - Encerrado",O306="27 - Instalação concluída"),"OK",IF(AND(B306&lt;&gt;"",S306=""),"ATENÇÃO (Sem data de atualização)",IF(S306="","",IF(S306&gt;30,"CRÍTICO (Sem Atualização &gt;30 dias)",IF(S306&gt;15,"ATENÇÃO (Sem Atualização &gt;15 dias)",IF(X306&gt;90,"CRÍTICO (Aberto &gt;90 dias)","OK"))))))</f>
        <v/>
      </c>
      <c r="Z306" s="90" t="str">
        <f aca="false">IF(B306="","",IF(OR(O306="27 - Instalação concluída",O306="28 - Encerrado"),"OK",IF(NOT(ISNUMBER(X306)),"",IF(X306&gt;365,"MUITO ANTIGO (&gt;1 ano)",IF(X306&gt;180,"ANTIGO (&gt;6 meses)",IF(X306&gt;90,"ATENÇÃO ANTIG. (&gt;3 meses)","OK"))))))</f>
        <v/>
      </c>
      <c r="AA306" s="86"/>
      <c r="AB306" s="69" t="str">
        <f aca="false">IF(AND(B306&lt;&gt;"",OR(T306="Pendente de Vistoria",T306="Não validada")),MAX($AB$1:$AB$305)+1,"")</f>
        <v/>
      </c>
      <c r="AC306" s="69" t="str">
        <f aca="false">IF(AND(B306&lt;&gt;"",OR(ISNUMBER(SEARCH("CTIN",P306)),U306="Alta",O306="07 - Relatório recebido — unidade apta",O306="11 - Orçamentos em análise técnica",O306="22 - Instalação/substituição autorizada")),MAX($AC$1:$AC$305)+1,"")</f>
        <v/>
      </c>
      <c r="AD306" s="69" t="str">
        <f aca="false">IF(AND(B306&lt;&gt;"",OR(ISNUMBER(SEARCH("CTO",P306)),LEFT(O306,2)="22",LEFT(O306,2)="23",LEFT(O306,2)="24",LEFT(O306,2)="25",LEFT(O306,2)="26",LEFT(O306,2)="27")),MAX($AD$1:$AD$305)+1,"")</f>
        <v/>
      </c>
      <c r="AE306" s="69" t="str">
        <f aca="false">IF(AND(B306&lt;&gt;"",D306=CONSULTA_UNIDADE!$B$4),MAX($AE$1:$AE$305)+1,"")</f>
        <v/>
      </c>
      <c r="AF306" s="69" t="str">
        <f aca="false">IF(AND(B306&lt;&gt;"",O306&lt;&gt;"27 - Instalação concluída",O306&lt;&gt;"28 - Encerrado",ISNUMBER(S306)),S306*1000+(1000-ROW()),"")</f>
        <v/>
      </c>
      <c r="AG306" s="69" t="str">
        <f aca="false">IF(AF306="","",RANK(AF306,$AF$2:$AF$500))</f>
        <v/>
      </c>
    </row>
    <row r="307" customFormat="false" ht="16.5" hidden="false" customHeight="true" outlineLevel="0" collapsed="false">
      <c r="A307" s="86"/>
      <c r="B307" s="86"/>
      <c r="C307" s="87" t="str">
        <f aca="false">IF(D307="","",IFERROR(INDEX(CADASTRO_VIVO_3CRE!$B$2:$B$150,MATCH(D307,CADASTRO_VIVO_3CRE!$E$2:$E$150,0)),""))</f>
        <v/>
      </c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8"/>
      <c r="S307" s="89" t="str">
        <f aca="true">IF(R307="","",TODAY()-INT(R307))</f>
        <v/>
      </c>
      <c r="T307" s="86"/>
      <c r="U307" s="86"/>
      <c r="V307" s="86"/>
      <c r="W307" s="88"/>
      <c r="X307" s="89" t="str">
        <f aca="true">IF(W307="","",IF(OR(O307="28 - Encerrado",O307="27 - Instalação concluída"),"Concluído",TODAY()-INT(W307)))</f>
        <v/>
      </c>
      <c r="Y307" s="90" t="str">
        <f aca="false">IF(OR(O307="28 - Encerrado",O307="27 - Instalação concluída"),"OK",IF(AND(B307&lt;&gt;"",S307=""),"ATENÇÃO (Sem data de atualização)",IF(S307="","",IF(S307&gt;30,"CRÍTICO (Sem Atualização &gt;30 dias)",IF(S307&gt;15,"ATENÇÃO (Sem Atualização &gt;15 dias)",IF(X307&gt;90,"CRÍTICO (Aberto &gt;90 dias)","OK"))))))</f>
        <v/>
      </c>
      <c r="Z307" s="90" t="str">
        <f aca="false">IF(B307="","",IF(OR(O307="27 - Instalação concluída",O307="28 - Encerrado"),"OK",IF(NOT(ISNUMBER(X307)),"",IF(X307&gt;365,"MUITO ANTIGO (&gt;1 ano)",IF(X307&gt;180,"ANTIGO (&gt;6 meses)",IF(X307&gt;90,"ATENÇÃO ANTIG. (&gt;3 meses)","OK"))))))</f>
        <v/>
      </c>
      <c r="AA307" s="86"/>
      <c r="AB307" s="69" t="str">
        <f aca="false">IF(AND(B307&lt;&gt;"",OR(T307="Pendente de Vistoria",T307="Não validada")),MAX($AB$1:$AB$306)+1,"")</f>
        <v/>
      </c>
      <c r="AC307" s="69" t="str">
        <f aca="false">IF(AND(B307&lt;&gt;"",OR(ISNUMBER(SEARCH("CTIN",P307)),U307="Alta",O307="07 - Relatório recebido — unidade apta",O307="11 - Orçamentos em análise técnica",O307="22 - Instalação/substituição autorizada")),MAX($AC$1:$AC$306)+1,"")</f>
        <v/>
      </c>
      <c r="AD307" s="69" t="str">
        <f aca="false">IF(AND(B307&lt;&gt;"",OR(ISNUMBER(SEARCH("CTO",P307)),LEFT(O307,2)="22",LEFT(O307,2)="23",LEFT(O307,2)="24",LEFT(O307,2)="25",LEFT(O307,2)="26",LEFT(O307,2)="27")),MAX($AD$1:$AD$306)+1,"")</f>
        <v/>
      </c>
      <c r="AE307" s="69" t="str">
        <f aca="false">IF(AND(B307&lt;&gt;"",D307=CONSULTA_UNIDADE!$B$4),MAX($AE$1:$AE$306)+1,"")</f>
        <v/>
      </c>
      <c r="AF307" s="69" t="str">
        <f aca="false">IF(AND(B307&lt;&gt;"",O307&lt;&gt;"27 - Instalação concluída",O307&lt;&gt;"28 - Encerrado",ISNUMBER(S307)),S307*1000+(1000-ROW()),"")</f>
        <v/>
      </c>
      <c r="AG307" s="69" t="str">
        <f aca="false">IF(AF307="","",RANK(AF307,$AF$2:$AF$500))</f>
        <v/>
      </c>
    </row>
    <row r="308" customFormat="false" ht="16.5" hidden="false" customHeight="true" outlineLevel="0" collapsed="false">
      <c r="A308" s="86"/>
      <c r="B308" s="86"/>
      <c r="C308" s="87" t="str">
        <f aca="false">IF(D308="","",IFERROR(INDEX(CADASTRO_VIVO_3CRE!$B$2:$B$150,MATCH(D308,CADASTRO_VIVO_3CRE!$E$2:$E$150,0)),""))</f>
        <v/>
      </c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8"/>
      <c r="S308" s="89" t="str">
        <f aca="true">IF(R308="","",TODAY()-INT(R308))</f>
        <v/>
      </c>
      <c r="T308" s="86"/>
      <c r="U308" s="86"/>
      <c r="V308" s="86"/>
      <c r="W308" s="88"/>
      <c r="X308" s="89" t="str">
        <f aca="true">IF(W308="","",IF(OR(O308="28 - Encerrado",O308="27 - Instalação concluída"),"Concluído",TODAY()-INT(W308)))</f>
        <v/>
      </c>
      <c r="Y308" s="90" t="str">
        <f aca="false">IF(OR(O308="28 - Encerrado",O308="27 - Instalação concluída"),"OK",IF(AND(B308&lt;&gt;"",S308=""),"ATENÇÃO (Sem data de atualização)",IF(S308="","",IF(S308&gt;30,"CRÍTICO (Sem Atualização &gt;30 dias)",IF(S308&gt;15,"ATENÇÃO (Sem Atualização &gt;15 dias)",IF(X308&gt;90,"CRÍTICO (Aberto &gt;90 dias)","OK"))))))</f>
        <v/>
      </c>
      <c r="Z308" s="90" t="str">
        <f aca="false">IF(B308="","",IF(OR(O308="27 - Instalação concluída",O308="28 - Encerrado"),"OK",IF(NOT(ISNUMBER(X308)),"",IF(X308&gt;365,"MUITO ANTIGO (&gt;1 ano)",IF(X308&gt;180,"ANTIGO (&gt;6 meses)",IF(X308&gt;90,"ATENÇÃO ANTIG. (&gt;3 meses)","OK"))))))</f>
        <v/>
      </c>
      <c r="AA308" s="86"/>
      <c r="AB308" s="69" t="str">
        <f aca="false">IF(AND(B308&lt;&gt;"",OR(T308="Pendente de Vistoria",T308="Não validada")),MAX($AB$1:$AB$307)+1,"")</f>
        <v/>
      </c>
      <c r="AC308" s="69" t="str">
        <f aca="false">IF(AND(B308&lt;&gt;"",OR(ISNUMBER(SEARCH("CTIN",P308)),U308="Alta",O308="07 - Relatório recebido — unidade apta",O308="11 - Orçamentos em análise técnica",O308="22 - Instalação/substituição autorizada")),MAX($AC$1:$AC$307)+1,"")</f>
        <v/>
      </c>
      <c r="AD308" s="69" t="str">
        <f aca="false">IF(AND(B308&lt;&gt;"",OR(ISNUMBER(SEARCH("CTO",P308)),LEFT(O308,2)="22",LEFT(O308,2)="23",LEFT(O308,2)="24",LEFT(O308,2)="25",LEFT(O308,2)="26",LEFT(O308,2)="27")),MAX($AD$1:$AD$307)+1,"")</f>
        <v/>
      </c>
      <c r="AE308" s="69" t="str">
        <f aca="false">IF(AND(B308&lt;&gt;"",D308=CONSULTA_UNIDADE!$B$4),MAX($AE$1:$AE$307)+1,"")</f>
        <v/>
      </c>
      <c r="AF308" s="69" t="str">
        <f aca="false">IF(AND(B308&lt;&gt;"",O308&lt;&gt;"27 - Instalação concluída",O308&lt;&gt;"28 - Encerrado",ISNUMBER(S308)),S308*1000+(1000-ROW()),"")</f>
        <v/>
      </c>
      <c r="AG308" s="69" t="str">
        <f aca="false">IF(AF308="","",RANK(AF308,$AF$2:$AF$500))</f>
        <v/>
      </c>
    </row>
    <row r="309" customFormat="false" ht="16.5" hidden="false" customHeight="true" outlineLevel="0" collapsed="false">
      <c r="A309" s="86"/>
      <c r="B309" s="86"/>
      <c r="C309" s="87" t="str">
        <f aca="false">IF(D309="","",IFERROR(INDEX(CADASTRO_VIVO_3CRE!$B$2:$B$150,MATCH(D309,CADASTRO_VIVO_3CRE!$E$2:$E$150,0)),""))</f>
        <v/>
      </c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8"/>
      <c r="S309" s="89" t="str">
        <f aca="true">IF(R309="","",TODAY()-INT(R309))</f>
        <v/>
      </c>
      <c r="T309" s="86"/>
      <c r="U309" s="86"/>
      <c r="V309" s="86"/>
      <c r="W309" s="88"/>
      <c r="X309" s="89" t="str">
        <f aca="true">IF(W309="","",IF(OR(O309="28 - Encerrado",O309="27 - Instalação concluída"),"Concluído",TODAY()-INT(W309)))</f>
        <v/>
      </c>
      <c r="Y309" s="90" t="str">
        <f aca="false">IF(OR(O309="28 - Encerrado",O309="27 - Instalação concluída"),"OK",IF(AND(B309&lt;&gt;"",S309=""),"ATENÇÃO (Sem data de atualização)",IF(S309="","",IF(S309&gt;30,"CRÍTICO (Sem Atualização &gt;30 dias)",IF(S309&gt;15,"ATENÇÃO (Sem Atualização &gt;15 dias)",IF(X309&gt;90,"CRÍTICO (Aberto &gt;90 dias)","OK"))))))</f>
        <v/>
      </c>
      <c r="Z309" s="90" t="str">
        <f aca="false">IF(B309="","",IF(OR(O309="27 - Instalação concluída",O309="28 - Encerrado"),"OK",IF(NOT(ISNUMBER(X309)),"",IF(X309&gt;365,"MUITO ANTIGO (&gt;1 ano)",IF(X309&gt;180,"ANTIGO (&gt;6 meses)",IF(X309&gt;90,"ATENÇÃO ANTIG. (&gt;3 meses)","OK"))))))</f>
        <v/>
      </c>
      <c r="AA309" s="86"/>
      <c r="AB309" s="69" t="str">
        <f aca="false">IF(AND(B309&lt;&gt;"",OR(T309="Pendente de Vistoria",T309="Não validada")),MAX($AB$1:$AB$308)+1,"")</f>
        <v/>
      </c>
      <c r="AC309" s="69" t="str">
        <f aca="false">IF(AND(B309&lt;&gt;"",OR(ISNUMBER(SEARCH("CTIN",P309)),U309="Alta",O309="07 - Relatório recebido — unidade apta",O309="11 - Orçamentos em análise técnica",O309="22 - Instalação/substituição autorizada")),MAX($AC$1:$AC$308)+1,"")</f>
        <v/>
      </c>
      <c r="AD309" s="69" t="str">
        <f aca="false">IF(AND(B309&lt;&gt;"",OR(ISNUMBER(SEARCH("CTO",P309)),LEFT(O309,2)="22",LEFT(O309,2)="23",LEFT(O309,2)="24",LEFT(O309,2)="25",LEFT(O309,2)="26",LEFT(O309,2)="27")),MAX($AD$1:$AD$308)+1,"")</f>
        <v/>
      </c>
      <c r="AE309" s="69" t="str">
        <f aca="false">IF(AND(B309&lt;&gt;"",D309=CONSULTA_UNIDADE!$B$4),MAX($AE$1:$AE$308)+1,"")</f>
        <v/>
      </c>
      <c r="AF309" s="69" t="str">
        <f aca="false">IF(AND(B309&lt;&gt;"",O309&lt;&gt;"27 - Instalação concluída",O309&lt;&gt;"28 - Encerrado",ISNUMBER(S309)),S309*1000+(1000-ROW()),"")</f>
        <v/>
      </c>
      <c r="AG309" s="69" t="str">
        <f aca="false">IF(AF309="","",RANK(AF309,$AF$2:$AF$500))</f>
        <v/>
      </c>
    </row>
    <row r="310" customFormat="false" ht="16.5" hidden="false" customHeight="true" outlineLevel="0" collapsed="false">
      <c r="A310" s="86"/>
      <c r="B310" s="86"/>
      <c r="C310" s="87" t="str">
        <f aca="false">IF(D310="","",IFERROR(INDEX(CADASTRO_VIVO_3CRE!$B$2:$B$150,MATCH(D310,CADASTRO_VIVO_3CRE!$E$2:$E$150,0)),""))</f>
        <v/>
      </c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8"/>
      <c r="S310" s="89" t="str">
        <f aca="true">IF(R310="","",TODAY()-INT(R310))</f>
        <v/>
      </c>
      <c r="T310" s="86"/>
      <c r="U310" s="86"/>
      <c r="V310" s="86"/>
      <c r="W310" s="88"/>
      <c r="X310" s="89" t="str">
        <f aca="true">IF(W310="","",IF(OR(O310="28 - Encerrado",O310="27 - Instalação concluída"),"Concluído",TODAY()-INT(W310)))</f>
        <v/>
      </c>
      <c r="Y310" s="90" t="str">
        <f aca="false">IF(OR(O310="28 - Encerrado",O310="27 - Instalação concluída"),"OK",IF(AND(B310&lt;&gt;"",S310=""),"ATENÇÃO (Sem data de atualização)",IF(S310="","",IF(S310&gt;30,"CRÍTICO (Sem Atualização &gt;30 dias)",IF(S310&gt;15,"ATENÇÃO (Sem Atualização &gt;15 dias)",IF(X310&gt;90,"CRÍTICO (Aberto &gt;90 dias)","OK"))))))</f>
        <v/>
      </c>
      <c r="Z310" s="90" t="str">
        <f aca="false">IF(B310="","",IF(OR(O310="27 - Instalação concluída",O310="28 - Encerrado"),"OK",IF(NOT(ISNUMBER(X310)),"",IF(X310&gt;365,"MUITO ANTIGO (&gt;1 ano)",IF(X310&gt;180,"ANTIGO (&gt;6 meses)",IF(X310&gt;90,"ATENÇÃO ANTIG. (&gt;3 meses)","OK"))))))</f>
        <v/>
      </c>
      <c r="AA310" s="86"/>
      <c r="AB310" s="69" t="str">
        <f aca="false">IF(AND(B310&lt;&gt;"",OR(T310="Pendente de Vistoria",T310="Não validada")),MAX($AB$1:$AB$309)+1,"")</f>
        <v/>
      </c>
      <c r="AC310" s="69" t="str">
        <f aca="false">IF(AND(B310&lt;&gt;"",OR(ISNUMBER(SEARCH("CTIN",P310)),U310="Alta",O310="07 - Relatório recebido — unidade apta",O310="11 - Orçamentos em análise técnica",O310="22 - Instalação/substituição autorizada")),MAX($AC$1:$AC$309)+1,"")</f>
        <v/>
      </c>
      <c r="AD310" s="69" t="str">
        <f aca="false">IF(AND(B310&lt;&gt;"",OR(ISNUMBER(SEARCH("CTO",P310)),LEFT(O310,2)="22",LEFT(O310,2)="23",LEFT(O310,2)="24",LEFT(O310,2)="25",LEFT(O310,2)="26",LEFT(O310,2)="27")),MAX($AD$1:$AD$309)+1,"")</f>
        <v/>
      </c>
      <c r="AE310" s="69" t="str">
        <f aca="false">IF(AND(B310&lt;&gt;"",D310=CONSULTA_UNIDADE!$B$4),MAX($AE$1:$AE$309)+1,"")</f>
        <v/>
      </c>
      <c r="AF310" s="69" t="str">
        <f aca="false">IF(AND(B310&lt;&gt;"",O310&lt;&gt;"27 - Instalação concluída",O310&lt;&gt;"28 - Encerrado",ISNUMBER(S310)),S310*1000+(1000-ROW()),"")</f>
        <v/>
      </c>
      <c r="AG310" s="69" t="str">
        <f aca="false">IF(AF310="","",RANK(AF310,$AF$2:$AF$500))</f>
        <v/>
      </c>
    </row>
    <row r="311" customFormat="false" ht="16.5" hidden="false" customHeight="true" outlineLevel="0" collapsed="false">
      <c r="A311" s="86"/>
      <c r="B311" s="86"/>
      <c r="C311" s="87" t="str">
        <f aca="false">IF(D311="","",IFERROR(INDEX(CADASTRO_VIVO_3CRE!$B$2:$B$150,MATCH(D311,CADASTRO_VIVO_3CRE!$E$2:$E$150,0)),""))</f>
        <v/>
      </c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8"/>
      <c r="S311" s="89" t="str">
        <f aca="true">IF(R311="","",TODAY()-INT(R311))</f>
        <v/>
      </c>
      <c r="T311" s="86"/>
      <c r="U311" s="86"/>
      <c r="V311" s="86"/>
      <c r="W311" s="88"/>
      <c r="X311" s="89" t="str">
        <f aca="true">IF(W311="","",IF(OR(O311="28 - Encerrado",O311="27 - Instalação concluída"),"Concluído",TODAY()-INT(W311)))</f>
        <v/>
      </c>
      <c r="Y311" s="90" t="str">
        <f aca="false">IF(OR(O311="28 - Encerrado",O311="27 - Instalação concluída"),"OK",IF(AND(B311&lt;&gt;"",S311=""),"ATENÇÃO (Sem data de atualização)",IF(S311="","",IF(S311&gt;30,"CRÍTICO (Sem Atualização &gt;30 dias)",IF(S311&gt;15,"ATENÇÃO (Sem Atualização &gt;15 dias)",IF(X311&gt;90,"CRÍTICO (Aberto &gt;90 dias)","OK"))))))</f>
        <v/>
      </c>
      <c r="Z311" s="90" t="str">
        <f aca="false">IF(B311="","",IF(OR(O311="27 - Instalação concluída",O311="28 - Encerrado"),"OK",IF(NOT(ISNUMBER(X311)),"",IF(X311&gt;365,"MUITO ANTIGO (&gt;1 ano)",IF(X311&gt;180,"ANTIGO (&gt;6 meses)",IF(X311&gt;90,"ATENÇÃO ANTIG. (&gt;3 meses)","OK"))))))</f>
        <v/>
      </c>
      <c r="AA311" s="86"/>
      <c r="AB311" s="69" t="str">
        <f aca="false">IF(AND(B311&lt;&gt;"",OR(T311="Pendente de Vistoria",T311="Não validada")),MAX($AB$1:$AB$310)+1,"")</f>
        <v/>
      </c>
      <c r="AC311" s="69" t="str">
        <f aca="false">IF(AND(B311&lt;&gt;"",OR(ISNUMBER(SEARCH("CTIN",P311)),U311="Alta",O311="07 - Relatório recebido — unidade apta",O311="11 - Orçamentos em análise técnica",O311="22 - Instalação/substituição autorizada")),MAX($AC$1:$AC$310)+1,"")</f>
        <v/>
      </c>
      <c r="AD311" s="69" t="str">
        <f aca="false">IF(AND(B311&lt;&gt;"",OR(ISNUMBER(SEARCH("CTO",P311)),LEFT(O311,2)="22",LEFT(O311,2)="23",LEFT(O311,2)="24",LEFT(O311,2)="25",LEFT(O311,2)="26",LEFT(O311,2)="27")),MAX($AD$1:$AD$310)+1,"")</f>
        <v/>
      </c>
      <c r="AE311" s="69" t="str">
        <f aca="false">IF(AND(B311&lt;&gt;"",D311=CONSULTA_UNIDADE!$B$4),MAX($AE$1:$AE$310)+1,"")</f>
        <v/>
      </c>
      <c r="AF311" s="69" t="str">
        <f aca="false">IF(AND(B311&lt;&gt;"",O311&lt;&gt;"27 - Instalação concluída",O311&lt;&gt;"28 - Encerrado",ISNUMBER(S311)),S311*1000+(1000-ROW()),"")</f>
        <v/>
      </c>
      <c r="AG311" s="69" t="str">
        <f aca="false">IF(AF311="","",RANK(AF311,$AF$2:$AF$500))</f>
        <v/>
      </c>
    </row>
    <row r="312" customFormat="false" ht="16.5" hidden="false" customHeight="true" outlineLevel="0" collapsed="false">
      <c r="A312" s="86"/>
      <c r="B312" s="86"/>
      <c r="C312" s="87" t="str">
        <f aca="false">IF(D312="","",IFERROR(INDEX(CADASTRO_VIVO_3CRE!$B$2:$B$150,MATCH(D312,CADASTRO_VIVO_3CRE!$E$2:$E$150,0)),""))</f>
        <v/>
      </c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8"/>
      <c r="S312" s="89" t="str">
        <f aca="true">IF(R312="","",TODAY()-INT(R312))</f>
        <v/>
      </c>
      <c r="T312" s="86"/>
      <c r="U312" s="86"/>
      <c r="V312" s="86"/>
      <c r="W312" s="88"/>
      <c r="X312" s="89" t="str">
        <f aca="true">IF(W312="","",IF(OR(O312="28 - Encerrado",O312="27 - Instalação concluída"),"Concluído",TODAY()-INT(W312)))</f>
        <v/>
      </c>
      <c r="Y312" s="90" t="str">
        <f aca="false">IF(OR(O312="28 - Encerrado",O312="27 - Instalação concluída"),"OK",IF(AND(B312&lt;&gt;"",S312=""),"ATENÇÃO (Sem data de atualização)",IF(S312="","",IF(S312&gt;30,"CRÍTICO (Sem Atualização &gt;30 dias)",IF(S312&gt;15,"ATENÇÃO (Sem Atualização &gt;15 dias)",IF(X312&gt;90,"CRÍTICO (Aberto &gt;90 dias)","OK"))))))</f>
        <v/>
      </c>
      <c r="Z312" s="90" t="str">
        <f aca="false">IF(B312="","",IF(OR(O312="27 - Instalação concluída",O312="28 - Encerrado"),"OK",IF(NOT(ISNUMBER(X312)),"",IF(X312&gt;365,"MUITO ANTIGO (&gt;1 ano)",IF(X312&gt;180,"ANTIGO (&gt;6 meses)",IF(X312&gt;90,"ATENÇÃO ANTIG. (&gt;3 meses)","OK"))))))</f>
        <v/>
      </c>
      <c r="AA312" s="86"/>
      <c r="AB312" s="69" t="str">
        <f aca="false">IF(AND(B312&lt;&gt;"",OR(T312="Pendente de Vistoria",T312="Não validada")),MAX($AB$1:$AB$311)+1,"")</f>
        <v/>
      </c>
      <c r="AC312" s="69" t="str">
        <f aca="false">IF(AND(B312&lt;&gt;"",OR(ISNUMBER(SEARCH("CTIN",P312)),U312="Alta",O312="07 - Relatório recebido — unidade apta",O312="11 - Orçamentos em análise técnica",O312="22 - Instalação/substituição autorizada")),MAX($AC$1:$AC$311)+1,"")</f>
        <v/>
      </c>
      <c r="AD312" s="69" t="str">
        <f aca="false">IF(AND(B312&lt;&gt;"",OR(ISNUMBER(SEARCH("CTO",P312)),LEFT(O312,2)="22",LEFT(O312,2)="23",LEFT(O312,2)="24",LEFT(O312,2)="25",LEFT(O312,2)="26",LEFT(O312,2)="27")),MAX($AD$1:$AD$311)+1,"")</f>
        <v/>
      </c>
      <c r="AE312" s="69" t="str">
        <f aca="false">IF(AND(B312&lt;&gt;"",D312=CONSULTA_UNIDADE!$B$4),MAX($AE$1:$AE$311)+1,"")</f>
        <v/>
      </c>
      <c r="AF312" s="69" t="str">
        <f aca="false">IF(AND(B312&lt;&gt;"",O312&lt;&gt;"27 - Instalação concluída",O312&lt;&gt;"28 - Encerrado",ISNUMBER(S312)),S312*1000+(1000-ROW()),"")</f>
        <v/>
      </c>
      <c r="AG312" s="69" t="str">
        <f aca="false">IF(AF312="","",RANK(AF312,$AF$2:$AF$500))</f>
        <v/>
      </c>
    </row>
    <row r="313" customFormat="false" ht="16.5" hidden="false" customHeight="true" outlineLevel="0" collapsed="false">
      <c r="A313" s="86"/>
      <c r="B313" s="86"/>
      <c r="C313" s="87" t="str">
        <f aca="false">IF(D313="","",IFERROR(INDEX(CADASTRO_VIVO_3CRE!$B$2:$B$150,MATCH(D313,CADASTRO_VIVO_3CRE!$E$2:$E$150,0)),""))</f>
        <v/>
      </c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8"/>
      <c r="S313" s="89" t="str">
        <f aca="true">IF(R313="","",TODAY()-INT(R313))</f>
        <v/>
      </c>
      <c r="T313" s="86"/>
      <c r="U313" s="86"/>
      <c r="V313" s="86"/>
      <c r="W313" s="88"/>
      <c r="X313" s="89" t="str">
        <f aca="true">IF(W313="","",IF(OR(O313="28 - Encerrado",O313="27 - Instalação concluída"),"Concluído",TODAY()-INT(W313)))</f>
        <v/>
      </c>
      <c r="Y313" s="90" t="str">
        <f aca="false">IF(OR(O313="28 - Encerrado",O313="27 - Instalação concluída"),"OK",IF(AND(B313&lt;&gt;"",S313=""),"ATENÇÃO (Sem data de atualização)",IF(S313="","",IF(S313&gt;30,"CRÍTICO (Sem Atualização &gt;30 dias)",IF(S313&gt;15,"ATENÇÃO (Sem Atualização &gt;15 dias)",IF(X313&gt;90,"CRÍTICO (Aberto &gt;90 dias)","OK"))))))</f>
        <v/>
      </c>
      <c r="Z313" s="90" t="str">
        <f aca="false">IF(B313="","",IF(OR(O313="27 - Instalação concluída",O313="28 - Encerrado"),"OK",IF(NOT(ISNUMBER(X313)),"",IF(X313&gt;365,"MUITO ANTIGO (&gt;1 ano)",IF(X313&gt;180,"ANTIGO (&gt;6 meses)",IF(X313&gt;90,"ATENÇÃO ANTIG. (&gt;3 meses)","OK"))))))</f>
        <v/>
      </c>
      <c r="AA313" s="86"/>
      <c r="AB313" s="69" t="str">
        <f aca="false">IF(AND(B313&lt;&gt;"",OR(T313="Pendente de Vistoria",T313="Não validada")),MAX($AB$1:$AB$312)+1,"")</f>
        <v/>
      </c>
      <c r="AC313" s="69" t="str">
        <f aca="false">IF(AND(B313&lt;&gt;"",OR(ISNUMBER(SEARCH("CTIN",P313)),U313="Alta",O313="07 - Relatório recebido — unidade apta",O313="11 - Orçamentos em análise técnica",O313="22 - Instalação/substituição autorizada")),MAX($AC$1:$AC$312)+1,"")</f>
        <v/>
      </c>
      <c r="AD313" s="69" t="str">
        <f aca="false">IF(AND(B313&lt;&gt;"",OR(ISNUMBER(SEARCH("CTO",P313)),LEFT(O313,2)="22",LEFT(O313,2)="23",LEFT(O313,2)="24",LEFT(O313,2)="25",LEFT(O313,2)="26",LEFT(O313,2)="27")),MAX($AD$1:$AD$312)+1,"")</f>
        <v/>
      </c>
      <c r="AE313" s="69" t="str">
        <f aca="false">IF(AND(B313&lt;&gt;"",D313=CONSULTA_UNIDADE!$B$4),MAX($AE$1:$AE$312)+1,"")</f>
        <v/>
      </c>
      <c r="AF313" s="69" t="str">
        <f aca="false">IF(AND(B313&lt;&gt;"",O313&lt;&gt;"27 - Instalação concluída",O313&lt;&gt;"28 - Encerrado",ISNUMBER(S313)),S313*1000+(1000-ROW()),"")</f>
        <v/>
      </c>
      <c r="AG313" s="69" t="str">
        <f aca="false">IF(AF313="","",RANK(AF313,$AF$2:$AF$500))</f>
        <v/>
      </c>
    </row>
    <row r="314" customFormat="false" ht="16.5" hidden="false" customHeight="true" outlineLevel="0" collapsed="false">
      <c r="A314" s="86"/>
      <c r="B314" s="86"/>
      <c r="C314" s="87" t="str">
        <f aca="false">IF(D314="","",IFERROR(INDEX(CADASTRO_VIVO_3CRE!$B$2:$B$150,MATCH(D314,CADASTRO_VIVO_3CRE!$E$2:$E$150,0)),""))</f>
        <v/>
      </c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8"/>
      <c r="S314" s="89" t="str">
        <f aca="true">IF(R314="","",TODAY()-INT(R314))</f>
        <v/>
      </c>
      <c r="T314" s="86"/>
      <c r="U314" s="86"/>
      <c r="V314" s="86"/>
      <c r="W314" s="88"/>
      <c r="X314" s="89" t="str">
        <f aca="true">IF(W314="","",IF(OR(O314="28 - Encerrado",O314="27 - Instalação concluída"),"Concluído",TODAY()-INT(W314)))</f>
        <v/>
      </c>
      <c r="Y314" s="90" t="str">
        <f aca="false">IF(OR(O314="28 - Encerrado",O314="27 - Instalação concluída"),"OK",IF(AND(B314&lt;&gt;"",S314=""),"ATENÇÃO (Sem data de atualização)",IF(S314="","",IF(S314&gt;30,"CRÍTICO (Sem Atualização &gt;30 dias)",IF(S314&gt;15,"ATENÇÃO (Sem Atualização &gt;15 dias)",IF(X314&gt;90,"CRÍTICO (Aberto &gt;90 dias)","OK"))))))</f>
        <v/>
      </c>
      <c r="Z314" s="90" t="str">
        <f aca="false">IF(B314="","",IF(OR(O314="27 - Instalação concluída",O314="28 - Encerrado"),"OK",IF(NOT(ISNUMBER(X314)),"",IF(X314&gt;365,"MUITO ANTIGO (&gt;1 ano)",IF(X314&gt;180,"ANTIGO (&gt;6 meses)",IF(X314&gt;90,"ATENÇÃO ANTIG. (&gt;3 meses)","OK"))))))</f>
        <v/>
      </c>
      <c r="AA314" s="86"/>
      <c r="AB314" s="69" t="str">
        <f aca="false">IF(AND(B314&lt;&gt;"",OR(T314="Pendente de Vistoria",T314="Não validada")),MAX($AB$1:$AB$313)+1,"")</f>
        <v/>
      </c>
      <c r="AC314" s="69" t="str">
        <f aca="false">IF(AND(B314&lt;&gt;"",OR(ISNUMBER(SEARCH("CTIN",P314)),U314="Alta",O314="07 - Relatório recebido — unidade apta",O314="11 - Orçamentos em análise técnica",O314="22 - Instalação/substituição autorizada")),MAX($AC$1:$AC$313)+1,"")</f>
        <v/>
      </c>
      <c r="AD314" s="69" t="str">
        <f aca="false">IF(AND(B314&lt;&gt;"",OR(ISNUMBER(SEARCH("CTO",P314)),LEFT(O314,2)="22",LEFT(O314,2)="23",LEFT(O314,2)="24",LEFT(O314,2)="25",LEFT(O314,2)="26",LEFT(O314,2)="27")),MAX($AD$1:$AD$313)+1,"")</f>
        <v/>
      </c>
      <c r="AE314" s="69" t="str">
        <f aca="false">IF(AND(B314&lt;&gt;"",D314=CONSULTA_UNIDADE!$B$4),MAX($AE$1:$AE$313)+1,"")</f>
        <v/>
      </c>
      <c r="AF314" s="69" t="str">
        <f aca="false">IF(AND(B314&lt;&gt;"",O314&lt;&gt;"27 - Instalação concluída",O314&lt;&gt;"28 - Encerrado",ISNUMBER(S314)),S314*1000+(1000-ROW()),"")</f>
        <v/>
      </c>
      <c r="AG314" s="69" t="str">
        <f aca="false">IF(AF314="","",RANK(AF314,$AF$2:$AF$500))</f>
        <v/>
      </c>
    </row>
    <row r="315" customFormat="false" ht="16.5" hidden="false" customHeight="true" outlineLevel="0" collapsed="false">
      <c r="A315" s="86"/>
      <c r="B315" s="86"/>
      <c r="C315" s="87" t="str">
        <f aca="false">IF(D315="","",IFERROR(INDEX(CADASTRO_VIVO_3CRE!$B$2:$B$150,MATCH(D315,CADASTRO_VIVO_3CRE!$E$2:$E$150,0)),""))</f>
        <v/>
      </c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8"/>
      <c r="S315" s="89" t="str">
        <f aca="true">IF(R315="","",TODAY()-INT(R315))</f>
        <v/>
      </c>
      <c r="T315" s="86"/>
      <c r="U315" s="86"/>
      <c r="V315" s="86"/>
      <c r="W315" s="88"/>
      <c r="X315" s="89" t="str">
        <f aca="true">IF(W315="","",IF(OR(O315="28 - Encerrado",O315="27 - Instalação concluída"),"Concluído",TODAY()-INT(W315)))</f>
        <v/>
      </c>
      <c r="Y315" s="90" t="str">
        <f aca="false">IF(OR(O315="28 - Encerrado",O315="27 - Instalação concluída"),"OK",IF(AND(B315&lt;&gt;"",S315=""),"ATENÇÃO (Sem data de atualização)",IF(S315="","",IF(S315&gt;30,"CRÍTICO (Sem Atualização &gt;30 dias)",IF(S315&gt;15,"ATENÇÃO (Sem Atualização &gt;15 dias)",IF(X315&gt;90,"CRÍTICO (Aberto &gt;90 dias)","OK"))))))</f>
        <v/>
      </c>
      <c r="Z315" s="90" t="str">
        <f aca="false">IF(B315="","",IF(OR(O315="27 - Instalação concluída",O315="28 - Encerrado"),"OK",IF(NOT(ISNUMBER(X315)),"",IF(X315&gt;365,"MUITO ANTIGO (&gt;1 ano)",IF(X315&gt;180,"ANTIGO (&gt;6 meses)",IF(X315&gt;90,"ATENÇÃO ANTIG. (&gt;3 meses)","OK"))))))</f>
        <v/>
      </c>
      <c r="AA315" s="86"/>
      <c r="AB315" s="69" t="str">
        <f aca="false">IF(AND(B315&lt;&gt;"",OR(T315="Pendente de Vistoria",T315="Não validada")),MAX($AB$1:$AB$314)+1,"")</f>
        <v/>
      </c>
      <c r="AC315" s="69" t="str">
        <f aca="false">IF(AND(B315&lt;&gt;"",OR(ISNUMBER(SEARCH("CTIN",P315)),U315="Alta",O315="07 - Relatório recebido — unidade apta",O315="11 - Orçamentos em análise técnica",O315="22 - Instalação/substituição autorizada")),MAX($AC$1:$AC$314)+1,"")</f>
        <v/>
      </c>
      <c r="AD315" s="69" t="str">
        <f aca="false">IF(AND(B315&lt;&gt;"",OR(ISNUMBER(SEARCH("CTO",P315)),LEFT(O315,2)="22",LEFT(O315,2)="23",LEFT(O315,2)="24",LEFT(O315,2)="25",LEFT(O315,2)="26",LEFT(O315,2)="27")),MAX($AD$1:$AD$314)+1,"")</f>
        <v/>
      </c>
      <c r="AE315" s="69" t="str">
        <f aca="false">IF(AND(B315&lt;&gt;"",D315=CONSULTA_UNIDADE!$B$4),MAX($AE$1:$AE$314)+1,"")</f>
        <v/>
      </c>
      <c r="AF315" s="69" t="str">
        <f aca="false">IF(AND(B315&lt;&gt;"",O315&lt;&gt;"27 - Instalação concluída",O315&lt;&gt;"28 - Encerrado",ISNUMBER(S315)),S315*1000+(1000-ROW()),"")</f>
        <v/>
      </c>
      <c r="AG315" s="69" t="str">
        <f aca="false">IF(AF315="","",RANK(AF315,$AF$2:$AF$500))</f>
        <v/>
      </c>
    </row>
    <row r="316" customFormat="false" ht="16.5" hidden="false" customHeight="true" outlineLevel="0" collapsed="false">
      <c r="A316" s="86"/>
      <c r="B316" s="86"/>
      <c r="C316" s="87" t="str">
        <f aca="false">IF(D316="","",IFERROR(INDEX(CADASTRO_VIVO_3CRE!$B$2:$B$150,MATCH(D316,CADASTRO_VIVO_3CRE!$E$2:$E$150,0)),""))</f>
        <v/>
      </c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8"/>
      <c r="S316" s="89" t="str">
        <f aca="true">IF(R316="","",TODAY()-INT(R316))</f>
        <v/>
      </c>
      <c r="T316" s="86"/>
      <c r="U316" s="86"/>
      <c r="V316" s="86"/>
      <c r="W316" s="88"/>
      <c r="X316" s="89" t="str">
        <f aca="true">IF(W316="","",IF(OR(O316="28 - Encerrado",O316="27 - Instalação concluída"),"Concluído",TODAY()-INT(W316)))</f>
        <v/>
      </c>
      <c r="Y316" s="90" t="str">
        <f aca="false">IF(OR(O316="28 - Encerrado",O316="27 - Instalação concluída"),"OK",IF(AND(B316&lt;&gt;"",S316=""),"ATENÇÃO (Sem data de atualização)",IF(S316="","",IF(S316&gt;30,"CRÍTICO (Sem Atualização &gt;30 dias)",IF(S316&gt;15,"ATENÇÃO (Sem Atualização &gt;15 dias)",IF(X316&gt;90,"CRÍTICO (Aberto &gt;90 dias)","OK"))))))</f>
        <v/>
      </c>
      <c r="Z316" s="90" t="str">
        <f aca="false">IF(B316="","",IF(OR(O316="27 - Instalação concluída",O316="28 - Encerrado"),"OK",IF(NOT(ISNUMBER(X316)),"",IF(X316&gt;365,"MUITO ANTIGO (&gt;1 ano)",IF(X316&gt;180,"ANTIGO (&gt;6 meses)",IF(X316&gt;90,"ATENÇÃO ANTIG. (&gt;3 meses)","OK"))))))</f>
        <v/>
      </c>
      <c r="AA316" s="86"/>
      <c r="AB316" s="69" t="str">
        <f aca="false">IF(AND(B316&lt;&gt;"",OR(T316="Pendente de Vistoria",T316="Não validada")),MAX($AB$1:$AB$315)+1,"")</f>
        <v/>
      </c>
      <c r="AC316" s="69" t="str">
        <f aca="false">IF(AND(B316&lt;&gt;"",OR(ISNUMBER(SEARCH("CTIN",P316)),U316="Alta",O316="07 - Relatório recebido — unidade apta",O316="11 - Orçamentos em análise técnica",O316="22 - Instalação/substituição autorizada")),MAX($AC$1:$AC$315)+1,"")</f>
        <v/>
      </c>
      <c r="AD316" s="69" t="str">
        <f aca="false">IF(AND(B316&lt;&gt;"",OR(ISNUMBER(SEARCH("CTO",P316)),LEFT(O316,2)="22",LEFT(O316,2)="23",LEFT(O316,2)="24",LEFT(O316,2)="25",LEFT(O316,2)="26",LEFT(O316,2)="27")),MAX($AD$1:$AD$315)+1,"")</f>
        <v/>
      </c>
      <c r="AE316" s="69" t="str">
        <f aca="false">IF(AND(B316&lt;&gt;"",D316=CONSULTA_UNIDADE!$B$4),MAX($AE$1:$AE$315)+1,"")</f>
        <v/>
      </c>
      <c r="AF316" s="69" t="str">
        <f aca="false">IF(AND(B316&lt;&gt;"",O316&lt;&gt;"27 - Instalação concluída",O316&lt;&gt;"28 - Encerrado",ISNUMBER(S316)),S316*1000+(1000-ROW()),"")</f>
        <v/>
      </c>
      <c r="AG316" s="69" t="str">
        <f aca="false">IF(AF316="","",RANK(AF316,$AF$2:$AF$500))</f>
        <v/>
      </c>
    </row>
    <row r="317" customFormat="false" ht="16.5" hidden="false" customHeight="true" outlineLevel="0" collapsed="false">
      <c r="A317" s="86"/>
      <c r="B317" s="86"/>
      <c r="C317" s="87" t="str">
        <f aca="false">IF(D317="","",IFERROR(INDEX(CADASTRO_VIVO_3CRE!$B$2:$B$150,MATCH(D317,CADASTRO_VIVO_3CRE!$E$2:$E$150,0)),""))</f>
        <v/>
      </c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8"/>
      <c r="S317" s="89" t="str">
        <f aca="true">IF(R317="","",TODAY()-INT(R317))</f>
        <v/>
      </c>
      <c r="T317" s="86"/>
      <c r="U317" s="86"/>
      <c r="V317" s="86"/>
      <c r="W317" s="88"/>
      <c r="X317" s="89" t="str">
        <f aca="true">IF(W317="","",IF(OR(O317="28 - Encerrado",O317="27 - Instalação concluída"),"Concluído",TODAY()-INT(W317)))</f>
        <v/>
      </c>
      <c r="Y317" s="90" t="str">
        <f aca="false">IF(OR(O317="28 - Encerrado",O317="27 - Instalação concluída"),"OK",IF(AND(B317&lt;&gt;"",S317=""),"ATENÇÃO (Sem data de atualização)",IF(S317="","",IF(S317&gt;30,"CRÍTICO (Sem Atualização &gt;30 dias)",IF(S317&gt;15,"ATENÇÃO (Sem Atualização &gt;15 dias)",IF(X317&gt;90,"CRÍTICO (Aberto &gt;90 dias)","OK"))))))</f>
        <v/>
      </c>
      <c r="Z317" s="90" t="str">
        <f aca="false">IF(B317="","",IF(OR(O317="27 - Instalação concluída",O317="28 - Encerrado"),"OK",IF(NOT(ISNUMBER(X317)),"",IF(X317&gt;365,"MUITO ANTIGO (&gt;1 ano)",IF(X317&gt;180,"ANTIGO (&gt;6 meses)",IF(X317&gt;90,"ATENÇÃO ANTIG. (&gt;3 meses)","OK"))))))</f>
        <v/>
      </c>
      <c r="AA317" s="86"/>
      <c r="AB317" s="69" t="str">
        <f aca="false">IF(AND(B317&lt;&gt;"",OR(T317="Pendente de Vistoria",T317="Não validada")),MAX($AB$1:$AB$316)+1,"")</f>
        <v/>
      </c>
      <c r="AC317" s="69" t="str">
        <f aca="false">IF(AND(B317&lt;&gt;"",OR(ISNUMBER(SEARCH("CTIN",P317)),U317="Alta",O317="07 - Relatório recebido — unidade apta",O317="11 - Orçamentos em análise técnica",O317="22 - Instalação/substituição autorizada")),MAX($AC$1:$AC$316)+1,"")</f>
        <v/>
      </c>
      <c r="AD317" s="69" t="str">
        <f aca="false">IF(AND(B317&lt;&gt;"",OR(ISNUMBER(SEARCH("CTO",P317)),LEFT(O317,2)="22",LEFT(O317,2)="23",LEFT(O317,2)="24",LEFT(O317,2)="25",LEFT(O317,2)="26",LEFT(O317,2)="27")),MAX($AD$1:$AD$316)+1,"")</f>
        <v/>
      </c>
      <c r="AE317" s="69" t="str">
        <f aca="false">IF(AND(B317&lt;&gt;"",D317=CONSULTA_UNIDADE!$B$4),MAX($AE$1:$AE$316)+1,"")</f>
        <v/>
      </c>
      <c r="AF317" s="69" t="str">
        <f aca="false">IF(AND(B317&lt;&gt;"",O317&lt;&gt;"27 - Instalação concluída",O317&lt;&gt;"28 - Encerrado",ISNUMBER(S317)),S317*1000+(1000-ROW()),"")</f>
        <v/>
      </c>
      <c r="AG317" s="69" t="str">
        <f aca="false">IF(AF317="","",RANK(AF317,$AF$2:$AF$500))</f>
        <v/>
      </c>
    </row>
    <row r="318" customFormat="false" ht="16.5" hidden="false" customHeight="true" outlineLevel="0" collapsed="false">
      <c r="A318" s="86"/>
      <c r="B318" s="86"/>
      <c r="C318" s="87" t="str">
        <f aca="false">IF(D318="","",IFERROR(INDEX(CADASTRO_VIVO_3CRE!$B$2:$B$150,MATCH(D318,CADASTRO_VIVO_3CRE!$E$2:$E$150,0)),""))</f>
        <v/>
      </c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8"/>
      <c r="S318" s="89" t="str">
        <f aca="true">IF(R318="","",TODAY()-INT(R318))</f>
        <v/>
      </c>
      <c r="T318" s="86"/>
      <c r="U318" s="86"/>
      <c r="V318" s="86"/>
      <c r="W318" s="88"/>
      <c r="X318" s="89" t="str">
        <f aca="true">IF(W318="","",IF(OR(O318="28 - Encerrado",O318="27 - Instalação concluída"),"Concluído",TODAY()-INT(W318)))</f>
        <v/>
      </c>
      <c r="Y318" s="90" t="str">
        <f aca="false">IF(OR(O318="28 - Encerrado",O318="27 - Instalação concluída"),"OK",IF(AND(B318&lt;&gt;"",S318=""),"ATENÇÃO (Sem data de atualização)",IF(S318="","",IF(S318&gt;30,"CRÍTICO (Sem Atualização &gt;30 dias)",IF(S318&gt;15,"ATENÇÃO (Sem Atualização &gt;15 dias)",IF(X318&gt;90,"CRÍTICO (Aberto &gt;90 dias)","OK"))))))</f>
        <v/>
      </c>
      <c r="Z318" s="90" t="str">
        <f aca="false">IF(B318="","",IF(OR(O318="27 - Instalação concluída",O318="28 - Encerrado"),"OK",IF(NOT(ISNUMBER(X318)),"",IF(X318&gt;365,"MUITO ANTIGO (&gt;1 ano)",IF(X318&gt;180,"ANTIGO (&gt;6 meses)",IF(X318&gt;90,"ATENÇÃO ANTIG. (&gt;3 meses)","OK"))))))</f>
        <v/>
      </c>
      <c r="AA318" s="86"/>
      <c r="AB318" s="69" t="str">
        <f aca="false">IF(AND(B318&lt;&gt;"",OR(T318="Pendente de Vistoria",T318="Não validada")),MAX($AB$1:$AB$317)+1,"")</f>
        <v/>
      </c>
      <c r="AC318" s="69" t="str">
        <f aca="false">IF(AND(B318&lt;&gt;"",OR(ISNUMBER(SEARCH("CTIN",P318)),U318="Alta",O318="07 - Relatório recebido — unidade apta",O318="11 - Orçamentos em análise técnica",O318="22 - Instalação/substituição autorizada")),MAX($AC$1:$AC$317)+1,"")</f>
        <v/>
      </c>
      <c r="AD318" s="69" t="str">
        <f aca="false">IF(AND(B318&lt;&gt;"",OR(ISNUMBER(SEARCH("CTO",P318)),LEFT(O318,2)="22",LEFT(O318,2)="23",LEFT(O318,2)="24",LEFT(O318,2)="25",LEFT(O318,2)="26",LEFT(O318,2)="27")),MAX($AD$1:$AD$317)+1,"")</f>
        <v/>
      </c>
      <c r="AE318" s="69" t="str">
        <f aca="false">IF(AND(B318&lt;&gt;"",D318=CONSULTA_UNIDADE!$B$4),MAX($AE$1:$AE$317)+1,"")</f>
        <v/>
      </c>
      <c r="AF318" s="69" t="str">
        <f aca="false">IF(AND(B318&lt;&gt;"",O318&lt;&gt;"27 - Instalação concluída",O318&lt;&gt;"28 - Encerrado",ISNUMBER(S318)),S318*1000+(1000-ROW()),"")</f>
        <v/>
      </c>
      <c r="AG318" s="69" t="str">
        <f aca="false">IF(AF318="","",RANK(AF318,$AF$2:$AF$500))</f>
        <v/>
      </c>
    </row>
    <row r="319" customFormat="false" ht="16.5" hidden="false" customHeight="true" outlineLevel="0" collapsed="false">
      <c r="A319" s="86"/>
      <c r="B319" s="86"/>
      <c r="C319" s="87" t="str">
        <f aca="false">IF(D319="","",IFERROR(INDEX(CADASTRO_VIVO_3CRE!$B$2:$B$150,MATCH(D319,CADASTRO_VIVO_3CRE!$E$2:$E$150,0)),""))</f>
        <v/>
      </c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8"/>
      <c r="S319" s="89" t="str">
        <f aca="true">IF(R319="","",TODAY()-INT(R319))</f>
        <v/>
      </c>
      <c r="T319" s="86"/>
      <c r="U319" s="86"/>
      <c r="V319" s="86"/>
      <c r="W319" s="88"/>
      <c r="X319" s="89" t="str">
        <f aca="true">IF(W319="","",IF(OR(O319="28 - Encerrado",O319="27 - Instalação concluída"),"Concluído",TODAY()-INT(W319)))</f>
        <v/>
      </c>
      <c r="Y319" s="90" t="str">
        <f aca="false">IF(OR(O319="28 - Encerrado",O319="27 - Instalação concluída"),"OK",IF(AND(B319&lt;&gt;"",S319=""),"ATENÇÃO (Sem data de atualização)",IF(S319="","",IF(S319&gt;30,"CRÍTICO (Sem Atualização &gt;30 dias)",IF(S319&gt;15,"ATENÇÃO (Sem Atualização &gt;15 dias)",IF(X319&gt;90,"CRÍTICO (Aberto &gt;90 dias)","OK"))))))</f>
        <v/>
      </c>
      <c r="Z319" s="90" t="str">
        <f aca="false">IF(B319="","",IF(OR(O319="27 - Instalação concluída",O319="28 - Encerrado"),"OK",IF(NOT(ISNUMBER(X319)),"",IF(X319&gt;365,"MUITO ANTIGO (&gt;1 ano)",IF(X319&gt;180,"ANTIGO (&gt;6 meses)",IF(X319&gt;90,"ATENÇÃO ANTIG. (&gt;3 meses)","OK"))))))</f>
        <v/>
      </c>
      <c r="AA319" s="86"/>
      <c r="AB319" s="69" t="str">
        <f aca="false">IF(AND(B319&lt;&gt;"",OR(T319="Pendente de Vistoria",T319="Não validada")),MAX($AB$1:$AB$318)+1,"")</f>
        <v/>
      </c>
      <c r="AC319" s="69" t="str">
        <f aca="false">IF(AND(B319&lt;&gt;"",OR(ISNUMBER(SEARCH("CTIN",P319)),U319="Alta",O319="07 - Relatório recebido — unidade apta",O319="11 - Orçamentos em análise técnica",O319="22 - Instalação/substituição autorizada")),MAX($AC$1:$AC$318)+1,"")</f>
        <v/>
      </c>
      <c r="AD319" s="69" t="str">
        <f aca="false">IF(AND(B319&lt;&gt;"",OR(ISNUMBER(SEARCH("CTO",P319)),LEFT(O319,2)="22",LEFT(O319,2)="23",LEFT(O319,2)="24",LEFT(O319,2)="25",LEFT(O319,2)="26",LEFT(O319,2)="27")),MAX($AD$1:$AD$318)+1,"")</f>
        <v/>
      </c>
      <c r="AE319" s="69" t="str">
        <f aca="false">IF(AND(B319&lt;&gt;"",D319=CONSULTA_UNIDADE!$B$4),MAX($AE$1:$AE$318)+1,"")</f>
        <v/>
      </c>
      <c r="AF319" s="69" t="str">
        <f aca="false">IF(AND(B319&lt;&gt;"",O319&lt;&gt;"27 - Instalação concluída",O319&lt;&gt;"28 - Encerrado",ISNUMBER(S319)),S319*1000+(1000-ROW()),"")</f>
        <v/>
      </c>
      <c r="AG319" s="69" t="str">
        <f aca="false">IF(AF319="","",RANK(AF319,$AF$2:$AF$500))</f>
        <v/>
      </c>
    </row>
    <row r="320" customFormat="false" ht="16.5" hidden="false" customHeight="true" outlineLevel="0" collapsed="false">
      <c r="A320" s="86"/>
      <c r="B320" s="86"/>
      <c r="C320" s="87" t="str">
        <f aca="false">IF(D320="","",IFERROR(INDEX(CADASTRO_VIVO_3CRE!$B$2:$B$150,MATCH(D320,CADASTRO_VIVO_3CRE!$E$2:$E$150,0)),""))</f>
        <v/>
      </c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8"/>
      <c r="S320" s="89" t="str">
        <f aca="true">IF(R320="","",TODAY()-INT(R320))</f>
        <v/>
      </c>
      <c r="T320" s="86"/>
      <c r="U320" s="86"/>
      <c r="V320" s="86"/>
      <c r="W320" s="88"/>
      <c r="X320" s="89" t="str">
        <f aca="true">IF(W320="","",IF(OR(O320="28 - Encerrado",O320="27 - Instalação concluída"),"Concluído",TODAY()-INT(W320)))</f>
        <v/>
      </c>
      <c r="Y320" s="90" t="str">
        <f aca="false">IF(OR(O320="28 - Encerrado",O320="27 - Instalação concluída"),"OK",IF(AND(B320&lt;&gt;"",S320=""),"ATENÇÃO (Sem data de atualização)",IF(S320="","",IF(S320&gt;30,"CRÍTICO (Sem Atualização &gt;30 dias)",IF(S320&gt;15,"ATENÇÃO (Sem Atualização &gt;15 dias)",IF(X320&gt;90,"CRÍTICO (Aberto &gt;90 dias)","OK"))))))</f>
        <v/>
      </c>
      <c r="Z320" s="90" t="str">
        <f aca="false">IF(B320="","",IF(OR(O320="27 - Instalação concluída",O320="28 - Encerrado"),"OK",IF(NOT(ISNUMBER(X320)),"",IF(X320&gt;365,"MUITO ANTIGO (&gt;1 ano)",IF(X320&gt;180,"ANTIGO (&gt;6 meses)",IF(X320&gt;90,"ATENÇÃO ANTIG. (&gt;3 meses)","OK"))))))</f>
        <v/>
      </c>
      <c r="AA320" s="86"/>
      <c r="AB320" s="69" t="str">
        <f aca="false">IF(AND(B320&lt;&gt;"",OR(T320="Pendente de Vistoria",T320="Não validada")),MAX($AB$1:$AB$319)+1,"")</f>
        <v/>
      </c>
      <c r="AC320" s="69" t="str">
        <f aca="false">IF(AND(B320&lt;&gt;"",OR(ISNUMBER(SEARCH("CTIN",P320)),U320="Alta",O320="07 - Relatório recebido — unidade apta",O320="11 - Orçamentos em análise técnica",O320="22 - Instalação/substituição autorizada")),MAX($AC$1:$AC$319)+1,"")</f>
        <v/>
      </c>
      <c r="AD320" s="69" t="str">
        <f aca="false">IF(AND(B320&lt;&gt;"",OR(ISNUMBER(SEARCH("CTO",P320)),LEFT(O320,2)="22",LEFT(O320,2)="23",LEFT(O320,2)="24",LEFT(O320,2)="25",LEFT(O320,2)="26",LEFT(O320,2)="27")),MAX($AD$1:$AD$319)+1,"")</f>
        <v/>
      </c>
      <c r="AE320" s="69" t="str">
        <f aca="false">IF(AND(B320&lt;&gt;"",D320=CONSULTA_UNIDADE!$B$4),MAX($AE$1:$AE$319)+1,"")</f>
        <v/>
      </c>
      <c r="AF320" s="69" t="str">
        <f aca="false">IF(AND(B320&lt;&gt;"",O320&lt;&gt;"27 - Instalação concluída",O320&lt;&gt;"28 - Encerrado",ISNUMBER(S320)),S320*1000+(1000-ROW()),"")</f>
        <v/>
      </c>
      <c r="AG320" s="69" t="str">
        <f aca="false">IF(AF320="","",RANK(AF320,$AF$2:$AF$500))</f>
        <v/>
      </c>
    </row>
    <row r="321" customFormat="false" ht="16.5" hidden="false" customHeight="true" outlineLevel="0" collapsed="false">
      <c r="A321" s="86"/>
      <c r="B321" s="86"/>
      <c r="C321" s="87" t="str">
        <f aca="false">IF(D321="","",IFERROR(INDEX(CADASTRO_VIVO_3CRE!$B$2:$B$150,MATCH(D321,CADASTRO_VIVO_3CRE!$E$2:$E$150,0)),""))</f>
        <v/>
      </c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8"/>
      <c r="S321" s="89" t="str">
        <f aca="true">IF(R321="","",TODAY()-INT(R321))</f>
        <v/>
      </c>
      <c r="T321" s="86"/>
      <c r="U321" s="86"/>
      <c r="V321" s="86"/>
      <c r="W321" s="88"/>
      <c r="X321" s="89" t="str">
        <f aca="true">IF(W321="","",IF(OR(O321="28 - Encerrado",O321="27 - Instalação concluída"),"Concluído",TODAY()-INT(W321)))</f>
        <v/>
      </c>
      <c r="Y321" s="90" t="str">
        <f aca="false">IF(OR(O321="28 - Encerrado",O321="27 - Instalação concluída"),"OK",IF(AND(B321&lt;&gt;"",S321=""),"ATENÇÃO (Sem data de atualização)",IF(S321="","",IF(S321&gt;30,"CRÍTICO (Sem Atualização &gt;30 dias)",IF(S321&gt;15,"ATENÇÃO (Sem Atualização &gt;15 dias)",IF(X321&gt;90,"CRÍTICO (Aberto &gt;90 dias)","OK"))))))</f>
        <v/>
      </c>
      <c r="Z321" s="90" t="str">
        <f aca="false">IF(B321="","",IF(OR(O321="27 - Instalação concluída",O321="28 - Encerrado"),"OK",IF(NOT(ISNUMBER(X321)),"",IF(X321&gt;365,"MUITO ANTIGO (&gt;1 ano)",IF(X321&gt;180,"ANTIGO (&gt;6 meses)",IF(X321&gt;90,"ATENÇÃO ANTIG. (&gt;3 meses)","OK"))))))</f>
        <v/>
      </c>
      <c r="AA321" s="86"/>
      <c r="AB321" s="69" t="str">
        <f aca="false">IF(AND(B321&lt;&gt;"",OR(T321="Pendente de Vistoria",T321="Não validada")),MAX($AB$1:$AB$320)+1,"")</f>
        <v/>
      </c>
      <c r="AC321" s="69" t="str">
        <f aca="false">IF(AND(B321&lt;&gt;"",OR(ISNUMBER(SEARCH("CTIN",P321)),U321="Alta",O321="07 - Relatório recebido — unidade apta",O321="11 - Orçamentos em análise técnica",O321="22 - Instalação/substituição autorizada")),MAX($AC$1:$AC$320)+1,"")</f>
        <v/>
      </c>
      <c r="AD321" s="69" t="str">
        <f aca="false">IF(AND(B321&lt;&gt;"",OR(ISNUMBER(SEARCH("CTO",P321)),LEFT(O321,2)="22",LEFT(O321,2)="23",LEFT(O321,2)="24",LEFT(O321,2)="25",LEFT(O321,2)="26",LEFT(O321,2)="27")),MAX($AD$1:$AD$320)+1,"")</f>
        <v/>
      </c>
      <c r="AE321" s="69" t="str">
        <f aca="false">IF(AND(B321&lt;&gt;"",D321=CONSULTA_UNIDADE!$B$4),MAX($AE$1:$AE$320)+1,"")</f>
        <v/>
      </c>
      <c r="AF321" s="69" t="str">
        <f aca="false">IF(AND(B321&lt;&gt;"",O321&lt;&gt;"27 - Instalação concluída",O321&lt;&gt;"28 - Encerrado",ISNUMBER(S321)),S321*1000+(1000-ROW()),"")</f>
        <v/>
      </c>
      <c r="AG321" s="69" t="str">
        <f aca="false">IF(AF321="","",RANK(AF321,$AF$2:$AF$500))</f>
        <v/>
      </c>
    </row>
    <row r="322" customFormat="false" ht="16.5" hidden="false" customHeight="true" outlineLevel="0" collapsed="false">
      <c r="A322" s="86"/>
      <c r="B322" s="86"/>
      <c r="C322" s="87" t="str">
        <f aca="false">IF(D322="","",IFERROR(INDEX(CADASTRO_VIVO_3CRE!$B$2:$B$150,MATCH(D322,CADASTRO_VIVO_3CRE!$E$2:$E$150,0)),""))</f>
        <v/>
      </c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8"/>
      <c r="S322" s="89" t="str">
        <f aca="true">IF(R322="","",TODAY()-INT(R322))</f>
        <v/>
      </c>
      <c r="T322" s="86"/>
      <c r="U322" s="86"/>
      <c r="V322" s="86"/>
      <c r="W322" s="88"/>
      <c r="X322" s="89" t="str">
        <f aca="true">IF(W322="","",IF(OR(O322="28 - Encerrado",O322="27 - Instalação concluída"),"Concluído",TODAY()-INT(W322)))</f>
        <v/>
      </c>
      <c r="Y322" s="90" t="str">
        <f aca="false">IF(OR(O322="28 - Encerrado",O322="27 - Instalação concluída"),"OK",IF(AND(B322&lt;&gt;"",S322=""),"ATENÇÃO (Sem data de atualização)",IF(S322="","",IF(S322&gt;30,"CRÍTICO (Sem Atualização &gt;30 dias)",IF(S322&gt;15,"ATENÇÃO (Sem Atualização &gt;15 dias)",IF(X322&gt;90,"CRÍTICO (Aberto &gt;90 dias)","OK"))))))</f>
        <v/>
      </c>
      <c r="Z322" s="90" t="str">
        <f aca="false">IF(B322="","",IF(OR(O322="27 - Instalação concluída",O322="28 - Encerrado"),"OK",IF(NOT(ISNUMBER(X322)),"",IF(X322&gt;365,"MUITO ANTIGO (&gt;1 ano)",IF(X322&gt;180,"ANTIGO (&gt;6 meses)",IF(X322&gt;90,"ATENÇÃO ANTIG. (&gt;3 meses)","OK"))))))</f>
        <v/>
      </c>
      <c r="AA322" s="86"/>
      <c r="AB322" s="69" t="str">
        <f aca="false">IF(AND(B322&lt;&gt;"",OR(T322="Pendente de Vistoria",T322="Não validada")),MAX($AB$1:$AB$321)+1,"")</f>
        <v/>
      </c>
      <c r="AC322" s="69" t="str">
        <f aca="false">IF(AND(B322&lt;&gt;"",OR(ISNUMBER(SEARCH("CTIN",P322)),U322="Alta",O322="07 - Relatório recebido — unidade apta",O322="11 - Orçamentos em análise técnica",O322="22 - Instalação/substituição autorizada")),MAX($AC$1:$AC$321)+1,"")</f>
        <v/>
      </c>
      <c r="AD322" s="69" t="str">
        <f aca="false">IF(AND(B322&lt;&gt;"",OR(ISNUMBER(SEARCH("CTO",P322)),LEFT(O322,2)="22",LEFT(O322,2)="23",LEFT(O322,2)="24",LEFT(O322,2)="25",LEFT(O322,2)="26",LEFT(O322,2)="27")),MAX($AD$1:$AD$321)+1,"")</f>
        <v/>
      </c>
      <c r="AE322" s="69" t="str">
        <f aca="false">IF(AND(B322&lt;&gt;"",D322=CONSULTA_UNIDADE!$B$4),MAX($AE$1:$AE$321)+1,"")</f>
        <v/>
      </c>
      <c r="AF322" s="69" t="str">
        <f aca="false">IF(AND(B322&lt;&gt;"",O322&lt;&gt;"27 - Instalação concluída",O322&lt;&gt;"28 - Encerrado",ISNUMBER(S322)),S322*1000+(1000-ROW()),"")</f>
        <v/>
      </c>
      <c r="AG322" s="69" t="str">
        <f aca="false">IF(AF322="","",RANK(AF322,$AF$2:$AF$500))</f>
        <v/>
      </c>
    </row>
    <row r="323" customFormat="false" ht="16.5" hidden="false" customHeight="true" outlineLevel="0" collapsed="false">
      <c r="A323" s="86"/>
      <c r="B323" s="86"/>
      <c r="C323" s="87" t="str">
        <f aca="false">IF(D323="","",IFERROR(INDEX(CADASTRO_VIVO_3CRE!$B$2:$B$150,MATCH(D323,CADASTRO_VIVO_3CRE!$E$2:$E$150,0)),""))</f>
        <v/>
      </c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8"/>
      <c r="S323" s="89" t="str">
        <f aca="true">IF(R323="","",TODAY()-INT(R323))</f>
        <v/>
      </c>
      <c r="T323" s="86"/>
      <c r="U323" s="86"/>
      <c r="V323" s="86"/>
      <c r="W323" s="88"/>
      <c r="X323" s="89" t="str">
        <f aca="true">IF(W323="","",IF(OR(O323="28 - Encerrado",O323="27 - Instalação concluída"),"Concluído",TODAY()-INT(W323)))</f>
        <v/>
      </c>
      <c r="Y323" s="90" t="str">
        <f aca="false">IF(OR(O323="28 - Encerrado",O323="27 - Instalação concluída"),"OK",IF(AND(B323&lt;&gt;"",S323=""),"ATENÇÃO (Sem data de atualização)",IF(S323="","",IF(S323&gt;30,"CRÍTICO (Sem Atualização &gt;30 dias)",IF(S323&gt;15,"ATENÇÃO (Sem Atualização &gt;15 dias)",IF(X323&gt;90,"CRÍTICO (Aberto &gt;90 dias)","OK"))))))</f>
        <v/>
      </c>
      <c r="Z323" s="90" t="str">
        <f aca="false">IF(B323="","",IF(OR(O323="27 - Instalação concluída",O323="28 - Encerrado"),"OK",IF(NOT(ISNUMBER(X323)),"",IF(X323&gt;365,"MUITO ANTIGO (&gt;1 ano)",IF(X323&gt;180,"ANTIGO (&gt;6 meses)",IF(X323&gt;90,"ATENÇÃO ANTIG. (&gt;3 meses)","OK"))))))</f>
        <v/>
      </c>
      <c r="AA323" s="86"/>
      <c r="AB323" s="69" t="str">
        <f aca="false">IF(AND(B323&lt;&gt;"",OR(T323="Pendente de Vistoria",T323="Não validada")),MAX($AB$1:$AB$322)+1,"")</f>
        <v/>
      </c>
      <c r="AC323" s="69" t="str">
        <f aca="false">IF(AND(B323&lt;&gt;"",OR(ISNUMBER(SEARCH("CTIN",P323)),U323="Alta",O323="07 - Relatório recebido — unidade apta",O323="11 - Orçamentos em análise técnica",O323="22 - Instalação/substituição autorizada")),MAX($AC$1:$AC$322)+1,"")</f>
        <v/>
      </c>
      <c r="AD323" s="69" t="str">
        <f aca="false">IF(AND(B323&lt;&gt;"",OR(ISNUMBER(SEARCH("CTO",P323)),LEFT(O323,2)="22",LEFT(O323,2)="23",LEFT(O323,2)="24",LEFT(O323,2)="25",LEFT(O323,2)="26",LEFT(O323,2)="27")),MAX($AD$1:$AD$322)+1,"")</f>
        <v/>
      </c>
      <c r="AE323" s="69" t="str">
        <f aca="false">IF(AND(B323&lt;&gt;"",D323=CONSULTA_UNIDADE!$B$4),MAX($AE$1:$AE$322)+1,"")</f>
        <v/>
      </c>
      <c r="AF323" s="69" t="str">
        <f aca="false">IF(AND(B323&lt;&gt;"",O323&lt;&gt;"27 - Instalação concluída",O323&lt;&gt;"28 - Encerrado",ISNUMBER(S323)),S323*1000+(1000-ROW()),"")</f>
        <v/>
      </c>
      <c r="AG323" s="69" t="str">
        <f aca="false">IF(AF323="","",RANK(AF323,$AF$2:$AF$500))</f>
        <v/>
      </c>
    </row>
    <row r="324" customFormat="false" ht="16.5" hidden="false" customHeight="true" outlineLevel="0" collapsed="false">
      <c r="A324" s="86"/>
      <c r="B324" s="86"/>
      <c r="C324" s="87" t="str">
        <f aca="false">IF(D324="","",IFERROR(INDEX(CADASTRO_VIVO_3CRE!$B$2:$B$150,MATCH(D324,CADASTRO_VIVO_3CRE!$E$2:$E$150,0)),""))</f>
        <v/>
      </c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8"/>
      <c r="S324" s="89" t="str">
        <f aca="true">IF(R324="","",TODAY()-INT(R324))</f>
        <v/>
      </c>
      <c r="T324" s="86"/>
      <c r="U324" s="86"/>
      <c r="V324" s="86"/>
      <c r="W324" s="88"/>
      <c r="X324" s="89" t="str">
        <f aca="true">IF(W324="","",IF(OR(O324="28 - Encerrado",O324="27 - Instalação concluída"),"Concluído",TODAY()-INT(W324)))</f>
        <v/>
      </c>
      <c r="Y324" s="90" t="str">
        <f aca="false">IF(OR(O324="28 - Encerrado",O324="27 - Instalação concluída"),"OK",IF(AND(B324&lt;&gt;"",S324=""),"ATENÇÃO (Sem data de atualização)",IF(S324="","",IF(S324&gt;30,"CRÍTICO (Sem Atualização &gt;30 dias)",IF(S324&gt;15,"ATENÇÃO (Sem Atualização &gt;15 dias)",IF(X324&gt;90,"CRÍTICO (Aberto &gt;90 dias)","OK"))))))</f>
        <v/>
      </c>
      <c r="Z324" s="90" t="str">
        <f aca="false">IF(B324="","",IF(OR(O324="27 - Instalação concluída",O324="28 - Encerrado"),"OK",IF(NOT(ISNUMBER(X324)),"",IF(X324&gt;365,"MUITO ANTIGO (&gt;1 ano)",IF(X324&gt;180,"ANTIGO (&gt;6 meses)",IF(X324&gt;90,"ATENÇÃO ANTIG. (&gt;3 meses)","OK"))))))</f>
        <v/>
      </c>
      <c r="AA324" s="86"/>
      <c r="AB324" s="69" t="str">
        <f aca="false">IF(AND(B324&lt;&gt;"",OR(T324="Pendente de Vistoria",T324="Não validada")),MAX($AB$1:$AB$323)+1,"")</f>
        <v/>
      </c>
      <c r="AC324" s="69" t="str">
        <f aca="false">IF(AND(B324&lt;&gt;"",OR(ISNUMBER(SEARCH("CTIN",P324)),U324="Alta",O324="07 - Relatório recebido — unidade apta",O324="11 - Orçamentos em análise técnica",O324="22 - Instalação/substituição autorizada")),MAX($AC$1:$AC$323)+1,"")</f>
        <v/>
      </c>
      <c r="AD324" s="69" t="str">
        <f aca="false">IF(AND(B324&lt;&gt;"",OR(ISNUMBER(SEARCH("CTO",P324)),LEFT(O324,2)="22",LEFT(O324,2)="23",LEFT(O324,2)="24",LEFT(O324,2)="25",LEFT(O324,2)="26",LEFT(O324,2)="27")),MAX($AD$1:$AD$323)+1,"")</f>
        <v/>
      </c>
      <c r="AE324" s="69" t="str">
        <f aca="false">IF(AND(B324&lt;&gt;"",D324=CONSULTA_UNIDADE!$B$4),MAX($AE$1:$AE$323)+1,"")</f>
        <v/>
      </c>
      <c r="AF324" s="69" t="str">
        <f aca="false">IF(AND(B324&lt;&gt;"",O324&lt;&gt;"27 - Instalação concluída",O324&lt;&gt;"28 - Encerrado",ISNUMBER(S324)),S324*1000+(1000-ROW()),"")</f>
        <v/>
      </c>
      <c r="AG324" s="69" t="str">
        <f aca="false">IF(AF324="","",RANK(AF324,$AF$2:$AF$500))</f>
        <v/>
      </c>
    </row>
    <row r="325" customFormat="false" ht="16.5" hidden="false" customHeight="true" outlineLevel="0" collapsed="false">
      <c r="A325" s="86"/>
      <c r="B325" s="86"/>
      <c r="C325" s="87" t="str">
        <f aca="false">IF(D325="","",IFERROR(INDEX(CADASTRO_VIVO_3CRE!$B$2:$B$150,MATCH(D325,CADASTRO_VIVO_3CRE!$E$2:$E$150,0)),""))</f>
        <v/>
      </c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8"/>
      <c r="S325" s="89" t="str">
        <f aca="true">IF(R325="","",TODAY()-INT(R325))</f>
        <v/>
      </c>
      <c r="T325" s="86"/>
      <c r="U325" s="86"/>
      <c r="V325" s="86"/>
      <c r="W325" s="88"/>
      <c r="X325" s="89" t="str">
        <f aca="true">IF(W325="","",IF(OR(O325="28 - Encerrado",O325="27 - Instalação concluída"),"Concluído",TODAY()-INT(W325)))</f>
        <v/>
      </c>
      <c r="Y325" s="90" t="str">
        <f aca="false">IF(OR(O325="28 - Encerrado",O325="27 - Instalação concluída"),"OK",IF(AND(B325&lt;&gt;"",S325=""),"ATENÇÃO (Sem data de atualização)",IF(S325="","",IF(S325&gt;30,"CRÍTICO (Sem Atualização &gt;30 dias)",IF(S325&gt;15,"ATENÇÃO (Sem Atualização &gt;15 dias)",IF(X325&gt;90,"CRÍTICO (Aberto &gt;90 dias)","OK"))))))</f>
        <v/>
      </c>
      <c r="Z325" s="90" t="str">
        <f aca="false">IF(B325="","",IF(OR(O325="27 - Instalação concluída",O325="28 - Encerrado"),"OK",IF(NOT(ISNUMBER(X325)),"",IF(X325&gt;365,"MUITO ANTIGO (&gt;1 ano)",IF(X325&gt;180,"ANTIGO (&gt;6 meses)",IF(X325&gt;90,"ATENÇÃO ANTIG. (&gt;3 meses)","OK"))))))</f>
        <v/>
      </c>
      <c r="AA325" s="86"/>
      <c r="AB325" s="69" t="str">
        <f aca="false">IF(AND(B325&lt;&gt;"",OR(T325="Pendente de Vistoria",T325="Não validada")),MAX($AB$1:$AB$324)+1,"")</f>
        <v/>
      </c>
      <c r="AC325" s="69" t="str">
        <f aca="false">IF(AND(B325&lt;&gt;"",OR(ISNUMBER(SEARCH("CTIN",P325)),U325="Alta",O325="07 - Relatório recebido — unidade apta",O325="11 - Orçamentos em análise técnica",O325="22 - Instalação/substituição autorizada")),MAX($AC$1:$AC$324)+1,"")</f>
        <v/>
      </c>
      <c r="AD325" s="69" t="str">
        <f aca="false">IF(AND(B325&lt;&gt;"",OR(ISNUMBER(SEARCH("CTO",P325)),LEFT(O325,2)="22",LEFT(O325,2)="23",LEFT(O325,2)="24",LEFT(O325,2)="25",LEFT(O325,2)="26",LEFT(O325,2)="27")),MAX($AD$1:$AD$324)+1,"")</f>
        <v/>
      </c>
      <c r="AE325" s="69" t="str">
        <f aca="false">IF(AND(B325&lt;&gt;"",D325=CONSULTA_UNIDADE!$B$4),MAX($AE$1:$AE$324)+1,"")</f>
        <v/>
      </c>
      <c r="AF325" s="69" t="str">
        <f aca="false">IF(AND(B325&lt;&gt;"",O325&lt;&gt;"27 - Instalação concluída",O325&lt;&gt;"28 - Encerrado",ISNUMBER(S325)),S325*1000+(1000-ROW()),"")</f>
        <v/>
      </c>
      <c r="AG325" s="69" t="str">
        <f aca="false">IF(AF325="","",RANK(AF325,$AF$2:$AF$500))</f>
        <v/>
      </c>
    </row>
    <row r="326" customFormat="false" ht="16.5" hidden="false" customHeight="true" outlineLevel="0" collapsed="false">
      <c r="A326" s="86"/>
      <c r="B326" s="86"/>
      <c r="C326" s="87" t="str">
        <f aca="false">IF(D326="","",IFERROR(INDEX(CADASTRO_VIVO_3CRE!$B$2:$B$150,MATCH(D326,CADASTRO_VIVO_3CRE!$E$2:$E$150,0)),""))</f>
        <v/>
      </c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8"/>
      <c r="S326" s="89" t="str">
        <f aca="true">IF(R326="","",TODAY()-INT(R326))</f>
        <v/>
      </c>
      <c r="T326" s="86"/>
      <c r="U326" s="86"/>
      <c r="V326" s="86"/>
      <c r="W326" s="88"/>
      <c r="X326" s="89" t="str">
        <f aca="true">IF(W326="","",IF(OR(O326="28 - Encerrado",O326="27 - Instalação concluída"),"Concluído",TODAY()-INT(W326)))</f>
        <v/>
      </c>
      <c r="Y326" s="90" t="str">
        <f aca="false">IF(OR(O326="28 - Encerrado",O326="27 - Instalação concluída"),"OK",IF(AND(B326&lt;&gt;"",S326=""),"ATENÇÃO (Sem data de atualização)",IF(S326="","",IF(S326&gt;30,"CRÍTICO (Sem Atualização &gt;30 dias)",IF(S326&gt;15,"ATENÇÃO (Sem Atualização &gt;15 dias)",IF(X326&gt;90,"CRÍTICO (Aberto &gt;90 dias)","OK"))))))</f>
        <v/>
      </c>
      <c r="Z326" s="90" t="str">
        <f aca="false">IF(B326="","",IF(OR(O326="27 - Instalação concluída",O326="28 - Encerrado"),"OK",IF(NOT(ISNUMBER(X326)),"",IF(X326&gt;365,"MUITO ANTIGO (&gt;1 ano)",IF(X326&gt;180,"ANTIGO (&gt;6 meses)",IF(X326&gt;90,"ATENÇÃO ANTIG. (&gt;3 meses)","OK"))))))</f>
        <v/>
      </c>
      <c r="AA326" s="86"/>
      <c r="AB326" s="69" t="str">
        <f aca="false">IF(AND(B326&lt;&gt;"",OR(T326="Pendente de Vistoria",T326="Não validada")),MAX($AB$1:$AB$325)+1,"")</f>
        <v/>
      </c>
      <c r="AC326" s="69" t="str">
        <f aca="false">IF(AND(B326&lt;&gt;"",OR(ISNUMBER(SEARCH("CTIN",P326)),U326="Alta",O326="07 - Relatório recebido — unidade apta",O326="11 - Orçamentos em análise técnica",O326="22 - Instalação/substituição autorizada")),MAX($AC$1:$AC$325)+1,"")</f>
        <v/>
      </c>
      <c r="AD326" s="69" t="str">
        <f aca="false">IF(AND(B326&lt;&gt;"",OR(ISNUMBER(SEARCH("CTO",P326)),LEFT(O326,2)="22",LEFT(O326,2)="23",LEFT(O326,2)="24",LEFT(O326,2)="25",LEFT(O326,2)="26",LEFT(O326,2)="27")),MAX($AD$1:$AD$325)+1,"")</f>
        <v/>
      </c>
      <c r="AE326" s="69" t="str">
        <f aca="false">IF(AND(B326&lt;&gt;"",D326=CONSULTA_UNIDADE!$B$4),MAX($AE$1:$AE$325)+1,"")</f>
        <v/>
      </c>
      <c r="AF326" s="69" t="str">
        <f aca="false">IF(AND(B326&lt;&gt;"",O326&lt;&gt;"27 - Instalação concluída",O326&lt;&gt;"28 - Encerrado",ISNUMBER(S326)),S326*1000+(1000-ROW()),"")</f>
        <v/>
      </c>
      <c r="AG326" s="69" t="str">
        <f aca="false">IF(AF326="","",RANK(AF326,$AF$2:$AF$500))</f>
        <v/>
      </c>
    </row>
    <row r="327" customFormat="false" ht="16.5" hidden="false" customHeight="true" outlineLevel="0" collapsed="false">
      <c r="A327" s="86"/>
      <c r="B327" s="86"/>
      <c r="C327" s="87" t="str">
        <f aca="false">IF(D327="","",IFERROR(INDEX(CADASTRO_VIVO_3CRE!$B$2:$B$150,MATCH(D327,CADASTRO_VIVO_3CRE!$E$2:$E$150,0)),""))</f>
        <v/>
      </c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8"/>
      <c r="S327" s="89" t="str">
        <f aca="true">IF(R327="","",TODAY()-INT(R327))</f>
        <v/>
      </c>
      <c r="T327" s="86"/>
      <c r="U327" s="86"/>
      <c r="V327" s="86"/>
      <c r="W327" s="88"/>
      <c r="X327" s="89" t="str">
        <f aca="true">IF(W327="","",IF(OR(O327="28 - Encerrado",O327="27 - Instalação concluída"),"Concluído",TODAY()-INT(W327)))</f>
        <v/>
      </c>
      <c r="Y327" s="90" t="str">
        <f aca="false">IF(OR(O327="28 - Encerrado",O327="27 - Instalação concluída"),"OK",IF(AND(B327&lt;&gt;"",S327=""),"ATENÇÃO (Sem data de atualização)",IF(S327="","",IF(S327&gt;30,"CRÍTICO (Sem Atualização &gt;30 dias)",IF(S327&gt;15,"ATENÇÃO (Sem Atualização &gt;15 dias)",IF(X327&gt;90,"CRÍTICO (Aberto &gt;90 dias)","OK"))))))</f>
        <v/>
      </c>
      <c r="Z327" s="90" t="str">
        <f aca="false">IF(B327="","",IF(OR(O327="27 - Instalação concluída",O327="28 - Encerrado"),"OK",IF(NOT(ISNUMBER(X327)),"",IF(X327&gt;365,"MUITO ANTIGO (&gt;1 ano)",IF(X327&gt;180,"ANTIGO (&gt;6 meses)",IF(X327&gt;90,"ATENÇÃO ANTIG. (&gt;3 meses)","OK"))))))</f>
        <v/>
      </c>
      <c r="AA327" s="86"/>
      <c r="AB327" s="69" t="str">
        <f aca="false">IF(AND(B327&lt;&gt;"",OR(T327="Pendente de Vistoria",T327="Não validada")),MAX($AB$1:$AB$326)+1,"")</f>
        <v/>
      </c>
      <c r="AC327" s="69" t="str">
        <f aca="false">IF(AND(B327&lt;&gt;"",OR(ISNUMBER(SEARCH("CTIN",P327)),U327="Alta",O327="07 - Relatório recebido — unidade apta",O327="11 - Orçamentos em análise técnica",O327="22 - Instalação/substituição autorizada")),MAX($AC$1:$AC$326)+1,"")</f>
        <v/>
      </c>
      <c r="AD327" s="69" t="str">
        <f aca="false">IF(AND(B327&lt;&gt;"",OR(ISNUMBER(SEARCH("CTO",P327)),LEFT(O327,2)="22",LEFT(O327,2)="23",LEFT(O327,2)="24",LEFT(O327,2)="25",LEFT(O327,2)="26",LEFT(O327,2)="27")),MAX($AD$1:$AD$326)+1,"")</f>
        <v/>
      </c>
      <c r="AE327" s="69" t="str">
        <f aca="false">IF(AND(B327&lt;&gt;"",D327=CONSULTA_UNIDADE!$B$4),MAX($AE$1:$AE$326)+1,"")</f>
        <v/>
      </c>
      <c r="AF327" s="69" t="str">
        <f aca="false">IF(AND(B327&lt;&gt;"",O327&lt;&gt;"27 - Instalação concluída",O327&lt;&gt;"28 - Encerrado",ISNUMBER(S327)),S327*1000+(1000-ROW()),"")</f>
        <v/>
      </c>
      <c r="AG327" s="69" t="str">
        <f aca="false">IF(AF327="","",RANK(AF327,$AF$2:$AF$500))</f>
        <v/>
      </c>
    </row>
    <row r="328" customFormat="false" ht="16.5" hidden="false" customHeight="true" outlineLevel="0" collapsed="false">
      <c r="A328" s="86"/>
      <c r="B328" s="86"/>
      <c r="C328" s="87" t="str">
        <f aca="false">IF(D328="","",IFERROR(INDEX(CADASTRO_VIVO_3CRE!$B$2:$B$150,MATCH(D328,CADASTRO_VIVO_3CRE!$E$2:$E$150,0)),""))</f>
        <v/>
      </c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8"/>
      <c r="S328" s="89" t="str">
        <f aca="true">IF(R328="","",TODAY()-INT(R328))</f>
        <v/>
      </c>
      <c r="T328" s="86"/>
      <c r="U328" s="86"/>
      <c r="V328" s="86"/>
      <c r="W328" s="88"/>
      <c r="X328" s="89" t="str">
        <f aca="true">IF(W328="","",IF(OR(O328="28 - Encerrado",O328="27 - Instalação concluída"),"Concluído",TODAY()-INT(W328)))</f>
        <v/>
      </c>
      <c r="Y328" s="90" t="str">
        <f aca="false">IF(OR(O328="28 - Encerrado",O328="27 - Instalação concluída"),"OK",IF(AND(B328&lt;&gt;"",S328=""),"ATENÇÃO (Sem data de atualização)",IF(S328="","",IF(S328&gt;30,"CRÍTICO (Sem Atualização &gt;30 dias)",IF(S328&gt;15,"ATENÇÃO (Sem Atualização &gt;15 dias)",IF(X328&gt;90,"CRÍTICO (Aberto &gt;90 dias)","OK"))))))</f>
        <v/>
      </c>
      <c r="Z328" s="90" t="str">
        <f aca="false">IF(B328="","",IF(OR(O328="27 - Instalação concluída",O328="28 - Encerrado"),"OK",IF(NOT(ISNUMBER(X328)),"",IF(X328&gt;365,"MUITO ANTIGO (&gt;1 ano)",IF(X328&gt;180,"ANTIGO (&gt;6 meses)",IF(X328&gt;90,"ATENÇÃO ANTIG. (&gt;3 meses)","OK"))))))</f>
        <v/>
      </c>
      <c r="AA328" s="86"/>
      <c r="AB328" s="69" t="str">
        <f aca="false">IF(AND(B328&lt;&gt;"",OR(T328="Pendente de Vistoria",T328="Não validada")),MAX($AB$1:$AB$327)+1,"")</f>
        <v/>
      </c>
      <c r="AC328" s="69" t="str">
        <f aca="false">IF(AND(B328&lt;&gt;"",OR(ISNUMBER(SEARCH("CTIN",P328)),U328="Alta",O328="07 - Relatório recebido — unidade apta",O328="11 - Orçamentos em análise técnica",O328="22 - Instalação/substituição autorizada")),MAX($AC$1:$AC$327)+1,"")</f>
        <v/>
      </c>
      <c r="AD328" s="69" t="str">
        <f aca="false">IF(AND(B328&lt;&gt;"",OR(ISNUMBER(SEARCH("CTO",P328)),LEFT(O328,2)="22",LEFT(O328,2)="23",LEFT(O328,2)="24",LEFT(O328,2)="25",LEFT(O328,2)="26",LEFT(O328,2)="27")),MAX($AD$1:$AD$327)+1,"")</f>
        <v/>
      </c>
      <c r="AE328" s="69" t="str">
        <f aca="false">IF(AND(B328&lt;&gt;"",D328=CONSULTA_UNIDADE!$B$4),MAX($AE$1:$AE$327)+1,"")</f>
        <v/>
      </c>
      <c r="AF328" s="69" t="str">
        <f aca="false">IF(AND(B328&lt;&gt;"",O328&lt;&gt;"27 - Instalação concluída",O328&lt;&gt;"28 - Encerrado",ISNUMBER(S328)),S328*1000+(1000-ROW()),"")</f>
        <v/>
      </c>
      <c r="AG328" s="69" t="str">
        <f aca="false">IF(AF328="","",RANK(AF328,$AF$2:$AF$500))</f>
        <v/>
      </c>
    </row>
    <row r="329" customFormat="false" ht="16.5" hidden="false" customHeight="true" outlineLevel="0" collapsed="false">
      <c r="A329" s="86"/>
      <c r="B329" s="86"/>
      <c r="C329" s="87" t="str">
        <f aca="false">IF(D329="","",IFERROR(INDEX(CADASTRO_VIVO_3CRE!$B$2:$B$150,MATCH(D329,CADASTRO_VIVO_3CRE!$E$2:$E$150,0)),""))</f>
        <v/>
      </c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8"/>
      <c r="S329" s="89" t="str">
        <f aca="true">IF(R329="","",TODAY()-INT(R329))</f>
        <v/>
      </c>
      <c r="T329" s="86"/>
      <c r="U329" s="86"/>
      <c r="V329" s="86"/>
      <c r="W329" s="88"/>
      <c r="X329" s="89" t="str">
        <f aca="true">IF(W329="","",IF(OR(O329="28 - Encerrado",O329="27 - Instalação concluída"),"Concluído",TODAY()-INT(W329)))</f>
        <v/>
      </c>
      <c r="Y329" s="90" t="str">
        <f aca="false">IF(OR(O329="28 - Encerrado",O329="27 - Instalação concluída"),"OK",IF(AND(B329&lt;&gt;"",S329=""),"ATENÇÃO (Sem data de atualização)",IF(S329="","",IF(S329&gt;30,"CRÍTICO (Sem Atualização &gt;30 dias)",IF(S329&gt;15,"ATENÇÃO (Sem Atualização &gt;15 dias)",IF(X329&gt;90,"CRÍTICO (Aberto &gt;90 dias)","OK"))))))</f>
        <v/>
      </c>
      <c r="Z329" s="90" t="str">
        <f aca="false">IF(B329="","",IF(OR(O329="27 - Instalação concluída",O329="28 - Encerrado"),"OK",IF(NOT(ISNUMBER(X329)),"",IF(X329&gt;365,"MUITO ANTIGO (&gt;1 ano)",IF(X329&gt;180,"ANTIGO (&gt;6 meses)",IF(X329&gt;90,"ATENÇÃO ANTIG. (&gt;3 meses)","OK"))))))</f>
        <v/>
      </c>
      <c r="AA329" s="86"/>
      <c r="AB329" s="69" t="str">
        <f aca="false">IF(AND(B329&lt;&gt;"",OR(T329="Pendente de Vistoria",T329="Não validada")),MAX($AB$1:$AB$328)+1,"")</f>
        <v/>
      </c>
      <c r="AC329" s="69" t="str">
        <f aca="false">IF(AND(B329&lt;&gt;"",OR(ISNUMBER(SEARCH("CTIN",P329)),U329="Alta",O329="07 - Relatório recebido — unidade apta",O329="11 - Orçamentos em análise técnica",O329="22 - Instalação/substituição autorizada")),MAX($AC$1:$AC$328)+1,"")</f>
        <v/>
      </c>
      <c r="AD329" s="69" t="str">
        <f aca="false">IF(AND(B329&lt;&gt;"",OR(ISNUMBER(SEARCH("CTO",P329)),LEFT(O329,2)="22",LEFT(O329,2)="23",LEFT(O329,2)="24",LEFT(O329,2)="25",LEFT(O329,2)="26",LEFT(O329,2)="27")),MAX($AD$1:$AD$328)+1,"")</f>
        <v/>
      </c>
      <c r="AE329" s="69" t="str">
        <f aca="false">IF(AND(B329&lt;&gt;"",D329=CONSULTA_UNIDADE!$B$4),MAX($AE$1:$AE$328)+1,"")</f>
        <v/>
      </c>
      <c r="AF329" s="69" t="str">
        <f aca="false">IF(AND(B329&lt;&gt;"",O329&lt;&gt;"27 - Instalação concluída",O329&lt;&gt;"28 - Encerrado",ISNUMBER(S329)),S329*1000+(1000-ROW()),"")</f>
        <v/>
      </c>
      <c r="AG329" s="69" t="str">
        <f aca="false">IF(AF329="","",RANK(AF329,$AF$2:$AF$500))</f>
        <v/>
      </c>
    </row>
    <row r="330" customFormat="false" ht="16.5" hidden="false" customHeight="true" outlineLevel="0" collapsed="false">
      <c r="A330" s="86"/>
      <c r="B330" s="86"/>
      <c r="C330" s="87" t="str">
        <f aca="false">IF(D330="","",IFERROR(INDEX(CADASTRO_VIVO_3CRE!$B$2:$B$150,MATCH(D330,CADASTRO_VIVO_3CRE!$E$2:$E$150,0)),""))</f>
        <v/>
      </c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8"/>
      <c r="S330" s="89" t="str">
        <f aca="true">IF(R330="","",TODAY()-INT(R330))</f>
        <v/>
      </c>
      <c r="T330" s="86"/>
      <c r="U330" s="86"/>
      <c r="V330" s="86"/>
      <c r="W330" s="88"/>
      <c r="X330" s="89" t="str">
        <f aca="true">IF(W330="","",IF(OR(O330="28 - Encerrado",O330="27 - Instalação concluída"),"Concluído",TODAY()-INT(W330)))</f>
        <v/>
      </c>
      <c r="Y330" s="90" t="str">
        <f aca="false">IF(OR(O330="28 - Encerrado",O330="27 - Instalação concluída"),"OK",IF(AND(B330&lt;&gt;"",S330=""),"ATENÇÃO (Sem data de atualização)",IF(S330="","",IF(S330&gt;30,"CRÍTICO (Sem Atualização &gt;30 dias)",IF(S330&gt;15,"ATENÇÃO (Sem Atualização &gt;15 dias)",IF(X330&gt;90,"CRÍTICO (Aberto &gt;90 dias)","OK"))))))</f>
        <v/>
      </c>
      <c r="Z330" s="90" t="str">
        <f aca="false">IF(B330="","",IF(OR(O330="27 - Instalação concluída",O330="28 - Encerrado"),"OK",IF(NOT(ISNUMBER(X330)),"",IF(X330&gt;365,"MUITO ANTIGO (&gt;1 ano)",IF(X330&gt;180,"ANTIGO (&gt;6 meses)",IF(X330&gt;90,"ATENÇÃO ANTIG. (&gt;3 meses)","OK"))))))</f>
        <v/>
      </c>
      <c r="AA330" s="86"/>
      <c r="AB330" s="69" t="str">
        <f aca="false">IF(AND(B330&lt;&gt;"",OR(T330="Pendente de Vistoria",T330="Não validada")),MAX($AB$1:$AB$329)+1,"")</f>
        <v/>
      </c>
      <c r="AC330" s="69" t="str">
        <f aca="false">IF(AND(B330&lt;&gt;"",OR(ISNUMBER(SEARCH("CTIN",P330)),U330="Alta",O330="07 - Relatório recebido — unidade apta",O330="11 - Orçamentos em análise técnica",O330="22 - Instalação/substituição autorizada")),MAX($AC$1:$AC$329)+1,"")</f>
        <v/>
      </c>
      <c r="AD330" s="69" t="str">
        <f aca="false">IF(AND(B330&lt;&gt;"",OR(ISNUMBER(SEARCH("CTO",P330)),LEFT(O330,2)="22",LEFT(O330,2)="23",LEFT(O330,2)="24",LEFT(O330,2)="25",LEFT(O330,2)="26",LEFT(O330,2)="27")),MAX($AD$1:$AD$329)+1,"")</f>
        <v/>
      </c>
      <c r="AE330" s="69" t="str">
        <f aca="false">IF(AND(B330&lt;&gt;"",D330=CONSULTA_UNIDADE!$B$4),MAX($AE$1:$AE$329)+1,"")</f>
        <v/>
      </c>
      <c r="AF330" s="69" t="str">
        <f aca="false">IF(AND(B330&lt;&gt;"",O330&lt;&gt;"27 - Instalação concluída",O330&lt;&gt;"28 - Encerrado",ISNUMBER(S330)),S330*1000+(1000-ROW()),"")</f>
        <v/>
      </c>
      <c r="AG330" s="69" t="str">
        <f aca="false">IF(AF330="","",RANK(AF330,$AF$2:$AF$500))</f>
        <v/>
      </c>
    </row>
    <row r="331" customFormat="false" ht="16.5" hidden="false" customHeight="true" outlineLevel="0" collapsed="false">
      <c r="A331" s="86"/>
      <c r="B331" s="86"/>
      <c r="C331" s="87" t="str">
        <f aca="false">IF(D331="","",IFERROR(INDEX(CADASTRO_VIVO_3CRE!$B$2:$B$150,MATCH(D331,CADASTRO_VIVO_3CRE!$E$2:$E$150,0)),""))</f>
        <v/>
      </c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8"/>
      <c r="S331" s="89" t="str">
        <f aca="true">IF(R331="","",TODAY()-INT(R331))</f>
        <v/>
      </c>
      <c r="T331" s="86"/>
      <c r="U331" s="86"/>
      <c r="V331" s="86"/>
      <c r="W331" s="88"/>
      <c r="X331" s="89" t="str">
        <f aca="true">IF(W331="","",IF(OR(O331="28 - Encerrado",O331="27 - Instalação concluída"),"Concluído",TODAY()-INT(W331)))</f>
        <v/>
      </c>
      <c r="Y331" s="90" t="str">
        <f aca="false">IF(OR(O331="28 - Encerrado",O331="27 - Instalação concluída"),"OK",IF(AND(B331&lt;&gt;"",S331=""),"ATENÇÃO (Sem data de atualização)",IF(S331="","",IF(S331&gt;30,"CRÍTICO (Sem Atualização &gt;30 dias)",IF(S331&gt;15,"ATENÇÃO (Sem Atualização &gt;15 dias)",IF(X331&gt;90,"CRÍTICO (Aberto &gt;90 dias)","OK"))))))</f>
        <v/>
      </c>
      <c r="Z331" s="90" t="str">
        <f aca="false">IF(B331="","",IF(OR(O331="27 - Instalação concluída",O331="28 - Encerrado"),"OK",IF(NOT(ISNUMBER(X331)),"",IF(X331&gt;365,"MUITO ANTIGO (&gt;1 ano)",IF(X331&gt;180,"ANTIGO (&gt;6 meses)",IF(X331&gt;90,"ATENÇÃO ANTIG. (&gt;3 meses)","OK"))))))</f>
        <v/>
      </c>
      <c r="AA331" s="86"/>
      <c r="AB331" s="69" t="str">
        <f aca="false">IF(AND(B331&lt;&gt;"",OR(T331="Pendente de Vistoria",T331="Não validada")),MAX($AB$1:$AB$330)+1,"")</f>
        <v/>
      </c>
      <c r="AC331" s="69" t="str">
        <f aca="false">IF(AND(B331&lt;&gt;"",OR(ISNUMBER(SEARCH("CTIN",P331)),U331="Alta",O331="07 - Relatório recebido — unidade apta",O331="11 - Orçamentos em análise técnica",O331="22 - Instalação/substituição autorizada")),MAX($AC$1:$AC$330)+1,"")</f>
        <v/>
      </c>
      <c r="AD331" s="69" t="str">
        <f aca="false">IF(AND(B331&lt;&gt;"",OR(ISNUMBER(SEARCH("CTO",P331)),LEFT(O331,2)="22",LEFT(O331,2)="23",LEFT(O331,2)="24",LEFT(O331,2)="25",LEFT(O331,2)="26",LEFT(O331,2)="27")),MAX($AD$1:$AD$330)+1,"")</f>
        <v/>
      </c>
      <c r="AE331" s="69" t="str">
        <f aca="false">IF(AND(B331&lt;&gt;"",D331=CONSULTA_UNIDADE!$B$4),MAX($AE$1:$AE$330)+1,"")</f>
        <v/>
      </c>
      <c r="AF331" s="69" t="str">
        <f aca="false">IF(AND(B331&lt;&gt;"",O331&lt;&gt;"27 - Instalação concluída",O331&lt;&gt;"28 - Encerrado",ISNUMBER(S331)),S331*1000+(1000-ROW()),"")</f>
        <v/>
      </c>
      <c r="AG331" s="69" t="str">
        <f aca="false">IF(AF331="","",RANK(AF331,$AF$2:$AF$500))</f>
        <v/>
      </c>
    </row>
    <row r="332" customFormat="false" ht="16.5" hidden="false" customHeight="true" outlineLevel="0" collapsed="false">
      <c r="A332" s="86"/>
      <c r="B332" s="86"/>
      <c r="C332" s="87" t="str">
        <f aca="false">IF(D332="","",IFERROR(INDEX(CADASTRO_VIVO_3CRE!$B$2:$B$150,MATCH(D332,CADASTRO_VIVO_3CRE!$E$2:$E$150,0)),""))</f>
        <v/>
      </c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8"/>
      <c r="S332" s="89" t="str">
        <f aca="true">IF(R332="","",TODAY()-INT(R332))</f>
        <v/>
      </c>
      <c r="T332" s="86"/>
      <c r="U332" s="86"/>
      <c r="V332" s="86"/>
      <c r="W332" s="88"/>
      <c r="X332" s="89" t="str">
        <f aca="true">IF(W332="","",IF(OR(O332="28 - Encerrado",O332="27 - Instalação concluída"),"Concluído",TODAY()-INT(W332)))</f>
        <v/>
      </c>
      <c r="Y332" s="90" t="str">
        <f aca="false">IF(OR(O332="28 - Encerrado",O332="27 - Instalação concluída"),"OK",IF(AND(B332&lt;&gt;"",S332=""),"ATENÇÃO (Sem data de atualização)",IF(S332="","",IF(S332&gt;30,"CRÍTICO (Sem Atualização &gt;30 dias)",IF(S332&gt;15,"ATENÇÃO (Sem Atualização &gt;15 dias)",IF(X332&gt;90,"CRÍTICO (Aberto &gt;90 dias)","OK"))))))</f>
        <v/>
      </c>
      <c r="Z332" s="90" t="str">
        <f aca="false">IF(B332="","",IF(OR(O332="27 - Instalação concluída",O332="28 - Encerrado"),"OK",IF(NOT(ISNUMBER(X332)),"",IF(X332&gt;365,"MUITO ANTIGO (&gt;1 ano)",IF(X332&gt;180,"ANTIGO (&gt;6 meses)",IF(X332&gt;90,"ATENÇÃO ANTIG. (&gt;3 meses)","OK"))))))</f>
        <v/>
      </c>
      <c r="AA332" s="86"/>
      <c r="AB332" s="69" t="str">
        <f aca="false">IF(AND(B332&lt;&gt;"",OR(T332="Pendente de Vistoria",T332="Não validada")),MAX($AB$1:$AB$331)+1,"")</f>
        <v/>
      </c>
      <c r="AC332" s="69" t="str">
        <f aca="false">IF(AND(B332&lt;&gt;"",OR(ISNUMBER(SEARCH("CTIN",P332)),U332="Alta",O332="07 - Relatório recebido — unidade apta",O332="11 - Orçamentos em análise técnica",O332="22 - Instalação/substituição autorizada")),MAX($AC$1:$AC$331)+1,"")</f>
        <v/>
      </c>
      <c r="AD332" s="69" t="str">
        <f aca="false">IF(AND(B332&lt;&gt;"",OR(ISNUMBER(SEARCH("CTO",P332)),LEFT(O332,2)="22",LEFT(O332,2)="23",LEFT(O332,2)="24",LEFT(O332,2)="25",LEFT(O332,2)="26",LEFT(O332,2)="27")),MAX($AD$1:$AD$331)+1,"")</f>
        <v/>
      </c>
      <c r="AE332" s="69" t="str">
        <f aca="false">IF(AND(B332&lt;&gt;"",D332=CONSULTA_UNIDADE!$B$4),MAX($AE$1:$AE$331)+1,"")</f>
        <v/>
      </c>
      <c r="AF332" s="69" t="str">
        <f aca="false">IF(AND(B332&lt;&gt;"",O332&lt;&gt;"27 - Instalação concluída",O332&lt;&gt;"28 - Encerrado",ISNUMBER(S332)),S332*1000+(1000-ROW()),"")</f>
        <v/>
      </c>
      <c r="AG332" s="69" t="str">
        <f aca="false">IF(AF332="","",RANK(AF332,$AF$2:$AF$500))</f>
        <v/>
      </c>
    </row>
    <row r="333" customFormat="false" ht="16.5" hidden="false" customHeight="true" outlineLevel="0" collapsed="false">
      <c r="A333" s="86"/>
      <c r="B333" s="86"/>
      <c r="C333" s="87" t="str">
        <f aca="false">IF(D333="","",IFERROR(INDEX(CADASTRO_VIVO_3CRE!$B$2:$B$150,MATCH(D333,CADASTRO_VIVO_3CRE!$E$2:$E$150,0)),""))</f>
        <v/>
      </c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8"/>
      <c r="S333" s="89" t="str">
        <f aca="true">IF(R333="","",TODAY()-INT(R333))</f>
        <v/>
      </c>
      <c r="T333" s="86"/>
      <c r="U333" s="86"/>
      <c r="V333" s="86"/>
      <c r="W333" s="88"/>
      <c r="X333" s="89" t="str">
        <f aca="true">IF(W333="","",IF(OR(O333="28 - Encerrado",O333="27 - Instalação concluída"),"Concluído",TODAY()-INT(W333)))</f>
        <v/>
      </c>
      <c r="Y333" s="90" t="str">
        <f aca="false">IF(OR(O333="28 - Encerrado",O333="27 - Instalação concluída"),"OK",IF(AND(B333&lt;&gt;"",S333=""),"ATENÇÃO (Sem data de atualização)",IF(S333="","",IF(S333&gt;30,"CRÍTICO (Sem Atualização &gt;30 dias)",IF(S333&gt;15,"ATENÇÃO (Sem Atualização &gt;15 dias)",IF(X333&gt;90,"CRÍTICO (Aberto &gt;90 dias)","OK"))))))</f>
        <v/>
      </c>
      <c r="Z333" s="90" t="str">
        <f aca="false">IF(B333="","",IF(OR(O333="27 - Instalação concluída",O333="28 - Encerrado"),"OK",IF(NOT(ISNUMBER(X333)),"",IF(X333&gt;365,"MUITO ANTIGO (&gt;1 ano)",IF(X333&gt;180,"ANTIGO (&gt;6 meses)",IF(X333&gt;90,"ATENÇÃO ANTIG. (&gt;3 meses)","OK"))))))</f>
        <v/>
      </c>
      <c r="AA333" s="86"/>
      <c r="AB333" s="69" t="str">
        <f aca="false">IF(AND(B333&lt;&gt;"",OR(T333="Pendente de Vistoria",T333="Não validada")),MAX($AB$1:$AB$332)+1,"")</f>
        <v/>
      </c>
      <c r="AC333" s="69" t="str">
        <f aca="false">IF(AND(B333&lt;&gt;"",OR(ISNUMBER(SEARCH("CTIN",P333)),U333="Alta",O333="07 - Relatório recebido — unidade apta",O333="11 - Orçamentos em análise técnica",O333="22 - Instalação/substituição autorizada")),MAX($AC$1:$AC$332)+1,"")</f>
        <v/>
      </c>
      <c r="AD333" s="69" t="str">
        <f aca="false">IF(AND(B333&lt;&gt;"",OR(ISNUMBER(SEARCH("CTO",P333)),LEFT(O333,2)="22",LEFT(O333,2)="23",LEFT(O333,2)="24",LEFT(O333,2)="25",LEFT(O333,2)="26",LEFT(O333,2)="27")),MAX($AD$1:$AD$332)+1,"")</f>
        <v/>
      </c>
      <c r="AE333" s="69" t="str">
        <f aca="false">IF(AND(B333&lt;&gt;"",D333=CONSULTA_UNIDADE!$B$4),MAX($AE$1:$AE$332)+1,"")</f>
        <v/>
      </c>
      <c r="AF333" s="69" t="str">
        <f aca="false">IF(AND(B333&lt;&gt;"",O333&lt;&gt;"27 - Instalação concluída",O333&lt;&gt;"28 - Encerrado",ISNUMBER(S333)),S333*1000+(1000-ROW()),"")</f>
        <v/>
      </c>
      <c r="AG333" s="69" t="str">
        <f aca="false">IF(AF333="","",RANK(AF333,$AF$2:$AF$500))</f>
        <v/>
      </c>
    </row>
    <row r="334" customFormat="false" ht="16.5" hidden="false" customHeight="true" outlineLevel="0" collapsed="false">
      <c r="A334" s="86"/>
      <c r="B334" s="86"/>
      <c r="C334" s="87" t="str">
        <f aca="false">IF(D334="","",IFERROR(INDEX(CADASTRO_VIVO_3CRE!$B$2:$B$150,MATCH(D334,CADASTRO_VIVO_3CRE!$E$2:$E$150,0)),""))</f>
        <v/>
      </c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8"/>
      <c r="S334" s="89" t="str">
        <f aca="true">IF(R334="","",TODAY()-INT(R334))</f>
        <v/>
      </c>
      <c r="T334" s="86"/>
      <c r="U334" s="86"/>
      <c r="V334" s="86"/>
      <c r="W334" s="88"/>
      <c r="X334" s="89" t="str">
        <f aca="true">IF(W334="","",IF(OR(O334="28 - Encerrado",O334="27 - Instalação concluída"),"Concluído",TODAY()-INT(W334)))</f>
        <v/>
      </c>
      <c r="Y334" s="90" t="str">
        <f aca="false">IF(OR(O334="28 - Encerrado",O334="27 - Instalação concluída"),"OK",IF(AND(B334&lt;&gt;"",S334=""),"ATENÇÃO (Sem data de atualização)",IF(S334="","",IF(S334&gt;30,"CRÍTICO (Sem Atualização &gt;30 dias)",IF(S334&gt;15,"ATENÇÃO (Sem Atualização &gt;15 dias)",IF(X334&gt;90,"CRÍTICO (Aberto &gt;90 dias)","OK"))))))</f>
        <v/>
      </c>
      <c r="Z334" s="90" t="str">
        <f aca="false">IF(B334="","",IF(OR(O334="27 - Instalação concluída",O334="28 - Encerrado"),"OK",IF(NOT(ISNUMBER(X334)),"",IF(X334&gt;365,"MUITO ANTIGO (&gt;1 ano)",IF(X334&gt;180,"ANTIGO (&gt;6 meses)",IF(X334&gt;90,"ATENÇÃO ANTIG. (&gt;3 meses)","OK"))))))</f>
        <v/>
      </c>
      <c r="AA334" s="86"/>
      <c r="AB334" s="69" t="str">
        <f aca="false">IF(AND(B334&lt;&gt;"",OR(T334="Pendente de Vistoria",T334="Não validada")),MAX($AB$1:$AB$333)+1,"")</f>
        <v/>
      </c>
      <c r="AC334" s="69" t="str">
        <f aca="false">IF(AND(B334&lt;&gt;"",OR(ISNUMBER(SEARCH("CTIN",P334)),U334="Alta",O334="07 - Relatório recebido — unidade apta",O334="11 - Orçamentos em análise técnica",O334="22 - Instalação/substituição autorizada")),MAX($AC$1:$AC$333)+1,"")</f>
        <v/>
      </c>
      <c r="AD334" s="69" t="str">
        <f aca="false">IF(AND(B334&lt;&gt;"",OR(ISNUMBER(SEARCH("CTO",P334)),LEFT(O334,2)="22",LEFT(O334,2)="23",LEFT(O334,2)="24",LEFT(O334,2)="25",LEFT(O334,2)="26",LEFT(O334,2)="27")),MAX($AD$1:$AD$333)+1,"")</f>
        <v/>
      </c>
      <c r="AE334" s="69" t="str">
        <f aca="false">IF(AND(B334&lt;&gt;"",D334=CONSULTA_UNIDADE!$B$4),MAX($AE$1:$AE$333)+1,"")</f>
        <v/>
      </c>
      <c r="AF334" s="69" t="str">
        <f aca="false">IF(AND(B334&lt;&gt;"",O334&lt;&gt;"27 - Instalação concluída",O334&lt;&gt;"28 - Encerrado",ISNUMBER(S334)),S334*1000+(1000-ROW()),"")</f>
        <v/>
      </c>
      <c r="AG334" s="69" t="str">
        <f aca="false">IF(AF334="","",RANK(AF334,$AF$2:$AF$500))</f>
        <v/>
      </c>
    </row>
    <row r="335" customFormat="false" ht="16.5" hidden="false" customHeight="true" outlineLevel="0" collapsed="false">
      <c r="A335" s="86"/>
      <c r="B335" s="86"/>
      <c r="C335" s="87" t="str">
        <f aca="false">IF(D335="","",IFERROR(INDEX(CADASTRO_VIVO_3CRE!$B$2:$B$150,MATCH(D335,CADASTRO_VIVO_3CRE!$E$2:$E$150,0)),""))</f>
        <v/>
      </c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8"/>
      <c r="S335" s="89" t="str">
        <f aca="true">IF(R335="","",TODAY()-INT(R335))</f>
        <v/>
      </c>
      <c r="T335" s="86"/>
      <c r="U335" s="86"/>
      <c r="V335" s="86"/>
      <c r="W335" s="88"/>
      <c r="X335" s="89" t="str">
        <f aca="true">IF(W335="","",IF(OR(O335="28 - Encerrado",O335="27 - Instalação concluída"),"Concluído",TODAY()-INT(W335)))</f>
        <v/>
      </c>
      <c r="Y335" s="90" t="str">
        <f aca="false">IF(OR(O335="28 - Encerrado",O335="27 - Instalação concluída"),"OK",IF(AND(B335&lt;&gt;"",S335=""),"ATENÇÃO (Sem data de atualização)",IF(S335="","",IF(S335&gt;30,"CRÍTICO (Sem Atualização &gt;30 dias)",IF(S335&gt;15,"ATENÇÃO (Sem Atualização &gt;15 dias)",IF(X335&gt;90,"CRÍTICO (Aberto &gt;90 dias)","OK"))))))</f>
        <v/>
      </c>
      <c r="Z335" s="90" t="str">
        <f aca="false">IF(B335="","",IF(OR(O335="27 - Instalação concluída",O335="28 - Encerrado"),"OK",IF(NOT(ISNUMBER(X335)),"",IF(X335&gt;365,"MUITO ANTIGO (&gt;1 ano)",IF(X335&gt;180,"ANTIGO (&gt;6 meses)",IF(X335&gt;90,"ATENÇÃO ANTIG. (&gt;3 meses)","OK"))))))</f>
        <v/>
      </c>
      <c r="AA335" s="86"/>
      <c r="AB335" s="69" t="str">
        <f aca="false">IF(AND(B335&lt;&gt;"",OR(T335="Pendente de Vistoria",T335="Não validada")),MAX($AB$1:$AB$334)+1,"")</f>
        <v/>
      </c>
      <c r="AC335" s="69" t="str">
        <f aca="false">IF(AND(B335&lt;&gt;"",OR(ISNUMBER(SEARCH("CTIN",P335)),U335="Alta",O335="07 - Relatório recebido — unidade apta",O335="11 - Orçamentos em análise técnica",O335="22 - Instalação/substituição autorizada")),MAX($AC$1:$AC$334)+1,"")</f>
        <v/>
      </c>
      <c r="AD335" s="69" t="str">
        <f aca="false">IF(AND(B335&lt;&gt;"",OR(ISNUMBER(SEARCH("CTO",P335)),LEFT(O335,2)="22",LEFT(O335,2)="23",LEFT(O335,2)="24",LEFT(O335,2)="25",LEFT(O335,2)="26",LEFT(O335,2)="27")),MAX($AD$1:$AD$334)+1,"")</f>
        <v/>
      </c>
      <c r="AE335" s="69" t="str">
        <f aca="false">IF(AND(B335&lt;&gt;"",D335=CONSULTA_UNIDADE!$B$4),MAX($AE$1:$AE$334)+1,"")</f>
        <v/>
      </c>
      <c r="AF335" s="69" t="str">
        <f aca="false">IF(AND(B335&lt;&gt;"",O335&lt;&gt;"27 - Instalação concluída",O335&lt;&gt;"28 - Encerrado",ISNUMBER(S335)),S335*1000+(1000-ROW()),"")</f>
        <v/>
      </c>
      <c r="AG335" s="69" t="str">
        <f aca="false">IF(AF335="","",RANK(AF335,$AF$2:$AF$500))</f>
        <v/>
      </c>
    </row>
    <row r="336" customFormat="false" ht="16.5" hidden="false" customHeight="true" outlineLevel="0" collapsed="false">
      <c r="A336" s="86"/>
      <c r="B336" s="86"/>
      <c r="C336" s="87" t="str">
        <f aca="false">IF(D336="","",IFERROR(INDEX(CADASTRO_VIVO_3CRE!$B$2:$B$150,MATCH(D336,CADASTRO_VIVO_3CRE!$E$2:$E$150,0)),""))</f>
        <v/>
      </c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8"/>
      <c r="S336" s="89" t="str">
        <f aca="true">IF(R336="","",TODAY()-INT(R336))</f>
        <v/>
      </c>
      <c r="T336" s="86"/>
      <c r="U336" s="86"/>
      <c r="V336" s="86"/>
      <c r="W336" s="88"/>
      <c r="X336" s="89" t="str">
        <f aca="true">IF(W336="","",IF(OR(O336="28 - Encerrado",O336="27 - Instalação concluída"),"Concluído",TODAY()-INT(W336)))</f>
        <v/>
      </c>
      <c r="Y336" s="90" t="str">
        <f aca="false">IF(OR(O336="28 - Encerrado",O336="27 - Instalação concluída"),"OK",IF(AND(B336&lt;&gt;"",S336=""),"ATENÇÃO (Sem data de atualização)",IF(S336="","",IF(S336&gt;30,"CRÍTICO (Sem Atualização &gt;30 dias)",IF(S336&gt;15,"ATENÇÃO (Sem Atualização &gt;15 dias)",IF(X336&gt;90,"CRÍTICO (Aberto &gt;90 dias)","OK"))))))</f>
        <v/>
      </c>
      <c r="Z336" s="90" t="str">
        <f aca="false">IF(B336="","",IF(OR(O336="27 - Instalação concluída",O336="28 - Encerrado"),"OK",IF(NOT(ISNUMBER(X336)),"",IF(X336&gt;365,"MUITO ANTIGO (&gt;1 ano)",IF(X336&gt;180,"ANTIGO (&gt;6 meses)",IF(X336&gt;90,"ATENÇÃO ANTIG. (&gt;3 meses)","OK"))))))</f>
        <v/>
      </c>
      <c r="AA336" s="86"/>
      <c r="AB336" s="69" t="str">
        <f aca="false">IF(AND(B336&lt;&gt;"",OR(T336="Pendente de Vistoria",T336="Não validada")),MAX($AB$1:$AB$335)+1,"")</f>
        <v/>
      </c>
      <c r="AC336" s="69" t="str">
        <f aca="false">IF(AND(B336&lt;&gt;"",OR(ISNUMBER(SEARCH("CTIN",P336)),U336="Alta",O336="07 - Relatório recebido — unidade apta",O336="11 - Orçamentos em análise técnica",O336="22 - Instalação/substituição autorizada")),MAX($AC$1:$AC$335)+1,"")</f>
        <v/>
      </c>
      <c r="AD336" s="69" t="str">
        <f aca="false">IF(AND(B336&lt;&gt;"",OR(ISNUMBER(SEARCH("CTO",P336)),LEFT(O336,2)="22",LEFT(O336,2)="23",LEFT(O336,2)="24",LEFT(O336,2)="25",LEFT(O336,2)="26",LEFT(O336,2)="27")),MAX($AD$1:$AD$335)+1,"")</f>
        <v/>
      </c>
      <c r="AE336" s="69" t="str">
        <f aca="false">IF(AND(B336&lt;&gt;"",D336=CONSULTA_UNIDADE!$B$4),MAX($AE$1:$AE$335)+1,"")</f>
        <v/>
      </c>
      <c r="AF336" s="69" t="str">
        <f aca="false">IF(AND(B336&lt;&gt;"",O336&lt;&gt;"27 - Instalação concluída",O336&lt;&gt;"28 - Encerrado",ISNUMBER(S336)),S336*1000+(1000-ROW()),"")</f>
        <v/>
      </c>
      <c r="AG336" s="69" t="str">
        <f aca="false">IF(AF336="","",RANK(AF336,$AF$2:$AF$500))</f>
        <v/>
      </c>
    </row>
    <row r="337" customFormat="false" ht="16.5" hidden="false" customHeight="true" outlineLevel="0" collapsed="false">
      <c r="A337" s="86"/>
      <c r="B337" s="86"/>
      <c r="C337" s="87" t="str">
        <f aca="false">IF(D337="","",IFERROR(INDEX(CADASTRO_VIVO_3CRE!$B$2:$B$150,MATCH(D337,CADASTRO_VIVO_3CRE!$E$2:$E$150,0)),""))</f>
        <v/>
      </c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8"/>
      <c r="S337" s="89" t="str">
        <f aca="true">IF(R337="","",TODAY()-INT(R337))</f>
        <v/>
      </c>
      <c r="T337" s="86"/>
      <c r="U337" s="86"/>
      <c r="V337" s="86"/>
      <c r="W337" s="88"/>
      <c r="X337" s="89" t="str">
        <f aca="true">IF(W337="","",IF(OR(O337="28 - Encerrado",O337="27 - Instalação concluída"),"Concluído",TODAY()-INT(W337)))</f>
        <v/>
      </c>
      <c r="Y337" s="90" t="str">
        <f aca="false">IF(OR(O337="28 - Encerrado",O337="27 - Instalação concluída"),"OK",IF(AND(B337&lt;&gt;"",S337=""),"ATENÇÃO (Sem data de atualização)",IF(S337="","",IF(S337&gt;30,"CRÍTICO (Sem Atualização &gt;30 dias)",IF(S337&gt;15,"ATENÇÃO (Sem Atualização &gt;15 dias)",IF(X337&gt;90,"CRÍTICO (Aberto &gt;90 dias)","OK"))))))</f>
        <v/>
      </c>
      <c r="Z337" s="90" t="str">
        <f aca="false">IF(B337="","",IF(OR(O337="27 - Instalação concluída",O337="28 - Encerrado"),"OK",IF(NOT(ISNUMBER(X337)),"",IF(X337&gt;365,"MUITO ANTIGO (&gt;1 ano)",IF(X337&gt;180,"ANTIGO (&gt;6 meses)",IF(X337&gt;90,"ATENÇÃO ANTIG. (&gt;3 meses)","OK"))))))</f>
        <v/>
      </c>
      <c r="AA337" s="86"/>
      <c r="AB337" s="69" t="str">
        <f aca="false">IF(AND(B337&lt;&gt;"",OR(T337="Pendente de Vistoria",T337="Não validada")),MAX($AB$1:$AB$336)+1,"")</f>
        <v/>
      </c>
      <c r="AC337" s="69" t="str">
        <f aca="false">IF(AND(B337&lt;&gt;"",OR(ISNUMBER(SEARCH("CTIN",P337)),U337="Alta",O337="07 - Relatório recebido — unidade apta",O337="11 - Orçamentos em análise técnica",O337="22 - Instalação/substituição autorizada")),MAX($AC$1:$AC$336)+1,"")</f>
        <v/>
      </c>
      <c r="AD337" s="69" t="str">
        <f aca="false">IF(AND(B337&lt;&gt;"",OR(ISNUMBER(SEARCH("CTO",P337)),LEFT(O337,2)="22",LEFT(O337,2)="23",LEFT(O337,2)="24",LEFT(O337,2)="25",LEFT(O337,2)="26",LEFT(O337,2)="27")),MAX($AD$1:$AD$336)+1,"")</f>
        <v/>
      </c>
      <c r="AE337" s="69" t="str">
        <f aca="false">IF(AND(B337&lt;&gt;"",D337=CONSULTA_UNIDADE!$B$4),MAX($AE$1:$AE$336)+1,"")</f>
        <v/>
      </c>
      <c r="AF337" s="69" t="str">
        <f aca="false">IF(AND(B337&lt;&gt;"",O337&lt;&gt;"27 - Instalação concluída",O337&lt;&gt;"28 - Encerrado",ISNUMBER(S337)),S337*1000+(1000-ROW()),"")</f>
        <v/>
      </c>
      <c r="AG337" s="69" t="str">
        <f aca="false">IF(AF337="","",RANK(AF337,$AF$2:$AF$500))</f>
        <v/>
      </c>
    </row>
    <row r="338" customFormat="false" ht="16.5" hidden="false" customHeight="true" outlineLevel="0" collapsed="false">
      <c r="A338" s="86"/>
      <c r="B338" s="86"/>
      <c r="C338" s="87" t="str">
        <f aca="false">IF(D338="","",IFERROR(INDEX(CADASTRO_VIVO_3CRE!$B$2:$B$150,MATCH(D338,CADASTRO_VIVO_3CRE!$E$2:$E$150,0)),""))</f>
        <v/>
      </c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8"/>
      <c r="S338" s="89" t="str">
        <f aca="true">IF(R338="","",TODAY()-INT(R338))</f>
        <v/>
      </c>
      <c r="T338" s="86"/>
      <c r="U338" s="86"/>
      <c r="V338" s="86"/>
      <c r="W338" s="88"/>
      <c r="X338" s="89" t="str">
        <f aca="true">IF(W338="","",IF(OR(O338="28 - Encerrado",O338="27 - Instalação concluída"),"Concluído",TODAY()-INT(W338)))</f>
        <v/>
      </c>
      <c r="Y338" s="90" t="str">
        <f aca="false">IF(OR(O338="28 - Encerrado",O338="27 - Instalação concluída"),"OK",IF(AND(B338&lt;&gt;"",S338=""),"ATENÇÃO (Sem data de atualização)",IF(S338="","",IF(S338&gt;30,"CRÍTICO (Sem Atualização &gt;30 dias)",IF(S338&gt;15,"ATENÇÃO (Sem Atualização &gt;15 dias)",IF(X338&gt;90,"CRÍTICO (Aberto &gt;90 dias)","OK"))))))</f>
        <v/>
      </c>
      <c r="Z338" s="90" t="str">
        <f aca="false">IF(B338="","",IF(OR(O338="27 - Instalação concluída",O338="28 - Encerrado"),"OK",IF(NOT(ISNUMBER(X338)),"",IF(X338&gt;365,"MUITO ANTIGO (&gt;1 ano)",IF(X338&gt;180,"ANTIGO (&gt;6 meses)",IF(X338&gt;90,"ATENÇÃO ANTIG. (&gt;3 meses)","OK"))))))</f>
        <v/>
      </c>
      <c r="AA338" s="86"/>
      <c r="AB338" s="69" t="str">
        <f aca="false">IF(AND(B338&lt;&gt;"",OR(T338="Pendente de Vistoria",T338="Não validada")),MAX($AB$1:$AB$337)+1,"")</f>
        <v/>
      </c>
      <c r="AC338" s="69" t="str">
        <f aca="false">IF(AND(B338&lt;&gt;"",OR(ISNUMBER(SEARCH("CTIN",P338)),U338="Alta",O338="07 - Relatório recebido — unidade apta",O338="11 - Orçamentos em análise técnica",O338="22 - Instalação/substituição autorizada")),MAX($AC$1:$AC$337)+1,"")</f>
        <v/>
      </c>
      <c r="AD338" s="69" t="str">
        <f aca="false">IF(AND(B338&lt;&gt;"",OR(ISNUMBER(SEARCH("CTO",P338)),LEFT(O338,2)="22",LEFT(O338,2)="23",LEFT(O338,2)="24",LEFT(O338,2)="25",LEFT(O338,2)="26",LEFT(O338,2)="27")),MAX($AD$1:$AD$337)+1,"")</f>
        <v/>
      </c>
      <c r="AE338" s="69" t="str">
        <f aca="false">IF(AND(B338&lt;&gt;"",D338=CONSULTA_UNIDADE!$B$4),MAX($AE$1:$AE$337)+1,"")</f>
        <v/>
      </c>
      <c r="AF338" s="69" t="str">
        <f aca="false">IF(AND(B338&lt;&gt;"",O338&lt;&gt;"27 - Instalação concluída",O338&lt;&gt;"28 - Encerrado",ISNUMBER(S338)),S338*1000+(1000-ROW()),"")</f>
        <v/>
      </c>
      <c r="AG338" s="69" t="str">
        <f aca="false">IF(AF338="","",RANK(AF338,$AF$2:$AF$500))</f>
        <v/>
      </c>
    </row>
    <row r="339" customFormat="false" ht="16.5" hidden="false" customHeight="true" outlineLevel="0" collapsed="false">
      <c r="A339" s="86"/>
      <c r="B339" s="86"/>
      <c r="C339" s="87" t="str">
        <f aca="false">IF(D339="","",IFERROR(INDEX(CADASTRO_VIVO_3CRE!$B$2:$B$150,MATCH(D339,CADASTRO_VIVO_3CRE!$E$2:$E$150,0)),""))</f>
        <v/>
      </c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8"/>
      <c r="S339" s="89" t="str">
        <f aca="true">IF(R339="","",TODAY()-INT(R339))</f>
        <v/>
      </c>
      <c r="T339" s="86"/>
      <c r="U339" s="86"/>
      <c r="V339" s="86"/>
      <c r="W339" s="88"/>
      <c r="X339" s="89" t="str">
        <f aca="true">IF(W339="","",IF(OR(O339="28 - Encerrado",O339="27 - Instalação concluída"),"Concluído",TODAY()-INT(W339)))</f>
        <v/>
      </c>
      <c r="Y339" s="90" t="str">
        <f aca="false">IF(OR(O339="28 - Encerrado",O339="27 - Instalação concluída"),"OK",IF(AND(B339&lt;&gt;"",S339=""),"ATENÇÃO (Sem data de atualização)",IF(S339="","",IF(S339&gt;30,"CRÍTICO (Sem Atualização &gt;30 dias)",IF(S339&gt;15,"ATENÇÃO (Sem Atualização &gt;15 dias)",IF(X339&gt;90,"CRÍTICO (Aberto &gt;90 dias)","OK"))))))</f>
        <v/>
      </c>
      <c r="Z339" s="90" t="str">
        <f aca="false">IF(B339="","",IF(OR(O339="27 - Instalação concluída",O339="28 - Encerrado"),"OK",IF(NOT(ISNUMBER(X339)),"",IF(X339&gt;365,"MUITO ANTIGO (&gt;1 ano)",IF(X339&gt;180,"ANTIGO (&gt;6 meses)",IF(X339&gt;90,"ATENÇÃO ANTIG. (&gt;3 meses)","OK"))))))</f>
        <v/>
      </c>
      <c r="AA339" s="86"/>
      <c r="AB339" s="69" t="str">
        <f aca="false">IF(AND(B339&lt;&gt;"",OR(T339="Pendente de Vistoria",T339="Não validada")),MAX($AB$1:$AB$338)+1,"")</f>
        <v/>
      </c>
      <c r="AC339" s="69" t="str">
        <f aca="false">IF(AND(B339&lt;&gt;"",OR(ISNUMBER(SEARCH("CTIN",P339)),U339="Alta",O339="07 - Relatório recebido — unidade apta",O339="11 - Orçamentos em análise técnica",O339="22 - Instalação/substituição autorizada")),MAX($AC$1:$AC$338)+1,"")</f>
        <v/>
      </c>
      <c r="AD339" s="69" t="str">
        <f aca="false">IF(AND(B339&lt;&gt;"",OR(ISNUMBER(SEARCH("CTO",P339)),LEFT(O339,2)="22",LEFT(O339,2)="23",LEFT(O339,2)="24",LEFT(O339,2)="25",LEFT(O339,2)="26",LEFT(O339,2)="27")),MAX($AD$1:$AD$338)+1,"")</f>
        <v/>
      </c>
      <c r="AE339" s="69" t="str">
        <f aca="false">IF(AND(B339&lt;&gt;"",D339=CONSULTA_UNIDADE!$B$4),MAX($AE$1:$AE$338)+1,"")</f>
        <v/>
      </c>
      <c r="AF339" s="69" t="str">
        <f aca="false">IF(AND(B339&lt;&gt;"",O339&lt;&gt;"27 - Instalação concluída",O339&lt;&gt;"28 - Encerrado",ISNUMBER(S339)),S339*1000+(1000-ROW()),"")</f>
        <v/>
      </c>
      <c r="AG339" s="69" t="str">
        <f aca="false">IF(AF339="","",RANK(AF339,$AF$2:$AF$500))</f>
        <v/>
      </c>
    </row>
    <row r="340" customFormat="false" ht="16.5" hidden="false" customHeight="true" outlineLevel="0" collapsed="false">
      <c r="A340" s="86"/>
      <c r="B340" s="86"/>
      <c r="C340" s="87" t="str">
        <f aca="false">IF(D340="","",IFERROR(INDEX(CADASTRO_VIVO_3CRE!$B$2:$B$150,MATCH(D340,CADASTRO_VIVO_3CRE!$E$2:$E$150,0)),""))</f>
        <v/>
      </c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8"/>
      <c r="S340" s="89" t="str">
        <f aca="true">IF(R340="","",TODAY()-INT(R340))</f>
        <v/>
      </c>
      <c r="T340" s="86"/>
      <c r="U340" s="86"/>
      <c r="V340" s="86"/>
      <c r="W340" s="88"/>
      <c r="X340" s="89" t="str">
        <f aca="true">IF(W340="","",IF(OR(O340="28 - Encerrado",O340="27 - Instalação concluída"),"Concluído",TODAY()-INT(W340)))</f>
        <v/>
      </c>
      <c r="Y340" s="90" t="str">
        <f aca="false">IF(OR(O340="28 - Encerrado",O340="27 - Instalação concluída"),"OK",IF(AND(B340&lt;&gt;"",S340=""),"ATENÇÃO (Sem data de atualização)",IF(S340="","",IF(S340&gt;30,"CRÍTICO (Sem Atualização &gt;30 dias)",IF(S340&gt;15,"ATENÇÃO (Sem Atualização &gt;15 dias)",IF(X340&gt;90,"CRÍTICO (Aberto &gt;90 dias)","OK"))))))</f>
        <v/>
      </c>
      <c r="Z340" s="90" t="str">
        <f aca="false">IF(B340="","",IF(OR(O340="27 - Instalação concluída",O340="28 - Encerrado"),"OK",IF(NOT(ISNUMBER(X340)),"",IF(X340&gt;365,"MUITO ANTIGO (&gt;1 ano)",IF(X340&gt;180,"ANTIGO (&gt;6 meses)",IF(X340&gt;90,"ATENÇÃO ANTIG. (&gt;3 meses)","OK"))))))</f>
        <v/>
      </c>
      <c r="AA340" s="86"/>
      <c r="AB340" s="69" t="str">
        <f aca="false">IF(AND(B340&lt;&gt;"",OR(T340="Pendente de Vistoria",T340="Não validada")),MAX($AB$1:$AB$339)+1,"")</f>
        <v/>
      </c>
      <c r="AC340" s="69" t="str">
        <f aca="false">IF(AND(B340&lt;&gt;"",OR(ISNUMBER(SEARCH("CTIN",P340)),U340="Alta",O340="07 - Relatório recebido — unidade apta",O340="11 - Orçamentos em análise técnica",O340="22 - Instalação/substituição autorizada")),MAX($AC$1:$AC$339)+1,"")</f>
        <v/>
      </c>
      <c r="AD340" s="69" t="str">
        <f aca="false">IF(AND(B340&lt;&gt;"",OR(ISNUMBER(SEARCH("CTO",P340)),LEFT(O340,2)="22",LEFT(O340,2)="23",LEFT(O340,2)="24",LEFT(O340,2)="25",LEFT(O340,2)="26",LEFT(O340,2)="27")),MAX($AD$1:$AD$339)+1,"")</f>
        <v/>
      </c>
      <c r="AE340" s="69" t="str">
        <f aca="false">IF(AND(B340&lt;&gt;"",D340=CONSULTA_UNIDADE!$B$4),MAX($AE$1:$AE$339)+1,"")</f>
        <v/>
      </c>
      <c r="AF340" s="69" t="str">
        <f aca="false">IF(AND(B340&lt;&gt;"",O340&lt;&gt;"27 - Instalação concluída",O340&lt;&gt;"28 - Encerrado",ISNUMBER(S340)),S340*1000+(1000-ROW()),"")</f>
        <v/>
      </c>
      <c r="AG340" s="69" t="str">
        <f aca="false">IF(AF340="","",RANK(AF340,$AF$2:$AF$500))</f>
        <v/>
      </c>
    </row>
    <row r="341" customFormat="false" ht="16.5" hidden="false" customHeight="true" outlineLevel="0" collapsed="false">
      <c r="A341" s="86"/>
      <c r="B341" s="86"/>
      <c r="C341" s="87" t="str">
        <f aca="false">IF(D341="","",IFERROR(INDEX(CADASTRO_VIVO_3CRE!$B$2:$B$150,MATCH(D341,CADASTRO_VIVO_3CRE!$E$2:$E$150,0)),""))</f>
        <v/>
      </c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8"/>
      <c r="S341" s="89" t="str">
        <f aca="true">IF(R341="","",TODAY()-INT(R341))</f>
        <v/>
      </c>
      <c r="T341" s="86"/>
      <c r="U341" s="86"/>
      <c r="V341" s="86"/>
      <c r="W341" s="88"/>
      <c r="X341" s="89" t="str">
        <f aca="true">IF(W341="","",IF(OR(O341="28 - Encerrado",O341="27 - Instalação concluída"),"Concluído",TODAY()-INT(W341)))</f>
        <v/>
      </c>
      <c r="Y341" s="90" t="str">
        <f aca="false">IF(OR(O341="28 - Encerrado",O341="27 - Instalação concluída"),"OK",IF(AND(B341&lt;&gt;"",S341=""),"ATENÇÃO (Sem data de atualização)",IF(S341="","",IF(S341&gt;30,"CRÍTICO (Sem Atualização &gt;30 dias)",IF(S341&gt;15,"ATENÇÃO (Sem Atualização &gt;15 dias)",IF(X341&gt;90,"CRÍTICO (Aberto &gt;90 dias)","OK"))))))</f>
        <v/>
      </c>
      <c r="Z341" s="90" t="str">
        <f aca="false">IF(B341="","",IF(OR(O341="27 - Instalação concluída",O341="28 - Encerrado"),"OK",IF(NOT(ISNUMBER(X341)),"",IF(X341&gt;365,"MUITO ANTIGO (&gt;1 ano)",IF(X341&gt;180,"ANTIGO (&gt;6 meses)",IF(X341&gt;90,"ATENÇÃO ANTIG. (&gt;3 meses)","OK"))))))</f>
        <v/>
      </c>
      <c r="AA341" s="86"/>
      <c r="AB341" s="69" t="str">
        <f aca="false">IF(AND(B341&lt;&gt;"",OR(T341="Pendente de Vistoria",T341="Não validada")),MAX($AB$1:$AB$340)+1,"")</f>
        <v/>
      </c>
      <c r="AC341" s="69" t="str">
        <f aca="false">IF(AND(B341&lt;&gt;"",OR(ISNUMBER(SEARCH("CTIN",P341)),U341="Alta",O341="07 - Relatório recebido — unidade apta",O341="11 - Orçamentos em análise técnica",O341="22 - Instalação/substituição autorizada")),MAX($AC$1:$AC$340)+1,"")</f>
        <v/>
      </c>
      <c r="AD341" s="69" t="str">
        <f aca="false">IF(AND(B341&lt;&gt;"",OR(ISNUMBER(SEARCH("CTO",P341)),LEFT(O341,2)="22",LEFT(O341,2)="23",LEFT(O341,2)="24",LEFT(O341,2)="25",LEFT(O341,2)="26",LEFT(O341,2)="27")),MAX($AD$1:$AD$340)+1,"")</f>
        <v/>
      </c>
      <c r="AE341" s="69" t="str">
        <f aca="false">IF(AND(B341&lt;&gt;"",D341=CONSULTA_UNIDADE!$B$4),MAX($AE$1:$AE$340)+1,"")</f>
        <v/>
      </c>
      <c r="AF341" s="69" t="str">
        <f aca="false">IF(AND(B341&lt;&gt;"",O341&lt;&gt;"27 - Instalação concluída",O341&lt;&gt;"28 - Encerrado",ISNUMBER(S341)),S341*1000+(1000-ROW()),"")</f>
        <v/>
      </c>
      <c r="AG341" s="69" t="str">
        <f aca="false">IF(AF341="","",RANK(AF341,$AF$2:$AF$500))</f>
        <v/>
      </c>
    </row>
    <row r="342" customFormat="false" ht="16.5" hidden="false" customHeight="true" outlineLevel="0" collapsed="false">
      <c r="A342" s="86"/>
      <c r="B342" s="86"/>
      <c r="C342" s="87" t="str">
        <f aca="false">IF(D342="","",IFERROR(INDEX(CADASTRO_VIVO_3CRE!$B$2:$B$150,MATCH(D342,CADASTRO_VIVO_3CRE!$E$2:$E$150,0)),""))</f>
        <v/>
      </c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8"/>
      <c r="S342" s="89" t="str">
        <f aca="true">IF(R342="","",TODAY()-INT(R342))</f>
        <v/>
      </c>
      <c r="T342" s="86"/>
      <c r="U342" s="86"/>
      <c r="V342" s="86"/>
      <c r="W342" s="88"/>
      <c r="X342" s="89" t="str">
        <f aca="true">IF(W342="","",IF(OR(O342="28 - Encerrado",O342="27 - Instalação concluída"),"Concluído",TODAY()-INT(W342)))</f>
        <v/>
      </c>
      <c r="Y342" s="90" t="str">
        <f aca="false">IF(OR(O342="28 - Encerrado",O342="27 - Instalação concluída"),"OK",IF(AND(B342&lt;&gt;"",S342=""),"ATENÇÃO (Sem data de atualização)",IF(S342="","",IF(S342&gt;30,"CRÍTICO (Sem Atualização &gt;30 dias)",IF(S342&gt;15,"ATENÇÃO (Sem Atualização &gt;15 dias)",IF(X342&gt;90,"CRÍTICO (Aberto &gt;90 dias)","OK"))))))</f>
        <v/>
      </c>
      <c r="Z342" s="90" t="str">
        <f aca="false">IF(B342="","",IF(OR(O342="27 - Instalação concluída",O342="28 - Encerrado"),"OK",IF(NOT(ISNUMBER(X342)),"",IF(X342&gt;365,"MUITO ANTIGO (&gt;1 ano)",IF(X342&gt;180,"ANTIGO (&gt;6 meses)",IF(X342&gt;90,"ATENÇÃO ANTIG. (&gt;3 meses)","OK"))))))</f>
        <v/>
      </c>
      <c r="AA342" s="86"/>
      <c r="AB342" s="69" t="str">
        <f aca="false">IF(AND(B342&lt;&gt;"",OR(T342="Pendente de Vistoria",T342="Não validada")),MAX($AB$1:$AB$341)+1,"")</f>
        <v/>
      </c>
      <c r="AC342" s="69" t="str">
        <f aca="false">IF(AND(B342&lt;&gt;"",OR(ISNUMBER(SEARCH("CTIN",P342)),U342="Alta",O342="07 - Relatório recebido — unidade apta",O342="11 - Orçamentos em análise técnica",O342="22 - Instalação/substituição autorizada")),MAX($AC$1:$AC$341)+1,"")</f>
        <v/>
      </c>
      <c r="AD342" s="69" t="str">
        <f aca="false">IF(AND(B342&lt;&gt;"",OR(ISNUMBER(SEARCH("CTO",P342)),LEFT(O342,2)="22",LEFT(O342,2)="23",LEFT(O342,2)="24",LEFT(O342,2)="25",LEFT(O342,2)="26",LEFT(O342,2)="27")),MAX($AD$1:$AD$341)+1,"")</f>
        <v/>
      </c>
      <c r="AE342" s="69" t="str">
        <f aca="false">IF(AND(B342&lt;&gt;"",D342=CONSULTA_UNIDADE!$B$4),MAX($AE$1:$AE$341)+1,"")</f>
        <v/>
      </c>
      <c r="AF342" s="69" t="str">
        <f aca="false">IF(AND(B342&lt;&gt;"",O342&lt;&gt;"27 - Instalação concluída",O342&lt;&gt;"28 - Encerrado",ISNUMBER(S342)),S342*1000+(1000-ROW()),"")</f>
        <v/>
      </c>
      <c r="AG342" s="69" t="str">
        <f aca="false">IF(AF342="","",RANK(AF342,$AF$2:$AF$500))</f>
        <v/>
      </c>
    </row>
    <row r="343" customFormat="false" ht="16.5" hidden="false" customHeight="true" outlineLevel="0" collapsed="false">
      <c r="A343" s="86"/>
      <c r="B343" s="86"/>
      <c r="C343" s="87" t="str">
        <f aca="false">IF(D343="","",IFERROR(INDEX(CADASTRO_VIVO_3CRE!$B$2:$B$150,MATCH(D343,CADASTRO_VIVO_3CRE!$E$2:$E$150,0)),""))</f>
        <v/>
      </c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8"/>
      <c r="S343" s="89" t="str">
        <f aca="true">IF(R343="","",TODAY()-INT(R343))</f>
        <v/>
      </c>
      <c r="T343" s="86"/>
      <c r="U343" s="86"/>
      <c r="V343" s="86"/>
      <c r="W343" s="88"/>
      <c r="X343" s="89" t="str">
        <f aca="true">IF(W343="","",IF(OR(O343="28 - Encerrado",O343="27 - Instalação concluída"),"Concluído",TODAY()-INT(W343)))</f>
        <v/>
      </c>
      <c r="Y343" s="90" t="str">
        <f aca="false">IF(OR(O343="28 - Encerrado",O343="27 - Instalação concluída"),"OK",IF(AND(B343&lt;&gt;"",S343=""),"ATENÇÃO (Sem data de atualização)",IF(S343="","",IF(S343&gt;30,"CRÍTICO (Sem Atualização &gt;30 dias)",IF(S343&gt;15,"ATENÇÃO (Sem Atualização &gt;15 dias)",IF(X343&gt;90,"CRÍTICO (Aberto &gt;90 dias)","OK"))))))</f>
        <v/>
      </c>
      <c r="Z343" s="90" t="str">
        <f aca="false">IF(B343="","",IF(OR(O343="27 - Instalação concluída",O343="28 - Encerrado"),"OK",IF(NOT(ISNUMBER(X343)),"",IF(X343&gt;365,"MUITO ANTIGO (&gt;1 ano)",IF(X343&gt;180,"ANTIGO (&gt;6 meses)",IF(X343&gt;90,"ATENÇÃO ANTIG. (&gt;3 meses)","OK"))))))</f>
        <v/>
      </c>
      <c r="AA343" s="86"/>
      <c r="AB343" s="69" t="str">
        <f aca="false">IF(AND(B343&lt;&gt;"",OR(T343="Pendente de Vistoria",T343="Não validada")),MAX($AB$1:$AB$342)+1,"")</f>
        <v/>
      </c>
      <c r="AC343" s="69" t="str">
        <f aca="false">IF(AND(B343&lt;&gt;"",OR(ISNUMBER(SEARCH("CTIN",P343)),U343="Alta",O343="07 - Relatório recebido — unidade apta",O343="11 - Orçamentos em análise técnica",O343="22 - Instalação/substituição autorizada")),MAX($AC$1:$AC$342)+1,"")</f>
        <v/>
      </c>
      <c r="AD343" s="69" t="str">
        <f aca="false">IF(AND(B343&lt;&gt;"",OR(ISNUMBER(SEARCH("CTO",P343)),LEFT(O343,2)="22",LEFT(O343,2)="23",LEFT(O343,2)="24",LEFT(O343,2)="25",LEFT(O343,2)="26",LEFT(O343,2)="27")),MAX($AD$1:$AD$342)+1,"")</f>
        <v/>
      </c>
      <c r="AE343" s="69" t="str">
        <f aca="false">IF(AND(B343&lt;&gt;"",D343=CONSULTA_UNIDADE!$B$4),MAX($AE$1:$AE$342)+1,"")</f>
        <v/>
      </c>
      <c r="AF343" s="69" t="str">
        <f aca="false">IF(AND(B343&lt;&gt;"",O343&lt;&gt;"27 - Instalação concluída",O343&lt;&gt;"28 - Encerrado",ISNUMBER(S343)),S343*1000+(1000-ROW()),"")</f>
        <v/>
      </c>
      <c r="AG343" s="69" t="str">
        <f aca="false">IF(AF343="","",RANK(AF343,$AF$2:$AF$500))</f>
        <v/>
      </c>
    </row>
    <row r="344" customFormat="false" ht="16.5" hidden="false" customHeight="true" outlineLevel="0" collapsed="false">
      <c r="A344" s="86"/>
      <c r="B344" s="86"/>
      <c r="C344" s="87" t="str">
        <f aca="false">IF(D344="","",IFERROR(INDEX(CADASTRO_VIVO_3CRE!$B$2:$B$150,MATCH(D344,CADASTRO_VIVO_3CRE!$E$2:$E$150,0)),""))</f>
        <v/>
      </c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8"/>
      <c r="S344" s="89" t="str">
        <f aca="true">IF(R344="","",TODAY()-INT(R344))</f>
        <v/>
      </c>
      <c r="T344" s="86"/>
      <c r="U344" s="86"/>
      <c r="V344" s="86"/>
      <c r="W344" s="88"/>
      <c r="X344" s="89" t="str">
        <f aca="true">IF(W344="","",IF(OR(O344="28 - Encerrado",O344="27 - Instalação concluída"),"Concluído",TODAY()-INT(W344)))</f>
        <v/>
      </c>
      <c r="Y344" s="90" t="str">
        <f aca="false">IF(OR(O344="28 - Encerrado",O344="27 - Instalação concluída"),"OK",IF(AND(B344&lt;&gt;"",S344=""),"ATENÇÃO (Sem data de atualização)",IF(S344="","",IF(S344&gt;30,"CRÍTICO (Sem Atualização &gt;30 dias)",IF(S344&gt;15,"ATENÇÃO (Sem Atualização &gt;15 dias)",IF(X344&gt;90,"CRÍTICO (Aberto &gt;90 dias)","OK"))))))</f>
        <v/>
      </c>
      <c r="Z344" s="90" t="str">
        <f aca="false">IF(B344="","",IF(OR(O344="27 - Instalação concluída",O344="28 - Encerrado"),"OK",IF(NOT(ISNUMBER(X344)),"",IF(X344&gt;365,"MUITO ANTIGO (&gt;1 ano)",IF(X344&gt;180,"ANTIGO (&gt;6 meses)",IF(X344&gt;90,"ATENÇÃO ANTIG. (&gt;3 meses)","OK"))))))</f>
        <v/>
      </c>
      <c r="AA344" s="86"/>
      <c r="AB344" s="69" t="str">
        <f aca="false">IF(AND(B344&lt;&gt;"",OR(T344="Pendente de Vistoria",T344="Não validada")),MAX($AB$1:$AB$343)+1,"")</f>
        <v/>
      </c>
      <c r="AC344" s="69" t="str">
        <f aca="false">IF(AND(B344&lt;&gt;"",OR(ISNUMBER(SEARCH("CTIN",P344)),U344="Alta",O344="07 - Relatório recebido — unidade apta",O344="11 - Orçamentos em análise técnica",O344="22 - Instalação/substituição autorizada")),MAX($AC$1:$AC$343)+1,"")</f>
        <v/>
      </c>
      <c r="AD344" s="69" t="str">
        <f aca="false">IF(AND(B344&lt;&gt;"",OR(ISNUMBER(SEARCH("CTO",P344)),LEFT(O344,2)="22",LEFT(O344,2)="23",LEFT(O344,2)="24",LEFT(O344,2)="25",LEFT(O344,2)="26",LEFT(O344,2)="27")),MAX($AD$1:$AD$343)+1,"")</f>
        <v/>
      </c>
      <c r="AE344" s="69" t="str">
        <f aca="false">IF(AND(B344&lt;&gt;"",D344=CONSULTA_UNIDADE!$B$4),MAX($AE$1:$AE$343)+1,"")</f>
        <v/>
      </c>
      <c r="AF344" s="69" t="str">
        <f aca="false">IF(AND(B344&lt;&gt;"",O344&lt;&gt;"27 - Instalação concluída",O344&lt;&gt;"28 - Encerrado",ISNUMBER(S344)),S344*1000+(1000-ROW()),"")</f>
        <v/>
      </c>
      <c r="AG344" s="69" t="str">
        <f aca="false">IF(AF344="","",RANK(AF344,$AF$2:$AF$500))</f>
        <v/>
      </c>
    </row>
    <row r="345" customFormat="false" ht="16.5" hidden="false" customHeight="true" outlineLevel="0" collapsed="false">
      <c r="A345" s="86"/>
      <c r="B345" s="86"/>
      <c r="C345" s="87" t="str">
        <f aca="false">IF(D345="","",IFERROR(INDEX(CADASTRO_VIVO_3CRE!$B$2:$B$150,MATCH(D345,CADASTRO_VIVO_3CRE!$E$2:$E$150,0)),""))</f>
        <v/>
      </c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8"/>
      <c r="S345" s="89" t="str">
        <f aca="true">IF(R345="","",TODAY()-INT(R345))</f>
        <v/>
      </c>
      <c r="T345" s="86"/>
      <c r="U345" s="86"/>
      <c r="V345" s="86"/>
      <c r="W345" s="88"/>
      <c r="X345" s="89" t="str">
        <f aca="true">IF(W345="","",IF(OR(O345="28 - Encerrado",O345="27 - Instalação concluída"),"Concluído",TODAY()-INT(W345)))</f>
        <v/>
      </c>
      <c r="Y345" s="90" t="str">
        <f aca="false">IF(OR(O345="28 - Encerrado",O345="27 - Instalação concluída"),"OK",IF(AND(B345&lt;&gt;"",S345=""),"ATENÇÃO (Sem data de atualização)",IF(S345="","",IF(S345&gt;30,"CRÍTICO (Sem Atualização &gt;30 dias)",IF(S345&gt;15,"ATENÇÃO (Sem Atualização &gt;15 dias)",IF(X345&gt;90,"CRÍTICO (Aberto &gt;90 dias)","OK"))))))</f>
        <v/>
      </c>
      <c r="Z345" s="90" t="str">
        <f aca="false">IF(B345="","",IF(OR(O345="27 - Instalação concluída",O345="28 - Encerrado"),"OK",IF(NOT(ISNUMBER(X345)),"",IF(X345&gt;365,"MUITO ANTIGO (&gt;1 ano)",IF(X345&gt;180,"ANTIGO (&gt;6 meses)",IF(X345&gt;90,"ATENÇÃO ANTIG. (&gt;3 meses)","OK"))))))</f>
        <v/>
      </c>
      <c r="AA345" s="86"/>
      <c r="AB345" s="69" t="str">
        <f aca="false">IF(AND(B345&lt;&gt;"",OR(T345="Pendente de Vistoria",T345="Não validada")),MAX($AB$1:$AB$344)+1,"")</f>
        <v/>
      </c>
      <c r="AC345" s="69" t="str">
        <f aca="false">IF(AND(B345&lt;&gt;"",OR(ISNUMBER(SEARCH("CTIN",P345)),U345="Alta",O345="07 - Relatório recebido — unidade apta",O345="11 - Orçamentos em análise técnica",O345="22 - Instalação/substituição autorizada")),MAX($AC$1:$AC$344)+1,"")</f>
        <v/>
      </c>
      <c r="AD345" s="69" t="str">
        <f aca="false">IF(AND(B345&lt;&gt;"",OR(ISNUMBER(SEARCH("CTO",P345)),LEFT(O345,2)="22",LEFT(O345,2)="23",LEFT(O345,2)="24",LEFT(O345,2)="25",LEFT(O345,2)="26",LEFT(O345,2)="27")),MAX($AD$1:$AD$344)+1,"")</f>
        <v/>
      </c>
      <c r="AE345" s="69" t="str">
        <f aca="false">IF(AND(B345&lt;&gt;"",D345=CONSULTA_UNIDADE!$B$4),MAX($AE$1:$AE$344)+1,"")</f>
        <v/>
      </c>
      <c r="AF345" s="69" t="str">
        <f aca="false">IF(AND(B345&lt;&gt;"",O345&lt;&gt;"27 - Instalação concluída",O345&lt;&gt;"28 - Encerrado",ISNUMBER(S345)),S345*1000+(1000-ROW()),"")</f>
        <v/>
      </c>
      <c r="AG345" s="69" t="str">
        <f aca="false">IF(AF345="","",RANK(AF345,$AF$2:$AF$500))</f>
        <v/>
      </c>
    </row>
    <row r="346" customFormat="false" ht="16.5" hidden="false" customHeight="true" outlineLevel="0" collapsed="false">
      <c r="A346" s="86"/>
      <c r="B346" s="86"/>
      <c r="C346" s="87" t="str">
        <f aca="false">IF(D346="","",IFERROR(INDEX(CADASTRO_VIVO_3CRE!$B$2:$B$150,MATCH(D346,CADASTRO_VIVO_3CRE!$E$2:$E$150,0)),""))</f>
        <v/>
      </c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8"/>
      <c r="S346" s="89" t="str">
        <f aca="true">IF(R346="","",TODAY()-INT(R346))</f>
        <v/>
      </c>
      <c r="T346" s="86"/>
      <c r="U346" s="86"/>
      <c r="V346" s="86"/>
      <c r="W346" s="88"/>
      <c r="X346" s="89" t="str">
        <f aca="true">IF(W346="","",IF(OR(O346="28 - Encerrado",O346="27 - Instalação concluída"),"Concluído",TODAY()-INT(W346)))</f>
        <v/>
      </c>
      <c r="Y346" s="90" t="str">
        <f aca="false">IF(OR(O346="28 - Encerrado",O346="27 - Instalação concluída"),"OK",IF(AND(B346&lt;&gt;"",S346=""),"ATENÇÃO (Sem data de atualização)",IF(S346="","",IF(S346&gt;30,"CRÍTICO (Sem Atualização &gt;30 dias)",IF(S346&gt;15,"ATENÇÃO (Sem Atualização &gt;15 dias)",IF(X346&gt;90,"CRÍTICO (Aberto &gt;90 dias)","OK"))))))</f>
        <v/>
      </c>
      <c r="Z346" s="90" t="str">
        <f aca="false">IF(B346="","",IF(OR(O346="27 - Instalação concluída",O346="28 - Encerrado"),"OK",IF(NOT(ISNUMBER(X346)),"",IF(X346&gt;365,"MUITO ANTIGO (&gt;1 ano)",IF(X346&gt;180,"ANTIGO (&gt;6 meses)",IF(X346&gt;90,"ATENÇÃO ANTIG. (&gt;3 meses)","OK"))))))</f>
        <v/>
      </c>
      <c r="AA346" s="86"/>
      <c r="AB346" s="69" t="str">
        <f aca="false">IF(AND(B346&lt;&gt;"",OR(T346="Pendente de Vistoria",T346="Não validada")),MAX($AB$1:$AB$345)+1,"")</f>
        <v/>
      </c>
      <c r="AC346" s="69" t="str">
        <f aca="false">IF(AND(B346&lt;&gt;"",OR(ISNUMBER(SEARCH("CTIN",P346)),U346="Alta",O346="07 - Relatório recebido — unidade apta",O346="11 - Orçamentos em análise técnica",O346="22 - Instalação/substituição autorizada")),MAX($AC$1:$AC$345)+1,"")</f>
        <v/>
      </c>
      <c r="AD346" s="69" t="str">
        <f aca="false">IF(AND(B346&lt;&gt;"",OR(ISNUMBER(SEARCH("CTO",P346)),LEFT(O346,2)="22",LEFT(O346,2)="23",LEFT(O346,2)="24",LEFT(O346,2)="25",LEFT(O346,2)="26",LEFT(O346,2)="27")),MAX($AD$1:$AD$345)+1,"")</f>
        <v/>
      </c>
      <c r="AE346" s="69" t="str">
        <f aca="false">IF(AND(B346&lt;&gt;"",D346=CONSULTA_UNIDADE!$B$4),MAX($AE$1:$AE$345)+1,"")</f>
        <v/>
      </c>
      <c r="AF346" s="69" t="str">
        <f aca="false">IF(AND(B346&lt;&gt;"",O346&lt;&gt;"27 - Instalação concluída",O346&lt;&gt;"28 - Encerrado",ISNUMBER(S346)),S346*1000+(1000-ROW()),"")</f>
        <v/>
      </c>
      <c r="AG346" s="69" t="str">
        <f aca="false">IF(AF346="","",RANK(AF346,$AF$2:$AF$500))</f>
        <v/>
      </c>
    </row>
    <row r="347" customFormat="false" ht="16.5" hidden="false" customHeight="true" outlineLevel="0" collapsed="false">
      <c r="A347" s="86"/>
      <c r="B347" s="86"/>
      <c r="C347" s="87" t="str">
        <f aca="false">IF(D347="","",IFERROR(INDEX(CADASTRO_VIVO_3CRE!$B$2:$B$150,MATCH(D347,CADASTRO_VIVO_3CRE!$E$2:$E$150,0)),""))</f>
        <v/>
      </c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8"/>
      <c r="S347" s="89" t="str">
        <f aca="true">IF(R347="","",TODAY()-INT(R347))</f>
        <v/>
      </c>
      <c r="T347" s="86"/>
      <c r="U347" s="86"/>
      <c r="V347" s="86"/>
      <c r="W347" s="88"/>
      <c r="X347" s="89" t="str">
        <f aca="true">IF(W347="","",IF(OR(O347="28 - Encerrado",O347="27 - Instalação concluída"),"Concluído",TODAY()-INT(W347)))</f>
        <v/>
      </c>
      <c r="Y347" s="90" t="str">
        <f aca="false">IF(OR(O347="28 - Encerrado",O347="27 - Instalação concluída"),"OK",IF(AND(B347&lt;&gt;"",S347=""),"ATENÇÃO (Sem data de atualização)",IF(S347="","",IF(S347&gt;30,"CRÍTICO (Sem Atualização &gt;30 dias)",IF(S347&gt;15,"ATENÇÃO (Sem Atualização &gt;15 dias)",IF(X347&gt;90,"CRÍTICO (Aberto &gt;90 dias)","OK"))))))</f>
        <v/>
      </c>
      <c r="Z347" s="90" t="str">
        <f aca="false">IF(B347="","",IF(OR(O347="27 - Instalação concluída",O347="28 - Encerrado"),"OK",IF(NOT(ISNUMBER(X347)),"",IF(X347&gt;365,"MUITO ANTIGO (&gt;1 ano)",IF(X347&gt;180,"ANTIGO (&gt;6 meses)",IF(X347&gt;90,"ATENÇÃO ANTIG. (&gt;3 meses)","OK"))))))</f>
        <v/>
      </c>
      <c r="AA347" s="86"/>
      <c r="AB347" s="69" t="str">
        <f aca="false">IF(AND(B347&lt;&gt;"",OR(T347="Pendente de Vistoria",T347="Não validada")),MAX($AB$1:$AB$346)+1,"")</f>
        <v/>
      </c>
      <c r="AC347" s="69" t="str">
        <f aca="false">IF(AND(B347&lt;&gt;"",OR(ISNUMBER(SEARCH("CTIN",P347)),U347="Alta",O347="07 - Relatório recebido — unidade apta",O347="11 - Orçamentos em análise técnica",O347="22 - Instalação/substituição autorizada")),MAX($AC$1:$AC$346)+1,"")</f>
        <v/>
      </c>
      <c r="AD347" s="69" t="str">
        <f aca="false">IF(AND(B347&lt;&gt;"",OR(ISNUMBER(SEARCH("CTO",P347)),LEFT(O347,2)="22",LEFT(O347,2)="23",LEFT(O347,2)="24",LEFT(O347,2)="25",LEFT(O347,2)="26",LEFT(O347,2)="27")),MAX($AD$1:$AD$346)+1,"")</f>
        <v/>
      </c>
      <c r="AE347" s="69" t="str">
        <f aca="false">IF(AND(B347&lt;&gt;"",D347=CONSULTA_UNIDADE!$B$4),MAX($AE$1:$AE$346)+1,"")</f>
        <v/>
      </c>
      <c r="AF347" s="69" t="str">
        <f aca="false">IF(AND(B347&lt;&gt;"",O347&lt;&gt;"27 - Instalação concluída",O347&lt;&gt;"28 - Encerrado",ISNUMBER(S347)),S347*1000+(1000-ROW()),"")</f>
        <v/>
      </c>
      <c r="AG347" s="69" t="str">
        <f aca="false">IF(AF347="","",RANK(AF347,$AF$2:$AF$500))</f>
        <v/>
      </c>
    </row>
    <row r="348" customFormat="false" ht="16.5" hidden="false" customHeight="true" outlineLevel="0" collapsed="false">
      <c r="A348" s="86"/>
      <c r="B348" s="86"/>
      <c r="C348" s="87" t="str">
        <f aca="false">IF(D348="","",IFERROR(INDEX(CADASTRO_VIVO_3CRE!$B$2:$B$150,MATCH(D348,CADASTRO_VIVO_3CRE!$E$2:$E$150,0)),""))</f>
        <v/>
      </c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8"/>
      <c r="S348" s="89" t="str">
        <f aca="true">IF(R348="","",TODAY()-INT(R348))</f>
        <v/>
      </c>
      <c r="T348" s="86"/>
      <c r="U348" s="86"/>
      <c r="V348" s="86"/>
      <c r="W348" s="88"/>
      <c r="X348" s="89" t="str">
        <f aca="true">IF(W348="","",IF(OR(O348="28 - Encerrado",O348="27 - Instalação concluída"),"Concluído",TODAY()-INT(W348)))</f>
        <v/>
      </c>
      <c r="Y348" s="90" t="str">
        <f aca="false">IF(OR(O348="28 - Encerrado",O348="27 - Instalação concluída"),"OK",IF(AND(B348&lt;&gt;"",S348=""),"ATENÇÃO (Sem data de atualização)",IF(S348="","",IF(S348&gt;30,"CRÍTICO (Sem Atualização &gt;30 dias)",IF(S348&gt;15,"ATENÇÃO (Sem Atualização &gt;15 dias)",IF(X348&gt;90,"CRÍTICO (Aberto &gt;90 dias)","OK"))))))</f>
        <v/>
      </c>
      <c r="Z348" s="90" t="str">
        <f aca="false">IF(B348="","",IF(OR(O348="27 - Instalação concluída",O348="28 - Encerrado"),"OK",IF(NOT(ISNUMBER(X348)),"",IF(X348&gt;365,"MUITO ANTIGO (&gt;1 ano)",IF(X348&gt;180,"ANTIGO (&gt;6 meses)",IF(X348&gt;90,"ATENÇÃO ANTIG. (&gt;3 meses)","OK"))))))</f>
        <v/>
      </c>
      <c r="AA348" s="86"/>
      <c r="AB348" s="69" t="str">
        <f aca="false">IF(AND(B348&lt;&gt;"",OR(T348="Pendente de Vistoria",T348="Não validada")),MAX($AB$1:$AB$347)+1,"")</f>
        <v/>
      </c>
      <c r="AC348" s="69" t="str">
        <f aca="false">IF(AND(B348&lt;&gt;"",OR(ISNUMBER(SEARCH("CTIN",P348)),U348="Alta",O348="07 - Relatório recebido — unidade apta",O348="11 - Orçamentos em análise técnica",O348="22 - Instalação/substituição autorizada")),MAX($AC$1:$AC$347)+1,"")</f>
        <v/>
      </c>
      <c r="AD348" s="69" t="str">
        <f aca="false">IF(AND(B348&lt;&gt;"",OR(ISNUMBER(SEARCH("CTO",P348)),LEFT(O348,2)="22",LEFT(O348,2)="23",LEFT(O348,2)="24",LEFT(O348,2)="25",LEFT(O348,2)="26",LEFT(O348,2)="27")),MAX($AD$1:$AD$347)+1,"")</f>
        <v/>
      </c>
      <c r="AE348" s="69" t="str">
        <f aca="false">IF(AND(B348&lt;&gt;"",D348=CONSULTA_UNIDADE!$B$4),MAX($AE$1:$AE$347)+1,"")</f>
        <v/>
      </c>
      <c r="AF348" s="69" t="str">
        <f aca="false">IF(AND(B348&lt;&gt;"",O348&lt;&gt;"27 - Instalação concluída",O348&lt;&gt;"28 - Encerrado",ISNUMBER(S348)),S348*1000+(1000-ROW()),"")</f>
        <v/>
      </c>
      <c r="AG348" s="69" t="str">
        <f aca="false">IF(AF348="","",RANK(AF348,$AF$2:$AF$500))</f>
        <v/>
      </c>
    </row>
    <row r="349" customFormat="false" ht="16.5" hidden="false" customHeight="true" outlineLevel="0" collapsed="false">
      <c r="A349" s="86"/>
      <c r="B349" s="86"/>
      <c r="C349" s="87" t="str">
        <f aca="false">IF(D349="","",IFERROR(INDEX(CADASTRO_VIVO_3CRE!$B$2:$B$150,MATCH(D349,CADASTRO_VIVO_3CRE!$E$2:$E$150,0)),""))</f>
        <v/>
      </c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8"/>
      <c r="S349" s="89" t="str">
        <f aca="true">IF(R349="","",TODAY()-INT(R349))</f>
        <v/>
      </c>
      <c r="T349" s="86"/>
      <c r="U349" s="86"/>
      <c r="V349" s="86"/>
      <c r="W349" s="88"/>
      <c r="X349" s="89" t="str">
        <f aca="true">IF(W349="","",IF(OR(O349="28 - Encerrado",O349="27 - Instalação concluída"),"Concluído",TODAY()-INT(W349)))</f>
        <v/>
      </c>
      <c r="Y349" s="90" t="str">
        <f aca="false">IF(OR(O349="28 - Encerrado",O349="27 - Instalação concluída"),"OK",IF(AND(B349&lt;&gt;"",S349=""),"ATENÇÃO (Sem data de atualização)",IF(S349="","",IF(S349&gt;30,"CRÍTICO (Sem Atualização &gt;30 dias)",IF(S349&gt;15,"ATENÇÃO (Sem Atualização &gt;15 dias)",IF(X349&gt;90,"CRÍTICO (Aberto &gt;90 dias)","OK"))))))</f>
        <v/>
      </c>
      <c r="Z349" s="90" t="str">
        <f aca="false">IF(B349="","",IF(OR(O349="27 - Instalação concluída",O349="28 - Encerrado"),"OK",IF(NOT(ISNUMBER(X349)),"",IF(X349&gt;365,"MUITO ANTIGO (&gt;1 ano)",IF(X349&gt;180,"ANTIGO (&gt;6 meses)",IF(X349&gt;90,"ATENÇÃO ANTIG. (&gt;3 meses)","OK"))))))</f>
        <v/>
      </c>
      <c r="AA349" s="86"/>
      <c r="AB349" s="69" t="str">
        <f aca="false">IF(AND(B349&lt;&gt;"",OR(T349="Pendente de Vistoria",T349="Não validada")),MAX($AB$1:$AB$348)+1,"")</f>
        <v/>
      </c>
      <c r="AC349" s="69" t="str">
        <f aca="false">IF(AND(B349&lt;&gt;"",OR(ISNUMBER(SEARCH("CTIN",P349)),U349="Alta",O349="07 - Relatório recebido — unidade apta",O349="11 - Orçamentos em análise técnica",O349="22 - Instalação/substituição autorizada")),MAX($AC$1:$AC$348)+1,"")</f>
        <v/>
      </c>
      <c r="AD349" s="69" t="str">
        <f aca="false">IF(AND(B349&lt;&gt;"",OR(ISNUMBER(SEARCH("CTO",P349)),LEFT(O349,2)="22",LEFT(O349,2)="23",LEFT(O349,2)="24",LEFT(O349,2)="25",LEFT(O349,2)="26",LEFT(O349,2)="27")),MAX($AD$1:$AD$348)+1,"")</f>
        <v/>
      </c>
      <c r="AE349" s="69" t="str">
        <f aca="false">IF(AND(B349&lt;&gt;"",D349=CONSULTA_UNIDADE!$B$4),MAX($AE$1:$AE$348)+1,"")</f>
        <v/>
      </c>
      <c r="AF349" s="69" t="str">
        <f aca="false">IF(AND(B349&lt;&gt;"",O349&lt;&gt;"27 - Instalação concluída",O349&lt;&gt;"28 - Encerrado",ISNUMBER(S349)),S349*1000+(1000-ROW()),"")</f>
        <v/>
      </c>
      <c r="AG349" s="69" t="str">
        <f aca="false">IF(AF349="","",RANK(AF349,$AF$2:$AF$500))</f>
        <v/>
      </c>
    </row>
    <row r="350" customFormat="false" ht="16.5" hidden="false" customHeight="true" outlineLevel="0" collapsed="false">
      <c r="A350" s="86"/>
      <c r="B350" s="86"/>
      <c r="C350" s="87" t="str">
        <f aca="false">IF(D350="","",IFERROR(INDEX(CADASTRO_VIVO_3CRE!$B$2:$B$150,MATCH(D350,CADASTRO_VIVO_3CRE!$E$2:$E$150,0)),""))</f>
        <v/>
      </c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8"/>
      <c r="S350" s="89" t="str">
        <f aca="true">IF(R350="","",TODAY()-INT(R350))</f>
        <v/>
      </c>
      <c r="T350" s="86"/>
      <c r="U350" s="86"/>
      <c r="V350" s="86"/>
      <c r="W350" s="88"/>
      <c r="X350" s="89" t="str">
        <f aca="true">IF(W350="","",IF(OR(O350="28 - Encerrado",O350="27 - Instalação concluída"),"Concluído",TODAY()-INT(W350)))</f>
        <v/>
      </c>
      <c r="Y350" s="90" t="str">
        <f aca="false">IF(OR(O350="28 - Encerrado",O350="27 - Instalação concluída"),"OK",IF(AND(B350&lt;&gt;"",S350=""),"ATENÇÃO (Sem data de atualização)",IF(S350="","",IF(S350&gt;30,"CRÍTICO (Sem Atualização &gt;30 dias)",IF(S350&gt;15,"ATENÇÃO (Sem Atualização &gt;15 dias)",IF(X350&gt;90,"CRÍTICO (Aberto &gt;90 dias)","OK"))))))</f>
        <v/>
      </c>
      <c r="Z350" s="90" t="str">
        <f aca="false">IF(B350="","",IF(OR(O350="27 - Instalação concluída",O350="28 - Encerrado"),"OK",IF(NOT(ISNUMBER(X350)),"",IF(X350&gt;365,"MUITO ANTIGO (&gt;1 ano)",IF(X350&gt;180,"ANTIGO (&gt;6 meses)",IF(X350&gt;90,"ATENÇÃO ANTIG. (&gt;3 meses)","OK"))))))</f>
        <v/>
      </c>
      <c r="AA350" s="86"/>
      <c r="AB350" s="69" t="str">
        <f aca="false">IF(AND(B350&lt;&gt;"",OR(T350="Pendente de Vistoria",T350="Não validada")),MAX($AB$1:$AB$349)+1,"")</f>
        <v/>
      </c>
      <c r="AC350" s="69" t="str">
        <f aca="false">IF(AND(B350&lt;&gt;"",OR(ISNUMBER(SEARCH("CTIN",P350)),U350="Alta",O350="07 - Relatório recebido — unidade apta",O350="11 - Orçamentos em análise técnica",O350="22 - Instalação/substituição autorizada")),MAX($AC$1:$AC$349)+1,"")</f>
        <v/>
      </c>
      <c r="AD350" s="69" t="str">
        <f aca="false">IF(AND(B350&lt;&gt;"",OR(ISNUMBER(SEARCH("CTO",P350)),LEFT(O350,2)="22",LEFT(O350,2)="23",LEFT(O350,2)="24",LEFT(O350,2)="25",LEFT(O350,2)="26",LEFT(O350,2)="27")),MAX($AD$1:$AD$349)+1,"")</f>
        <v/>
      </c>
      <c r="AE350" s="69" t="str">
        <f aca="false">IF(AND(B350&lt;&gt;"",D350=CONSULTA_UNIDADE!$B$4),MAX($AE$1:$AE$349)+1,"")</f>
        <v/>
      </c>
      <c r="AF350" s="69" t="str">
        <f aca="false">IF(AND(B350&lt;&gt;"",O350&lt;&gt;"27 - Instalação concluída",O350&lt;&gt;"28 - Encerrado",ISNUMBER(S350)),S350*1000+(1000-ROW()),"")</f>
        <v/>
      </c>
      <c r="AG350" s="69" t="str">
        <f aca="false">IF(AF350="","",RANK(AF350,$AF$2:$AF$500))</f>
        <v/>
      </c>
    </row>
    <row r="351" customFormat="false" ht="16.5" hidden="false" customHeight="true" outlineLevel="0" collapsed="false">
      <c r="A351" s="86"/>
      <c r="B351" s="86"/>
      <c r="C351" s="87" t="str">
        <f aca="false">IF(D351="","",IFERROR(INDEX(CADASTRO_VIVO_3CRE!$B$2:$B$150,MATCH(D351,CADASTRO_VIVO_3CRE!$E$2:$E$150,0)),""))</f>
        <v/>
      </c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8"/>
      <c r="S351" s="89" t="str">
        <f aca="true">IF(R351="","",TODAY()-INT(R351))</f>
        <v/>
      </c>
      <c r="T351" s="86"/>
      <c r="U351" s="86"/>
      <c r="V351" s="86"/>
      <c r="W351" s="88"/>
      <c r="X351" s="89" t="str">
        <f aca="true">IF(W351="","",IF(OR(O351="28 - Encerrado",O351="27 - Instalação concluída"),"Concluído",TODAY()-INT(W351)))</f>
        <v/>
      </c>
      <c r="Y351" s="90" t="str">
        <f aca="false">IF(OR(O351="28 - Encerrado",O351="27 - Instalação concluída"),"OK",IF(AND(B351&lt;&gt;"",S351=""),"ATENÇÃO (Sem data de atualização)",IF(S351="","",IF(S351&gt;30,"CRÍTICO (Sem Atualização &gt;30 dias)",IF(S351&gt;15,"ATENÇÃO (Sem Atualização &gt;15 dias)",IF(X351&gt;90,"CRÍTICO (Aberto &gt;90 dias)","OK"))))))</f>
        <v/>
      </c>
      <c r="Z351" s="90" t="str">
        <f aca="false">IF(B351="","",IF(OR(O351="27 - Instalação concluída",O351="28 - Encerrado"),"OK",IF(NOT(ISNUMBER(X351)),"",IF(X351&gt;365,"MUITO ANTIGO (&gt;1 ano)",IF(X351&gt;180,"ANTIGO (&gt;6 meses)",IF(X351&gt;90,"ATENÇÃO ANTIG. (&gt;3 meses)","OK"))))))</f>
        <v/>
      </c>
      <c r="AA351" s="86"/>
      <c r="AB351" s="69" t="str">
        <f aca="false">IF(AND(B351&lt;&gt;"",OR(T351="Pendente de Vistoria",T351="Não validada")),MAX($AB$1:$AB$350)+1,"")</f>
        <v/>
      </c>
      <c r="AC351" s="69" t="str">
        <f aca="false">IF(AND(B351&lt;&gt;"",OR(ISNUMBER(SEARCH("CTIN",P351)),U351="Alta",O351="07 - Relatório recebido — unidade apta",O351="11 - Orçamentos em análise técnica",O351="22 - Instalação/substituição autorizada")),MAX($AC$1:$AC$350)+1,"")</f>
        <v/>
      </c>
      <c r="AD351" s="69" t="str">
        <f aca="false">IF(AND(B351&lt;&gt;"",OR(ISNUMBER(SEARCH("CTO",P351)),LEFT(O351,2)="22",LEFT(O351,2)="23",LEFT(O351,2)="24",LEFT(O351,2)="25",LEFT(O351,2)="26",LEFT(O351,2)="27")),MAX($AD$1:$AD$350)+1,"")</f>
        <v/>
      </c>
      <c r="AE351" s="69" t="str">
        <f aca="false">IF(AND(B351&lt;&gt;"",D351=CONSULTA_UNIDADE!$B$4),MAX($AE$1:$AE$350)+1,"")</f>
        <v/>
      </c>
      <c r="AF351" s="69" t="str">
        <f aca="false">IF(AND(B351&lt;&gt;"",O351&lt;&gt;"27 - Instalação concluída",O351&lt;&gt;"28 - Encerrado",ISNUMBER(S351)),S351*1000+(1000-ROW()),"")</f>
        <v/>
      </c>
      <c r="AG351" s="69" t="str">
        <f aca="false">IF(AF351="","",RANK(AF351,$AF$2:$AF$500))</f>
        <v/>
      </c>
    </row>
    <row r="352" customFormat="false" ht="16.5" hidden="false" customHeight="true" outlineLevel="0" collapsed="false">
      <c r="A352" s="86"/>
      <c r="B352" s="86"/>
      <c r="C352" s="87" t="str">
        <f aca="false">IF(D352="","",IFERROR(INDEX(CADASTRO_VIVO_3CRE!$B$2:$B$150,MATCH(D352,CADASTRO_VIVO_3CRE!$E$2:$E$150,0)),""))</f>
        <v/>
      </c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8"/>
      <c r="S352" s="89" t="str">
        <f aca="true">IF(R352="","",TODAY()-INT(R352))</f>
        <v/>
      </c>
      <c r="T352" s="86"/>
      <c r="U352" s="86"/>
      <c r="V352" s="86"/>
      <c r="W352" s="88"/>
      <c r="X352" s="89" t="str">
        <f aca="true">IF(W352="","",IF(OR(O352="28 - Encerrado",O352="27 - Instalação concluída"),"Concluído",TODAY()-INT(W352)))</f>
        <v/>
      </c>
      <c r="Y352" s="90" t="str">
        <f aca="false">IF(OR(O352="28 - Encerrado",O352="27 - Instalação concluída"),"OK",IF(AND(B352&lt;&gt;"",S352=""),"ATENÇÃO (Sem data de atualização)",IF(S352="","",IF(S352&gt;30,"CRÍTICO (Sem Atualização &gt;30 dias)",IF(S352&gt;15,"ATENÇÃO (Sem Atualização &gt;15 dias)",IF(X352&gt;90,"CRÍTICO (Aberto &gt;90 dias)","OK"))))))</f>
        <v/>
      </c>
      <c r="Z352" s="90" t="str">
        <f aca="false">IF(B352="","",IF(OR(O352="27 - Instalação concluída",O352="28 - Encerrado"),"OK",IF(NOT(ISNUMBER(X352)),"",IF(X352&gt;365,"MUITO ANTIGO (&gt;1 ano)",IF(X352&gt;180,"ANTIGO (&gt;6 meses)",IF(X352&gt;90,"ATENÇÃO ANTIG. (&gt;3 meses)","OK"))))))</f>
        <v/>
      </c>
      <c r="AA352" s="86"/>
      <c r="AB352" s="69" t="str">
        <f aca="false">IF(AND(B352&lt;&gt;"",OR(T352="Pendente de Vistoria",T352="Não validada")),MAX($AB$1:$AB$351)+1,"")</f>
        <v/>
      </c>
      <c r="AC352" s="69" t="str">
        <f aca="false">IF(AND(B352&lt;&gt;"",OR(ISNUMBER(SEARCH("CTIN",P352)),U352="Alta",O352="07 - Relatório recebido — unidade apta",O352="11 - Orçamentos em análise técnica",O352="22 - Instalação/substituição autorizada")),MAX($AC$1:$AC$351)+1,"")</f>
        <v/>
      </c>
      <c r="AD352" s="69" t="str">
        <f aca="false">IF(AND(B352&lt;&gt;"",OR(ISNUMBER(SEARCH("CTO",P352)),LEFT(O352,2)="22",LEFT(O352,2)="23",LEFT(O352,2)="24",LEFT(O352,2)="25",LEFT(O352,2)="26",LEFT(O352,2)="27")),MAX($AD$1:$AD$351)+1,"")</f>
        <v/>
      </c>
      <c r="AE352" s="69" t="str">
        <f aca="false">IF(AND(B352&lt;&gt;"",D352=CONSULTA_UNIDADE!$B$4),MAX($AE$1:$AE$351)+1,"")</f>
        <v/>
      </c>
      <c r="AF352" s="69" t="str">
        <f aca="false">IF(AND(B352&lt;&gt;"",O352&lt;&gt;"27 - Instalação concluída",O352&lt;&gt;"28 - Encerrado",ISNUMBER(S352)),S352*1000+(1000-ROW()),"")</f>
        <v/>
      </c>
      <c r="AG352" s="69" t="str">
        <f aca="false">IF(AF352="","",RANK(AF352,$AF$2:$AF$500))</f>
        <v/>
      </c>
    </row>
    <row r="353" customFormat="false" ht="16.5" hidden="false" customHeight="true" outlineLevel="0" collapsed="false">
      <c r="A353" s="86"/>
      <c r="B353" s="86"/>
      <c r="C353" s="87" t="str">
        <f aca="false">IF(D353="","",IFERROR(INDEX(CADASTRO_VIVO_3CRE!$B$2:$B$150,MATCH(D353,CADASTRO_VIVO_3CRE!$E$2:$E$150,0)),""))</f>
        <v/>
      </c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8"/>
      <c r="S353" s="89" t="str">
        <f aca="true">IF(R353="","",TODAY()-INT(R353))</f>
        <v/>
      </c>
      <c r="T353" s="86"/>
      <c r="U353" s="86"/>
      <c r="V353" s="86"/>
      <c r="W353" s="88"/>
      <c r="X353" s="89" t="str">
        <f aca="true">IF(W353="","",IF(OR(O353="28 - Encerrado",O353="27 - Instalação concluída"),"Concluído",TODAY()-INT(W353)))</f>
        <v/>
      </c>
      <c r="Y353" s="90" t="str">
        <f aca="false">IF(OR(O353="28 - Encerrado",O353="27 - Instalação concluída"),"OK",IF(AND(B353&lt;&gt;"",S353=""),"ATENÇÃO (Sem data de atualização)",IF(S353="","",IF(S353&gt;30,"CRÍTICO (Sem Atualização &gt;30 dias)",IF(S353&gt;15,"ATENÇÃO (Sem Atualização &gt;15 dias)",IF(X353&gt;90,"CRÍTICO (Aberto &gt;90 dias)","OK"))))))</f>
        <v/>
      </c>
      <c r="Z353" s="90" t="str">
        <f aca="false">IF(B353="","",IF(OR(O353="27 - Instalação concluída",O353="28 - Encerrado"),"OK",IF(NOT(ISNUMBER(X353)),"",IF(X353&gt;365,"MUITO ANTIGO (&gt;1 ano)",IF(X353&gt;180,"ANTIGO (&gt;6 meses)",IF(X353&gt;90,"ATENÇÃO ANTIG. (&gt;3 meses)","OK"))))))</f>
        <v/>
      </c>
      <c r="AA353" s="86"/>
      <c r="AB353" s="69" t="str">
        <f aca="false">IF(AND(B353&lt;&gt;"",OR(T353="Pendente de Vistoria",T353="Não validada")),MAX($AB$1:$AB$352)+1,"")</f>
        <v/>
      </c>
      <c r="AC353" s="69" t="str">
        <f aca="false">IF(AND(B353&lt;&gt;"",OR(ISNUMBER(SEARCH("CTIN",P353)),U353="Alta",O353="07 - Relatório recebido — unidade apta",O353="11 - Orçamentos em análise técnica",O353="22 - Instalação/substituição autorizada")),MAX($AC$1:$AC$352)+1,"")</f>
        <v/>
      </c>
      <c r="AD353" s="69" t="str">
        <f aca="false">IF(AND(B353&lt;&gt;"",OR(ISNUMBER(SEARCH("CTO",P353)),LEFT(O353,2)="22",LEFT(O353,2)="23",LEFT(O353,2)="24",LEFT(O353,2)="25",LEFT(O353,2)="26",LEFT(O353,2)="27")),MAX($AD$1:$AD$352)+1,"")</f>
        <v/>
      </c>
      <c r="AE353" s="69" t="str">
        <f aca="false">IF(AND(B353&lt;&gt;"",D353=CONSULTA_UNIDADE!$B$4),MAX($AE$1:$AE$352)+1,"")</f>
        <v/>
      </c>
      <c r="AF353" s="69" t="str">
        <f aca="false">IF(AND(B353&lt;&gt;"",O353&lt;&gt;"27 - Instalação concluída",O353&lt;&gt;"28 - Encerrado",ISNUMBER(S353)),S353*1000+(1000-ROW()),"")</f>
        <v/>
      </c>
      <c r="AG353" s="69" t="str">
        <f aca="false">IF(AF353="","",RANK(AF353,$AF$2:$AF$500))</f>
        <v/>
      </c>
    </row>
    <row r="354" customFormat="false" ht="16.5" hidden="false" customHeight="true" outlineLevel="0" collapsed="false">
      <c r="A354" s="86"/>
      <c r="B354" s="86"/>
      <c r="C354" s="87" t="str">
        <f aca="false">IF(D354="","",IFERROR(INDEX(CADASTRO_VIVO_3CRE!$B$2:$B$150,MATCH(D354,CADASTRO_VIVO_3CRE!$E$2:$E$150,0)),""))</f>
        <v/>
      </c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8"/>
      <c r="S354" s="89" t="str">
        <f aca="true">IF(R354="","",TODAY()-INT(R354))</f>
        <v/>
      </c>
      <c r="T354" s="86"/>
      <c r="U354" s="86"/>
      <c r="V354" s="86"/>
      <c r="W354" s="88"/>
      <c r="X354" s="89" t="str">
        <f aca="true">IF(W354="","",IF(OR(O354="28 - Encerrado",O354="27 - Instalação concluída"),"Concluído",TODAY()-INT(W354)))</f>
        <v/>
      </c>
      <c r="Y354" s="90" t="str">
        <f aca="false">IF(OR(O354="28 - Encerrado",O354="27 - Instalação concluída"),"OK",IF(AND(B354&lt;&gt;"",S354=""),"ATENÇÃO (Sem data de atualização)",IF(S354="","",IF(S354&gt;30,"CRÍTICO (Sem Atualização &gt;30 dias)",IF(S354&gt;15,"ATENÇÃO (Sem Atualização &gt;15 dias)",IF(X354&gt;90,"CRÍTICO (Aberto &gt;90 dias)","OK"))))))</f>
        <v/>
      </c>
      <c r="Z354" s="90" t="str">
        <f aca="false">IF(B354="","",IF(OR(O354="27 - Instalação concluída",O354="28 - Encerrado"),"OK",IF(NOT(ISNUMBER(X354)),"",IF(X354&gt;365,"MUITO ANTIGO (&gt;1 ano)",IF(X354&gt;180,"ANTIGO (&gt;6 meses)",IF(X354&gt;90,"ATENÇÃO ANTIG. (&gt;3 meses)","OK"))))))</f>
        <v/>
      </c>
      <c r="AA354" s="86"/>
      <c r="AB354" s="69" t="str">
        <f aca="false">IF(AND(B354&lt;&gt;"",OR(T354="Pendente de Vistoria",T354="Não validada")),MAX($AB$1:$AB$353)+1,"")</f>
        <v/>
      </c>
      <c r="AC354" s="69" t="str">
        <f aca="false">IF(AND(B354&lt;&gt;"",OR(ISNUMBER(SEARCH("CTIN",P354)),U354="Alta",O354="07 - Relatório recebido — unidade apta",O354="11 - Orçamentos em análise técnica",O354="22 - Instalação/substituição autorizada")),MAX($AC$1:$AC$353)+1,"")</f>
        <v/>
      </c>
      <c r="AD354" s="69" t="str">
        <f aca="false">IF(AND(B354&lt;&gt;"",OR(ISNUMBER(SEARCH("CTO",P354)),LEFT(O354,2)="22",LEFT(O354,2)="23",LEFT(O354,2)="24",LEFT(O354,2)="25",LEFT(O354,2)="26",LEFT(O354,2)="27")),MAX($AD$1:$AD$353)+1,"")</f>
        <v/>
      </c>
      <c r="AE354" s="69" t="str">
        <f aca="false">IF(AND(B354&lt;&gt;"",D354=CONSULTA_UNIDADE!$B$4),MAX($AE$1:$AE$353)+1,"")</f>
        <v/>
      </c>
      <c r="AF354" s="69" t="str">
        <f aca="false">IF(AND(B354&lt;&gt;"",O354&lt;&gt;"27 - Instalação concluída",O354&lt;&gt;"28 - Encerrado",ISNUMBER(S354)),S354*1000+(1000-ROW()),"")</f>
        <v/>
      </c>
      <c r="AG354" s="69" t="str">
        <f aca="false">IF(AF354="","",RANK(AF354,$AF$2:$AF$500))</f>
        <v/>
      </c>
    </row>
    <row r="355" customFormat="false" ht="16.5" hidden="false" customHeight="true" outlineLevel="0" collapsed="false">
      <c r="A355" s="86"/>
      <c r="B355" s="86"/>
      <c r="C355" s="87" t="str">
        <f aca="false">IF(D355="","",IFERROR(INDEX(CADASTRO_VIVO_3CRE!$B$2:$B$150,MATCH(D355,CADASTRO_VIVO_3CRE!$E$2:$E$150,0)),""))</f>
        <v/>
      </c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8"/>
      <c r="S355" s="89" t="str">
        <f aca="true">IF(R355="","",TODAY()-INT(R355))</f>
        <v/>
      </c>
      <c r="T355" s="86"/>
      <c r="U355" s="86"/>
      <c r="V355" s="86"/>
      <c r="W355" s="88"/>
      <c r="X355" s="89" t="str">
        <f aca="true">IF(W355="","",IF(OR(O355="28 - Encerrado",O355="27 - Instalação concluída"),"Concluído",TODAY()-INT(W355)))</f>
        <v/>
      </c>
      <c r="Y355" s="90" t="str">
        <f aca="false">IF(OR(O355="28 - Encerrado",O355="27 - Instalação concluída"),"OK",IF(AND(B355&lt;&gt;"",S355=""),"ATENÇÃO (Sem data de atualização)",IF(S355="","",IF(S355&gt;30,"CRÍTICO (Sem Atualização &gt;30 dias)",IF(S355&gt;15,"ATENÇÃO (Sem Atualização &gt;15 dias)",IF(X355&gt;90,"CRÍTICO (Aberto &gt;90 dias)","OK"))))))</f>
        <v/>
      </c>
      <c r="Z355" s="90" t="str">
        <f aca="false">IF(B355="","",IF(OR(O355="27 - Instalação concluída",O355="28 - Encerrado"),"OK",IF(NOT(ISNUMBER(X355)),"",IF(X355&gt;365,"MUITO ANTIGO (&gt;1 ano)",IF(X355&gt;180,"ANTIGO (&gt;6 meses)",IF(X355&gt;90,"ATENÇÃO ANTIG. (&gt;3 meses)","OK"))))))</f>
        <v/>
      </c>
      <c r="AA355" s="86"/>
      <c r="AB355" s="69" t="str">
        <f aca="false">IF(AND(B355&lt;&gt;"",OR(T355="Pendente de Vistoria",T355="Não validada")),MAX($AB$1:$AB$354)+1,"")</f>
        <v/>
      </c>
      <c r="AC355" s="69" t="str">
        <f aca="false">IF(AND(B355&lt;&gt;"",OR(ISNUMBER(SEARCH("CTIN",P355)),U355="Alta",O355="07 - Relatório recebido — unidade apta",O355="11 - Orçamentos em análise técnica",O355="22 - Instalação/substituição autorizada")),MAX($AC$1:$AC$354)+1,"")</f>
        <v/>
      </c>
      <c r="AD355" s="69" t="str">
        <f aca="false">IF(AND(B355&lt;&gt;"",OR(ISNUMBER(SEARCH("CTO",P355)),LEFT(O355,2)="22",LEFT(O355,2)="23",LEFT(O355,2)="24",LEFT(O355,2)="25",LEFT(O355,2)="26",LEFT(O355,2)="27")),MAX($AD$1:$AD$354)+1,"")</f>
        <v/>
      </c>
      <c r="AE355" s="69" t="str">
        <f aca="false">IF(AND(B355&lt;&gt;"",D355=CONSULTA_UNIDADE!$B$4),MAX($AE$1:$AE$354)+1,"")</f>
        <v/>
      </c>
      <c r="AF355" s="69" t="str">
        <f aca="false">IF(AND(B355&lt;&gt;"",O355&lt;&gt;"27 - Instalação concluída",O355&lt;&gt;"28 - Encerrado",ISNUMBER(S355)),S355*1000+(1000-ROW()),"")</f>
        <v/>
      </c>
      <c r="AG355" s="69" t="str">
        <f aca="false">IF(AF355="","",RANK(AF355,$AF$2:$AF$500))</f>
        <v/>
      </c>
    </row>
    <row r="356" customFormat="false" ht="16.5" hidden="false" customHeight="true" outlineLevel="0" collapsed="false">
      <c r="A356" s="86"/>
      <c r="B356" s="86"/>
      <c r="C356" s="87" t="str">
        <f aca="false">IF(D356="","",IFERROR(INDEX(CADASTRO_VIVO_3CRE!$B$2:$B$150,MATCH(D356,CADASTRO_VIVO_3CRE!$E$2:$E$150,0)),""))</f>
        <v/>
      </c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8"/>
      <c r="S356" s="89" t="str">
        <f aca="true">IF(R356="","",TODAY()-INT(R356))</f>
        <v/>
      </c>
      <c r="T356" s="86"/>
      <c r="U356" s="86"/>
      <c r="V356" s="86"/>
      <c r="W356" s="88"/>
      <c r="X356" s="89" t="str">
        <f aca="true">IF(W356="","",IF(OR(O356="28 - Encerrado",O356="27 - Instalação concluída"),"Concluído",TODAY()-INT(W356)))</f>
        <v/>
      </c>
      <c r="Y356" s="90" t="str">
        <f aca="false">IF(OR(O356="28 - Encerrado",O356="27 - Instalação concluída"),"OK",IF(AND(B356&lt;&gt;"",S356=""),"ATENÇÃO (Sem data de atualização)",IF(S356="","",IF(S356&gt;30,"CRÍTICO (Sem Atualização &gt;30 dias)",IF(S356&gt;15,"ATENÇÃO (Sem Atualização &gt;15 dias)",IF(X356&gt;90,"CRÍTICO (Aberto &gt;90 dias)","OK"))))))</f>
        <v/>
      </c>
      <c r="Z356" s="90" t="str">
        <f aca="false">IF(B356="","",IF(OR(O356="27 - Instalação concluída",O356="28 - Encerrado"),"OK",IF(NOT(ISNUMBER(X356)),"",IF(X356&gt;365,"MUITO ANTIGO (&gt;1 ano)",IF(X356&gt;180,"ANTIGO (&gt;6 meses)",IF(X356&gt;90,"ATENÇÃO ANTIG. (&gt;3 meses)","OK"))))))</f>
        <v/>
      </c>
      <c r="AA356" s="86"/>
      <c r="AB356" s="69" t="str">
        <f aca="false">IF(AND(B356&lt;&gt;"",OR(T356="Pendente de Vistoria",T356="Não validada")),MAX($AB$1:$AB$355)+1,"")</f>
        <v/>
      </c>
      <c r="AC356" s="69" t="str">
        <f aca="false">IF(AND(B356&lt;&gt;"",OR(ISNUMBER(SEARCH("CTIN",P356)),U356="Alta",O356="07 - Relatório recebido — unidade apta",O356="11 - Orçamentos em análise técnica",O356="22 - Instalação/substituição autorizada")),MAX($AC$1:$AC$355)+1,"")</f>
        <v/>
      </c>
      <c r="AD356" s="69" t="str">
        <f aca="false">IF(AND(B356&lt;&gt;"",OR(ISNUMBER(SEARCH("CTO",P356)),LEFT(O356,2)="22",LEFT(O356,2)="23",LEFT(O356,2)="24",LEFT(O356,2)="25",LEFT(O356,2)="26",LEFT(O356,2)="27")),MAX($AD$1:$AD$355)+1,"")</f>
        <v/>
      </c>
      <c r="AE356" s="69" t="str">
        <f aca="false">IF(AND(B356&lt;&gt;"",D356=CONSULTA_UNIDADE!$B$4),MAX($AE$1:$AE$355)+1,"")</f>
        <v/>
      </c>
      <c r="AF356" s="69" t="str">
        <f aca="false">IF(AND(B356&lt;&gt;"",O356&lt;&gt;"27 - Instalação concluída",O356&lt;&gt;"28 - Encerrado",ISNUMBER(S356)),S356*1000+(1000-ROW()),"")</f>
        <v/>
      </c>
      <c r="AG356" s="69" t="str">
        <f aca="false">IF(AF356="","",RANK(AF356,$AF$2:$AF$500))</f>
        <v/>
      </c>
    </row>
    <row r="357" customFormat="false" ht="16.5" hidden="false" customHeight="true" outlineLevel="0" collapsed="false">
      <c r="A357" s="86"/>
      <c r="B357" s="86"/>
      <c r="C357" s="87" t="str">
        <f aca="false">IF(D357="","",IFERROR(INDEX(CADASTRO_VIVO_3CRE!$B$2:$B$150,MATCH(D357,CADASTRO_VIVO_3CRE!$E$2:$E$150,0)),""))</f>
        <v/>
      </c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8"/>
      <c r="S357" s="89" t="str">
        <f aca="true">IF(R357="","",TODAY()-INT(R357))</f>
        <v/>
      </c>
      <c r="T357" s="86"/>
      <c r="U357" s="86"/>
      <c r="V357" s="86"/>
      <c r="W357" s="88"/>
      <c r="X357" s="89" t="str">
        <f aca="true">IF(W357="","",IF(OR(O357="28 - Encerrado",O357="27 - Instalação concluída"),"Concluído",TODAY()-INT(W357)))</f>
        <v/>
      </c>
      <c r="Y357" s="90" t="str">
        <f aca="false">IF(OR(O357="28 - Encerrado",O357="27 - Instalação concluída"),"OK",IF(AND(B357&lt;&gt;"",S357=""),"ATENÇÃO (Sem data de atualização)",IF(S357="","",IF(S357&gt;30,"CRÍTICO (Sem Atualização &gt;30 dias)",IF(S357&gt;15,"ATENÇÃO (Sem Atualização &gt;15 dias)",IF(X357&gt;90,"CRÍTICO (Aberto &gt;90 dias)","OK"))))))</f>
        <v/>
      </c>
      <c r="Z357" s="90" t="str">
        <f aca="false">IF(B357="","",IF(OR(O357="27 - Instalação concluída",O357="28 - Encerrado"),"OK",IF(NOT(ISNUMBER(X357)),"",IF(X357&gt;365,"MUITO ANTIGO (&gt;1 ano)",IF(X357&gt;180,"ANTIGO (&gt;6 meses)",IF(X357&gt;90,"ATENÇÃO ANTIG. (&gt;3 meses)","OK"))))))</f>
        <v/>
      </c>
      <c r="AA357" s="86"/>
      <c r="AB357" s="69" t="str">
        <f aca="false">IF(AND(B357&lt;&gt;"",OR(T357="Pendente de Vistoria",T357="Não validada")),MAX($AB$1:$AB$356)+1,"")</f>
        <v/>
      </c>
      <c r="AC357" s="69" t="str">
        <f aca="false">IF(AND(B357&lt;&gt;"",OR(ISNUMBER(SEARCH("CTIN",P357)),U357="Alta",O357="07 - Relatório recebido — unidade apta",O357="11 - Orçamentos em análise técnica",O357="22 - Instalação/substituição autorizada")),MAX($AC$1:$AC$356)+1,"")</f>
        <v/>
      </c>
      <c r="AD357" s="69" t="str">
        <f aca="false">IF(AND(B357&lt;&gt;"",OR(ISNUMBER(SEARCH("CTO",P357)),LEFT(O357,2)="22",LEFT(O357,2)="23",LEFT(O357,2)="24",LEFT(O357,2)="25",LEFT(O357,2)="26",LEFT(O357,2)="27")),MAX($AD$1:$AD$356)+1,"")</f>
        <v/>
      </c>
      <c r="AE357" s="69" t="str">
        <f aca="false">IF(AND(B357&lt;&gt;"",D357=CONSULTA_UNIDADE!$B$4),MAX($AE$1:$AE$356)+1,"")</f>
        <v/>
      </c>
      <c r="AF357" s="69" t="str">
        <f aca="false">IF(AND(B357&lt;&gt;"",O357&lt;&gt;"27 - Instalação concluída",O357&lt;&gt;"28 - Encerrado",ISNUMBER(S357)),S357*1000+(1000-ROW()),"")</f>
        <v/>
      </c>
      <c r="AG357" s="69" t="str">
        <f aca="false">IF(AF357="","",RANK(AF357,$AF$2:$AF$500))</f>
        <v/>
      </c>
    </row>
    <row r="358" customFormat="false" ht="16.5" hidden="false" customHeight="true" outlineLevel="0" collapsed="false">
      <c r="A358" s="86"/>
      <c r="B358" s="86"/>
      <c r="C358" s="87" t="str">
        <f aca="false">IF(D358="","",IFERROR(INDEX(CADASTRO_VIVO_3CRE!$B$2:$B$150,MATCH(D358,CADASTRO_VIVO_3CRE!$E$2:$E$150,0)),""))</f>
        <v/>
      </c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8"/>
      <c r="S358" s="89" t="str">
        <f aca="true">IF(R358="","",TODAY()-INT(R358))</f>
        <v/>
      </c>
      <c r="T358" s="86"/>
      <c r="U358" s="86"/>
      <c r="V358" s="86"/>
      <c r="W358" s="88"/>
      <c r="X358" s="89" t="str">
        <f aca="true">IF(W358="","",IF(OR(O358="28 - Encerrado",O358="27 - Instalação concluída"),"Concluído",TODAY()-INT(W358)))</f>
        <v/>
      </c>
      <c r="Y358" s="90" t="str">
        <f aca="false">IF(OR(O358="28 - Encerrado",O358="27 - Instalação concluída"),"OK",IF(AND(B358&lt;&gt;"",S358=""),"ATENÇÃO (Sem data de atualização)",IF(S358="","",IF(S358&gt;30,"CRÍTICO (Sem Atualização &gt;30 dias)",IF(S358&gt;15,"ATENÇÃO (Sem Atualização &gt;15 dias)",IF(X358&gt;90,"CRÍTICO (Aberto &gt;90 dias)","OK"))))))</f>
        <v/>
      </c>
      <c r="Z358" s="90" t="str">
        <f aca="false">IF(B358="","",IF(OR(O358="27 - Instalação concluída",O358="28 - Encerrado"),"OK",IF(NOT(ISNUMBER(X358)),"",IF(X358&gt;365,"MUITO ANTIGO (&gt;1 ano)",IF(X358&gt;180,"ANTIGO (&gt;6 meses)",IF(X358&gt;90,"ATENÇÃO ANTIG. (&gt;3 meses)","OK"))))))</f>
        <v/>
      </c>
      <c r="AA358" s="86"/>
      <c r="AB358" s="69" t="str">
        <f aca="false">IF(AND(B358&lt;&gt;"",OR(T358="Pendente de Vistoria",T358="Não validada")),MAX($AB$1:$AB$357)+1,"")</f>
        <v/>
      </c>
      <c r="AC358" s="69" t="str">
        <f aca="false">IF(AND(B358&lt;&gt;"",OR(ISNUMBER(SEARCH("CTIN",P358)),U358="Alta",O358="07 - Relatório recebido — unidade apta",O358="11 - Orçamentos em análise técnica",O358="22 - Instalação/substituição autorizada")),MAX($AC$1:$AC$357)+1,"")</f>
        <v/>
      </c>
      <c r="AD358" s="69" t="str">
        <f aca="false">IF(AND(B358&lt;&gt;"",OR(ISNUMBER(SEARCH("CTO",P358)),LEFT(O358,2)="22",LEFT(O358,2)="23",LEFT(O358,2)="24",LEFT(O358,2)="25",LEFT(O358,2)="26",LEFT(O358,2)="27")),MAX($AD$1:$AD$357)+1,"")</f>
        <v/>
      </c>
      <c r="AE358" s="69" t="str">
        <f aca="false">IF(AND(B358&lt;&gt;"",D358=CONSULTA_UNIDADE!$B$4),MAX($AE$1:$AE$357)+1,"")</f>
        <v/>
      </c>
      <c r="AF358" s="69" t="str">
        <f aca="false">IF(AND(B358&lt;&gt;"",O358&lt;&gt;"27 - Instalação concluída",O358&lt;&gt;"28 - Encerrado",ISNUMBER(S358)),S358*1000+(1000-ROW()),"")</f>
        <v/>
      </c>
      <c r="AG358" s="69" t="str">
        <f aca="false">IF(AF358="","",RANK(AF358,$AF$2:$AF$500))</f>
        <v/>
      </c>
    </row>
    <row r="359" customFormat="false" ht="16.5" hidden="false" customHeight="true" outlineLevel="0" collapsed="false">
      <c r="A359" s="86"/>
      <c r="B359" s="86"/>
      <c r="C359" s="87" t="str">
        <f aca="false">IF(D359="","",IFERROR(INDEX(CADASTRO_VIVO_3CRE!$B$2:$B$150,MATCH(D359,CADASTRO_VIVO_3CRE!$E$2:$E$150,0)),""))</f>
        <v/>
      </c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8"/>
      <c r="S359" s="89" t="str">
        <f aca="true">IF(R359="","",TODAY()-INT(R359))</f>
        <v/>
      </c>
      <c r="T359" s="86"/>
      <c r="U359" s="86"/>
      <c r="V359" s="86"/>
      <c r="W359" s="88"/>
      <c r="X359" s="89" t="str">
        <f aca="true">IF(W359="","",IF(OR(O359="28 - Encerrado",O359="27 - Instalação concluída"),"Concluído",TODAY()-INT(W359)))</f>
        <v/>
      </c>
      <c r="Y359" s="90" t="str">
        <f aca="false">IF(OR(O359="28 - Encerrado",O359="27 - Instalação concluída"),"OK",IF(AND(B359&lt;&gt;"",S359=""),"ATENÇÃO (Sem data de atualização)",IF(S359="","",IF(S359&gt;30,"CRÍTICO (Sem Atualização &gt;30 dias)",IF(S359&gt;15,"ATENÇÃO (Sem Atualização &gt;15 dias)",IF(X359&gt;90,"CRÍTICO (Aberto &gt;90 dias)","OK"))))))</f>
        <v/>
      </c>
      <c r="Z359" s="90" t="str">
        <f aca="false">IF(B359="","",IF(OR(O359="27 - Instalação concluída",O359="28 - Encerrado"),"OK",IF(NOT(ISNUMBER(X359)),"",IF(X359&gt;365,"MUITO ANTIGO (&gt;1 ano)",IF(X359&gt;180,"ANTIGO (&gt;6 meses)",IF(X359&gt;90,"ATENÇÃO ANTIG. (&gt;3 meses)","OK"))))))</f>
        <v/>
      </c>
      <c r="AA359" s="86"/>
      <c r="AB359" s="69" t="str">
        <f aca="false">IF(AND(B359&lt;&gt;"",OR(T359="Pendente de Vistoria",T359="Não validada")),MAX($AB$1:$AB$358)+1,"")</f>
        <v/>
      </c>
      <c r="AC359" s="69" t="str">
        <f aca="false">IF(AND(B359&lt;&gt;"",OR(ISNUMBER(SEARCH("CTIN",P359)),U359="Alta",O359="07 - Relatório recebido — unidade apta",O359="11 - Orçamentos em análise técnica",O359="22 - Instalação/substituição autorizada")),MAX($AC$1:$AC$358)+1,"")</f>
        <v/>
      </c>
      <c r="AD359" s="69" t="str">
        <f aca="false">IF(AND(B359&lt;&gt;"",OR(ISNUMBER(SEARCH("CTO",P359)),LEFT(O359,2)="22",LEFT(O359,2)="23",LEFT(O359,2)="24",LEFT(O359,2)="25",LEFT(O359,2)="26",LEFT(O359,2)="27")),MAX($AD$1:$AD$358)+1,"")</f>
        <v/>
      </c>
      <c r="AE359" s="69" t="str">
        <f aca="false">IF(AND(B359&lt;&gt;"",D359=CONSULTA_UNIDADE!$B$4),MAX($AE$1:$AE$358)+1,"")</f>
        <v/>
      </c>
      <c r="AF359" s="69" t="str">
        <f aca="false">IF(AND(B359&lt;&gt;"",O359&lt;&gt;"27 - Instalação concluída",O359&lt;&gt;"28 - Encerrado",ISNUMBER(S359)),S359*1000+(1000-ROW()),"")</f>
        <v/>
      </c>
      <c r="AG359" s="69" t="str">
        <f aca="false">IF(AF359="","",RANK(AF359,$AF$2:$AF$500))</f>
        <v/>
      </c>
    </row>
    <row r="360" customFormat="false" ht="16.5" hidden="false" customHeight="true" outlineLevel="0" collapsed="false">
      <c r="A360" s="86"/>
      <c r="B360" s="86"/>
      <c r="C360" s="87" t="str">
        <f aca="false">IF(D360="","",IFERROR(INDEX(CADASTRO_VIVO_3CRE!$B$2:$B$150,MATCH(D360,CADASTRO_VIVO_3CRE!$E$2:$E$150,0)),""))</f>
        <v/>
      </c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8"/>
      <c r="S360" s="89" t="str">
        <f aca="true">IF(R360="","",TODAY()-INT(R360))</f>
        <v/>
      </c>
      <c r="T360" s="86"/>
      <c r="U360" s="86"/>
      <c r="V360" s="86"/>
      <c r="W360" s="88"/>
      <c r="X360" s="89" t="str">
        <f aca="true">IF(W360="","",IF(OR(O360="28 - Encerrado",O360="27 - Instalação concluída"),"Concluído",TODAY()-INT(W360)))</f>
        <v/>
      </c>
      <c r="Y360" s="90" t="str">
        <f aca="false">IF(OR(O360="28 - Encerrado",O360="27 - Instalação concluída"),"OK",IF(AND(B360&lt;&gt;"",S360=""),"ATENÇÃO (Sem data de atualização)",IF(S360="","",IF(S360&gt;30,"CRÍTICO (Sem Atualização &gt;30 dias)",IF(S360&gt;15,"ATENÇÃO (Sem Atualização &gt;15 dias)",IF(X360&gt;90,"CRÍTICO (Aberto &gt;90 dias)","OK"))))))</f>
        <v/>
      </c>
      <c r="Z360" s="90" t="str">
        <f aca="false">IF(B360="","",IF(OR(O360="27 - Instalação concluída",O360="28 - Encerrado"),"OK",IF(NOT(ISNUMBER(X360)),"",IF(X360&gt;365,"MUITO ANTIGO (&gt;1 ano)",IF(X360&gt;180,"ANTIGO (&gt;6 meses)",IF(X360&gt;90,"ATENÇÃO ANTIG. (&gt;3 meses)","OK"))))))</f>
        <v/>
      </c>
      <c r="AA360" s="86"/>
      <c r="AB360" s="69" t="str">
        <f aca="false">IF(AND(B360&lt;&gt;"",OR(T360="Pendente de Vistoria",T360="Não validada")),MAX($AB$1:$AB$359)+1,"")</f>
        <v/>
      </c>
      <c r="AC360" s="69" t="str">
        <f aca="false">IF(AND(B360&lt;&gt;"",OR(ISNUMBER(SEARCH("CTIN",P360)),U360="Alta",O360="07 - Relatório recebido — unidade apta",O360="11 - Orçamentos em análise técnica",O360="22 - Instalação/substituição autorizada")),MAX($AC$1:$AC$359)+1,"")</f>
        <v/>
      </c>
      <c r="AD360" s="69" t="str">
        <f aca="false">IF(AND(B360&lt;&gt;"",OR(ISNUMBER(SEARCH("CTO",P360)),LEFT(O360,2)="22",LEFT(O360,2)="23",LEFT(O360,2)="24",LEFT(O360,2)="25",LEFT(O360,2)="26",LEFT(O360,2)="27")),MAX($AD$1:$AD$359)+1,"")</f>
        <v/>
      </c>
      <c r="AE360" s="69" t="str">
        <f aca="false">IF(AND(B360&lt;&gt;"",D360=CONSULTA_UNIDADE!$B$4),MAX($AE$1:$AE$359)+1,"")</f>
        <v/>
      </c>
      <c r="AF360" s="69" t="str">
        <f aca="false">IF(AND(B360&lt;&gt;"",O360&lt;&gt;"27 - Instalação concluída",O360&lt;&gt;"28 - Encerrado",ISNUMBER(S360)),S360*1000+(1000-ROW()),"")</f>
        <v/>
      </c>
      <c r="AG360" s="69" t="str">
        <f aca="false">IF(AF360="","",RANK(AF360,$AF$2:$AF$500))</f>
        <v/>
      </c>
    </row>
    <row r="361" customFormat="false" ht="16.5" hidden="false" customHeight="true" outlineLevel="0" collapsed="false">
      <c r="A361" s="86"/>
      <c r="B361" s="86"/>
      <c r="C361" s="87" t="str">
        <f aca="false">IF(D361="","",IFERROR(INDEX(CADASTRO_VIVO_3CRE!$B$2:$B$150,MATCH(D361,CADASTRO_VIVO_3CRE!$E$2:$E$150,0)),""))</f>
        <v/>
      </c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8"/>
      <c r="S361" s="89" t="str">
        <f aca="true">IF(R361="","",TODAY()-INT(R361))</f>
        <v/>
      </c>
      <c r="T361" s="86"/>
      <c r="U361" s="86"/>
      <c r="V361" s="86"/>
      <c r="W361" s="88"/>
      <c r="X361" s="89" t="str">
        <f aca="true">IF(W361="","",IF(OR(O361="28 - Encerrado",O361="27 - Instalação concluída"),"Concluído",TODAY()-INT(W361)))</f>
        <v/>
      </c>
      <c r="Y361" s="90" t="str">
        <f aca="false">IF(OR(O361="28 - Encerrado",O361="27 - Instalação concluída"),"OK",IF(AND(B361&lt;&gt;"",S361=""),"ATENÇÃO (Sem data de atualização)",IF(S361="","",IF(S361&gt;30,"CRÍTICO (Sem Atualização &gt;30 dias)",IF(S361&gt;15,"ATENÇÃO (Sem Atualização &gt;15 dias)",IF(X361&gt;90,"CRÍTICO (Aberto &gt;90 dias)","OK"))))))</f>
        <v/>
      </c>
      <c r="Z361" s="90" t="str">
        <f aca="false">IF(B361="","",IF(OR(O361="27 - Instalação concluída",O361="28 - Encerrado"),"OK",IF(NOT(ISNUMBER(X361)),"",IF(X361&gt;365,"MUITO ANTIGO (&gt;1 ano)",IF(X361&gt;180,"ANTIGO (&gt;6 meses)",IF(X361&gt;90,"ATENÇÃO ANTIG. (&gt;3 meses)","OK"))))))</f>
        <v/>
      </c>
      <c r="AA361" s="86"/>
      <c r="AB361" s="69" t="str">
        <f aca="false">IF(AND(B361&lt;&gt;"",OR(T361="Pendente de Vistoria",T361="Não validada")),MAX($AB$1:$AB$360)+1,"")</f>
        <v/>
      </c>
      <c r="AC361" s="69" t="str">
        <f aca="false">IF(AND(B361&lt;&gt;"",OR(ISNUMBER(SEARCH("CTIN",P361)),U361="Alta",O361="07 - Relatório recebido — unidade apta",O361="11 - Orçamentos em análise técnica",O361="22 - Instalação/substituição autorizada")),MAX($AC$1:$AC$360)+1,"")</f>
        <v/>
      </c>
      <c r="AD361" s="69" t="str">
        <f aca="false">IF(AND(B361&lt;&gt;"",OR(ISNUMBER(SEARCH("CTO",P361)),LEFT(O361,2)="22",LEFT(O361,2)="23",LEFT(O361,2)="24",LEFT(O361,2)="25",LEFT(O361,2)="26",LEFT(O361,2)="27")),MAX($AD$1:$AD$360)+1,"")</f>
        <v/>
      </c>
      <c r="AE361" s="69" t="str">
        <f aca="false">IF(AND(B361&lt;&gt;"",D361=CONSULTA_UNIDADE!$B$4),MAX($AE$1:$AE$360)+1,"")</f>
        <v/>
      </c>
      <c r="AF361" s="69" t="str">
        <f aca="false">IF(AND(B361&lt;&gt;"",O361&lt;&gt;"27 - Instalação concluída",O361&lt;&gt;"28 - Encerrado",ISNUMBER(S361)),S361*1000+(1000-ROW()),"")</f>
        <v/>
      </c>
      <c r="AG361" s="69" t="str">
        <f aca="false">IF(AF361="","",RANK(AF361,$AF$2:$AF$500))</f>
        <v/>
      </c>
    </row>
    <row r="362" customFormat="false" ht="16.5" hidden="false" customHeight="true" outlineLevel="0" collapsed="false">
      <c r="A362" s="86"/>
      <c r="B362" s="86"/>
      <c r="C362" s="87" t="str">
        <f aca="false">IF(D362="","",IFERROR(INDEX(CADASTRO_VIVO_3CRE!$B$2:$B$150,MATCH(D362,CADASTRO_VIVO_3CRE!$E$2:$E$150,0)),""))</f>
        <v/>
      </c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8"/>
      <c r="S362" s="89" t="str">
        <f aca="true">IF(R362="","",TODAY()-INT(R362))</f>
        <v/>
      </c>
      <c r="T362" s="86"/>
      <c r="U362" s="86"/>
      <c r="V362" s="86"/>
      <c r="W362" s="88"/>
      <c r="X362" s="89" t="str">
        <f aca="true">IF(W362="","",IF(OR(O362="28 - Encerrado",O362="27 - Instalação concluída"),"Concluído",TODAY()-INT(W362)))</f>
        <v/>
      </c>
      <c r="Y362" s="90" t="str">
        <f aca="false">IF(OR(O362="28 - Encerrado",O362="27 - Instalação concluída"),"OK",IF(AND(B362&lt;&gt;"",S362=""),"ATENÇÃO (Sem data de atualização)",IF(S362="","",IF(S362&gt;30,"CRÍTICO (Sem Atualização &gt;30 dias)",IF(S362&gt;15,"ATENÇÃO (Sem Atualização &gt;15 dias)",IF(X362&gt;90,"CRÍTICO (Aberto &gt;90 dias)","OK"))))))</f>
        <v/>
      </c>
      <c r="Z362" s="90" t="str">
        <f aca="false">IF(B362="","",IF(OR(O362="27 - Instalação concluída",O362="28 - Encerrado"),"OK",IF(NOT(ISNUMBER(X362)),"",IF(X362&gt;365,"MUITO ANTIGO (&gt;1 ano)",IF(X362&gt;180,"ANTIGO (&gt;6 meses)",IF(X362&gt;90,"ATENÇÃO ANTIG. (&gt;3 meses)","OK"))))))</f>
        <v/>
      </c>
      <c r="AA362" s="86"/>
      <c r="AB362" s="69" t="str">
        <f aca="false">IF(AND(B362&lt;&gt;"",OR(T362="Pendente de Vistoria",T362="Não validada")),MAX($AB$1:$AB$361)+1,"")</f>
        <v/>
      </c>
      <c r="AC362" s="69" t="str">
        <f aca="false">IF(AND(B362&lt;&gt;"",OR(ISNUMBER(SEARCH("CTIN",P362)),U362="Alta",O362="07 - Relatório recebido — unidade apta",O362="11 - Orçamentos em análise técnica",O362="22 - Instalação/substituição autorizada")),MAX($AC$1:$AC$361)+1,"")</f>
        <v/>
      </c>
      <c r="AD362" s="69" t="str">
        <f aca="false">IF(AND(B362&lt;&gt;"",OR(ISNUMBER(SEARCH("CTO",P362)),LEFT(O362,2)="22",LEFT(O362,2)="23",LEFT(O362,2)="24",LEFT(O362,2)="25",LEFT(O362,2)="26",LEFT(O362,2)="27")),MAX($AD$1:$AD$361)+1,"")</f>
        <v/>
      </c>
      <c r="AE362" s="69" t="str">
        <f aca="false">IF(AND(B362&lt;&gt;"",D362=CONSULTA_UNIDADE!$B$4),MAX($AE$1:$AE$361)+1,"")</f>
        <v/>
      </c>
      <c r="AF362" s="69" t="str">
        <f aca="false">IF(AND(B362&lt;&gt;"",O362&lt;&gt;"27 - Instalação concluída",O362&lt;&gt;"28 - Encerrado",ISNUMBER(S362)),S362*1000+(1000-ROW()),"")</f>
        <v/>
      </c>
      <c r="AG362" s="69" t="str">
        <f aca="false">IF(AF362="","",RANK(AF362,$AF$2:$AF$500))</f>
        <v/>
      </c>
    </row>
    <row r="363" customFormat="false" ht="16.5" hidden="false" customHeight="true" outlineLevel="0" collapsed="false">
      <c r="A363" s="86"/>
      <c r="B363" s="86"/>
      <c r="C363" s="87" t="str">
        <f aca="false">IF(D363="","",IFERROR(INDEX(CADASTRO_VIVO_3CRE!$B$2:$B$150,MATCH(D363,CADASTRO_VIVO_3CRE!$E$2:$E$150,0)),""))</f>
        <v/>
      </c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8"/>
      <c r="S363" s="89" t="str">
        <f aca="true">IF(R363="","",TODAY()-INT(R363))</f>
        <v/>
      </c>
      <c r="T363" s="86"/>
      <c r="U363" s="86"/>
      <c r="V363" s="86"/>
      <c r="W363" s="88"/>
      <c r="X363" s="89" t="str">
        <f aca="true">IF(W363="","",IF(OR(O363="28 - Encerrado",O363="27 - Instalação concluída"),"Concluído",TODAY()-INT(W363)))</f>
        <v/>
      </c>
      <c r="Y363" s="90" t="str">
        <f aca="false">IF(OR(O363="28 - Encerrado",O363="27 - Instalação concluída"),"OK",IF(AND(B363&lt;&gt;"",S363=""),"ATENÇÃO (Sem data de atualização)",IF(S363="","",IF(S363&gt;30,"CRÍTICO (Sem Atualização &gt;30 dias)",IF(S363&gt;15,"ATENÇÃO (Sem Atualização &gt;15 dias)",IF(X363&gt;90,"CRÍTICO (Aberto &gt;90 dias)","OK"))))))</f>
        <v/>
      </c>
      <c r="Z363" s="90" t="str">
        <f aca="false">IF(B363="","",IF(OR(O363="27 - Instalação concluída",O363="28 - Encerrado"),"OK",IF(NOT(ISNUMBER(X363)),"",IF(X363&gt;365,"MUITO ANTIGO (&gt;1 ano)",IF(X363&gt;180,"ANTIGO (&gt;6 meses)",IF(X363&gt;90,"ATENÇÃO ANTIG. (&gt;3 meses)","OK"))))))</f>
        <v/>
      </c>
      <c r="AA363" s="86"/>
      <c r="AB363" s="69" t="str">
        <f aca="false">IF(AND(B363&lt;&gt;"",OR(T363="Pendente de Vistoria",T363="Não validada")),MAX($AB$1:$AB$362)+1,"")</f>
        <v/>
      </c>
      <c r="AC363" s="69" t="str">
        <f aca="false">IF(AND(B363&lt;&gt;"",OR(ISNUMBER(SEARCH("CTIN",P363)),U363="Alta",O363="07 - Relatório recebido — unidade apta",O363="11 - Orçamentos em análise técnica",O363="22 - Instalação/substituição autorizada")),MAX($AC$1:$AC$362)+1,"")</f>
        <v/>
      </c>
      <c r="AD363" s="69" t="str">
        <f aca="false">IF(AND(B363&lt;&gt;"",OR(ISNUMBER(SEARCH("CTO",P363)),LEFT(O363,2)="22",LEFT(O363,2)="23",LEFT(O363,2)="24",LEFT(O363,2)="25",LEFT(O363,2)="26",LEFT(O363,2)="27")),MAX($AD$1:$AD$362)+1,"")</f>
        <v/>
      </c>
      <c r="AE363" s="69" t="str">
        <f aca="false">IF(AND(B363&lt;&gt;"",D363=CONSULTA_UNIDADE!$B$4),MAX($AE$1:$AE$362)+1,"")</f>
        <v/>
      </c>
      <c r="AF363" s="69" t="str">
        <f aca="false">IF(AND(B363&lt;&gt;"",O363&lt;&gt;"27 - Instalação concluída",O363&lt;&gt;"28 - Encerrado",ISNUMBER(S363)),S363*1000+(1000-ROW()),"")</f>
        <v/>
      </c>
      <c r="AG363" s="69" t="str">
        <f aca="false">IF(AF363="","",RANK(AF363,$AF$2:$AF$500))</f>
        <v/>
      </c>
    </row>
    <row r="364" customFormat="false" ht="16.5" hidden="false" customHeight="true" outlineLevel="0" collapsed="false">
      <c r="A364" s="86"/>
      <c r="B364" s="86"/>
      <c r="C364" s="87" t="str">
        <f aca="false">IF(D364="","",IFERROR(INDEX(CADASTRO_VIVO_3CRE!$B$2:$B$150,MATCH(D364,CADASTRO_VIVO_3CRE!$E$2:$E$150,0)),""))</f>
        <v/>
      </c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8"/>
      <c r="S364" s="89" t="str">
        <f aca="true">IF(R364="","",TODAY()-INT(R364))</f>
        <v/>
      </c>
      <c r="T364" s="86"/>
      <c r="U364" s="86"/>
      <c r="V364" s="86"/>
      <c r="W364" s="88"/>
      <c r="X364" s="89" t="str">
        <f aca="true">IF(W364="","",IF(OR(O364="28 - Encerrado",O364="27 - Instalação concluída"),"Concluído",TODAY()-INT(W364)))</f>
        <v/>
      </c>
      <c r="Y364" s="90" t="str">
        <f aca="false">IF(OR(O364="28 - Encerrado",O364="27 - Instalação concluída"),"OK",IF(AND(B364&lt;&gt;"",S364=""),"ATENÇÃO (Sem data de atualização)",IF(S364="","",IF(S364&gt;30,"CRÍTICO (Sem Atualização &gt;30 dias)",IF(S364&gt;15,"ATENÇÃO (Sem Atualização &gt;15 dias)",IF(X364&gt;90,"CRÍTICO (Aberto &gt;90 dias)","OK"))))))</f>
        <v/>
      </c>
      <c r="Z364" s="90" t="str">
        <f aca="false">IF(B364="","",IF(OR(O364="27 - Instalação concluída",O364="28 - Encerrado"),"OK",IF(NOT(ISNUMBER(X364)),"",IF(X364&gt;365,"MUITO ANTIGO (&gt;1 ano)",IF(X364&gt;180,"ANTIGO (&gt;6 meses)",IF(X364&gt;90,"ATENÇÃO ANTIG. (&gt;3 meses)","OK"))))))</f>
        <v/>
      </c>
      <c r="AA364" s="86"/>
      <c r="AB364" s="69" t="str">
        <f aca="false">IF(AND(B364&lt;&gt;"",OR(T364="Pendente de Vistoria",T364="Não validada")),MAX($AB$1:$AB$363)+1,"")</f>
        <v/>
      </c>
      <c r="AC364" s="69" t="str">
        <f aca="false">IF(AND(B364&lt;&gt;"",OR(ISNUMBER(SEARCH("CTIN",P364)),U364="Alta",O364="07 - Relatório recebido — unidade apta",O364="11 - Orçamentos em análise técnica",O364="22 - Instalação/substituição autorizada")),MAX($AC$1:$AC$363)+1,"")</f>
        <v/>
      </c>
      <c r="AD364" s="69" t="str">
        <f aca="false">IF(AND(B364&lt;&gt;"",OR(ISNUMBER(SEARCH("CTO",P364)),LEFT(O364,2)="22",LEFT(O364,2)="23",LEFT(O364,2)="24",LEFT(O364,2)="25",LEFT(O364,2)="26",LEFT(O364,2)="27")),MAX($AD$1:$AD$363)+1,"")</f>
        <v/>
      </c>
      <c r="AE364" s="69" t="str">
        <f aca="false">IF(AND(B364&lt;&gt;"",D364=CONSULTA_UNIDADE!$B$4),MAX($AE$1:$AE$363)+1,"")</f>
        <v/>
      </c>
      <c r="AF364" s="69" t="str">
        <f aca="false">IF(AND(B364&lt;&gt;"",O364&lt;&gt;"27 - Instalação concluída",O364&lt;&gt;"28 - Encerrado",ISNUMBER(S364)),S364*1000+(1000-ROW()),"")</f>
        <v/>
      </c>
      <c r="AG364" s="69" t="str">
        <f aca="false">IF(AF364="","",RANK(AF364,$AF$2:$AF$500))</f>
        <v/>
      </c>
    </row>
    <row r="365" customFormat="false" ht="16.5" hidden="false" customHeight="true" outlineLevel="0" collapsed="false">
      <c r="A365" s="86"/>
      <c r="B365" s="86"/>
      <c r="C365" s="87" t="str">
        <f aca="false">IF(D365="","",IFERROR(INDEX(CADASTRO_VIVO_3CRE!$B$2:$B$150,MATCH(D365,CADASTRO_VIVO_3CRE!$E$2:$E$150,0)),""))</f>
        <v/>
      </c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8"/>
      <c r="S365" s="89" t="str">
        <f aca="true">IF(R365="","",TODAY()-INT(R365))</f>
        <v/>
      </c>
      <c r="T365" s="86"/>
      <c r="U365" s="86"/>
      <c r="V365" s="86"/>
      <c r="W365" s="88"/>
      <c r="X365" s="89" t="str">
        <f aca="true">IF(W365="","",IF(OR(O365="28 - Encerrado",O365="27 - Instalação concluída"),"Concluído",TODAY()-INT(W365)))</f>
        <v/>
      </c>
      <c r="Y365" s="90" t="str">
        <f aca="false">IF(OR(O365="28 - Encerrado",O365="27 - Instalação concluída"),"OK",IF(AND(B365&lt;&gt;"",S365=""),"ATENÇÃO (Sem data de atualização)",IF(S365="","",IF(S365&gt;30,"CRÍTICO (Sem Atualização &gt;30 dias)",IF(S365&gt;15,"ATENÇÃO (Sem Atualização &gt;15 dias)",IF(X365&gt;90,"CRÍTICO (Aberto &gt;90 dias)","OK"))))))</f>
        <v/>
      </c>
      <c r="Z365" s="90" t="str">
        <f aca="false">IF(B365="","",IF(OR(O365="27 - Instalação concluída",O365="28 - Encerrado"),"OK",IF(NOT(ISNUMBER(X365)),"",IF(X365&gt;365,"MUITO ANTIGO (&gt;1 ano)",IF(X365&gt;180,"ANTIGO (&gt;6 meses)",IF(X365&gt;90,"ATENÇÃO ANTIG. (&gt;3 meses)","OK"))))))</f>
        <v/>
      </c>
      <c r="AA365" s="86"/>
      <c r="AB365" s="69" t="str">
        <f aca="false">IF(AND(B365&lt;&gt;"",OR(T365="Pendente de Vistoria",T365="Não validada")),MAX($AB$1:$AB$364)+1,"")</f>
        <v/>
      </c>
      <c r="AC365" s="69" t="str">
        <f aca="false">IF(AND(B365&lt;&gt;"",OR(ISNUMBER(SEARCH("CTIN",P365)),U365="Alta",O365="07 - Relatório recebido — unidade apta",O365="11 - Orçamentos em análise técnica",O365="22 - Instalação/substituição autorizada")),MAX($AC$1:$AC$364)+1,"")</f>
        <v/>
      </c>
      <c r="AD365" s="69" t="str">
        <f aca="false">IF(AND(B365&lt;&gt;"",OR(ISNUMBER(SEARCH("CTO",P365)),LEFT(O365,2)="22",LEFT(O365,2)="23",LEFT(O365,2)="24",LEFT(O365,2)="25",LEFT(O365,2)="26",LEFT(O365,2)="27")),MAX($AD$1:$AD$364)+1,"")</f>
        <v/>
      </c>
      <c r="AE365" s="69" t="str">
        <f aca="false">IF(AND(B365&lt;&gt;"",D365=CONSULTA_UNIDADE!$B$4),MAX($AE$1:$AE$364)+1,"")</f>
        <v/>
      </c>
      <c r="AF365" s="69" t="str">
        <f aca="false">IF(AND(B365&lt;&gt;"",O365&lt;&gt;"27 - Instalação concluída",O365&lt;&gt;"28 - Encerrado",ISNUMBER(S365)),S365*1000+(1000-ROW()),"")</f>
        <v/>
      </c>
      <c r="AG365" s="69" t="str">
        <f aca="false">IF(AF365="","",RANK(AF365,$AF$2:$AF$500))</f>
        <v/>
      </c>
    </row>
    <row r="366" customFormat="false" ht="16.5" hidden="false" customHeight="true" outlineLevel="0" collapsed="false">
      <c r="A366" s="86"/>
      <c r="B366" s="86"/>
      <c r="C366" s="87" t="str">
        <f aca="false">IF(D366="","",IFERROR(INDEX(CADASTRO_VIVO_3CRE!$B$2:$B$150,MATCH(D366,CADASTRO_VIVO_3CRE!$E$2:$E$150,0)),""))</f>
        <v/>
      </c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8"/>
      <c r="S366" s="89" t="str">
        <f aca="true">IF(R366="","",TODAY()-INT(R366))</f>
        <v/>
      </c>
      <c r="T366" s="86"/>
      <c r="U366" s="86"/>
      <c r="V366" s="86"/>
      <c r="W366" s="88"/>
      <c r="X366" s="89" t="str">
        <f aca="true">IF(W366="","",IF(OR(O366="28 - Encerrado",O366="27 - Instalação concluída"),"Concluído",TODAY()-INT(W366)))</f>
        <v/>
      </c>
      <c r="Y366" s="90" t="str">
        <f aca="false">IF(OR(O366="28 - Encerrado",O366="27 - Instalação concluída"),"OK",IF(AND(B366&lt;&gt;"",S366=""),"ATENÇÃO (Sem data de atualização)",IF(S366="","",IF(S366&gt;30,"CRÍTICO (Sem Atualização &gt;30 dias)",IF(S366&gt;15,"ATENÇÃO (Sem Atualização &gt;15 dias)",IF(X366&gt;90,"CRÍTICO (Aberto &gt;90 dias)","OK"))))))</f>
        <v/>
      </c>
      <c r="Z366" s="90" t="str">
        <f aca="false">IF(B366="","",IF(OR(O366="27 - Instalação concluída",O366="28 - Encerrado"),"OK",IF(NOT(ISNUMBER(X366)),"",IF(X366&gt;365,"MUITO ANTIGO (&gt;1 ano)",IF(X366&gt;180,"ANTIGO (&gt;6 meses)",IF(X366&gt;90,"ATENÇÃO ANTIG. (&gt;3 meses)","OK"))))))</f>
        <v/>
      </c>
      <c r="AA366" s="86"/>
      <c r="AB366" s="69" t="str">
        <f aca="false">IF(AND(B366&lt;&gt;"",OR(T366="Pendente de Vistoria",T366="Não validada")),MAX($AB$1:$AB$365)+1,"")</f>
        <v/>
      </c>
      <c r="AC366" s="69" t="str">
        <f aca="false">IF(AND(B366&lt;&gt;"",OR(ISNUMBER(SEARCH("CTIN",P366)),U366="Alta",O366="07 - Relatório recebido — unidade apta",O366="11 - Orçamentos em análise técnica",O366="22 - Instalação/substituição autorizada")),MAX($AC$1:$AC$365)+1,"")</f>
        <v/>
      </c>
      <c r="AD366" s="69" t="str">
        <f aca="false">IF(AND(B366&lt;&gt;"",OR(ISNUMBER(SEARCH("CTO",P366)),LEFT(O366,2)="22",LEFT(O366,2)="23",LEFT(O366,2)="24",LEFT(O366,2)="25",LEFT(O366,2)="26",LEFT(O366,2)="27")),MAX($AD$1:$AD$365)+1,"")</f>
        <v/>
      </c>
      <c r="AE366" s="69" t="str">
        <f aca="false">IF(AND(B366&lt;&gt;"",D366=CONSULTA_UNIDADE!$B$4),MAX($AE$1:$AE$365)+1,"")</f>
        <v/>
      </c>
      <c r="AF366" s="69" t="str">
        <f aca="false">IF(AND(B366&lt;&gt;"",O366&lt;&gt;"27 - Instalação concluída",O366&lt;&gt;"28 - Encerrado",ISNUMBER(S366)),S366*1000+(1000-ROW()),"")</f>
        <v/>
      </c>
      <c r="AG366" s="69" t="str">
        <f aca="false">IF(AF366="","",RANK(AF366,$AF$2:$AF$500))</f>
        <v/>
      </c>
    </row>
    <row r="367" customFormat="false" ht="16.5" hidden="false" customHeight="true" outlineLevel="0" collapsed="false">
      <c r="A367" s="86"/>
      <c r="B367" s="86"/>
      <c r="C367" s="87" t="str">
        <f aca="false">IF(D367="","",IFERROR(INDEX(CADASTRO_VIVO_3CRE!$B$2:$B$150,MATCH(D367,CADASTRO_VIVO_3CRE!$E$2:$E$150,0)),""))</f>
        <v/>
      </c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8"/>
      <c r="S367" s="89" t="str">
        <f aca="true">IF(R367="","",TODAY()-INT(R367))</f>
        <v/>
      </c>
      <c r="T367" s="86"/>
      <c r="U367" s="86"/>
      <c r="V367" s="86"/>
      <c r="W367" s="88"/>
      <c r="X367" s="89" t="str">
        <f aca="true">IF(W367="","",IF(OR(O367="28 - Encerrado",O367="27 - Instalação concluída"),"Concluído",TODAY()-INT(W367)))</f>
        <v/>
      </c>
      <c r="Y367" s="90" t="str">
        <f aca="false">IF(OR(O367="28 - Encerrado",O367="27 - Instalação concluída"),"OK",IF(AND(B367&lt;&gt;"",S367=""),"ATENÇÃO (Sem data de atualização)",IF(S367="","",IF(S367&gt;30,"CRÍTICO (Sem Atualização &gt;30 dias)",IF(S367&gt;15,"ATENÇÃO (Sem Atualização &gt;15 dias)",IF(X367&gt;90,"CRÍTICO (Aberto &gt;90 dias)","OK"))))))</f>
        <v/>
      </c>
      <c r="Z367" s="90" t="str">
        <f aca="false">IF(B367="","",IF(OR(O367="27 - Instalação concluída",O367="28 - Encerrado"),"OK",IF(NOT(ISNUMBER(X367)),"",IF(X367&gt;365,"MUITO ANTIGO (&gt;1 ano)",IF(X367&gt;180,"ANTIGO (&gt;6 meses)",IF(X367&gt;90,"ATENÇÃO ANTIG. (&gt;3 meses)","OK"))))))</f>
        <v/>
      </c>
      <c r="AA367" s="86"/>
      <c r="AB367" s="69" t="str">
        <f aca="false">IF(AND(B367&lt;&gt;"",OR(T367="Pendente de Vistoria",T367="Não validada")),MAX($AB$1:$AB$366)+1,"")</f>
        <v/>
      </c>
      <c r="AC367" s="69" t="str">
        <f aca="false">IF(AND(B367&lt;&gt;"",OR(ISNUMBER(SEARCH("CTIN",P367)),U367="Alta",O367="07 - Relatório recebido — unidade apta",O367="11 - Orçamentos em análise técnica",O367="22 - Instalação/substituição autorizada")),MAX($AC$1:$AC$366)+1,"")</f>
        <v/>
      </c>
      <c r="AD367" s="69" t="str">
        <f aca="false">IF(AND(B367&lt;&gt;"",OR(ISNUMBER(SEARCH("CTO",P367)),LEFT(O367,2)="22",LEFT(O367,2)="23",LEFT(O367,2)="24",LEFT(O367,2)="25",LEFT(O367,2)="26",LEFT(O367,2)="27")),MAX($AD$1:$AD$366)+1,"")</f>
        <v/>
      </c>
      <c r="AE367" s="69" t="str">
        <f aca="false">IF(AND(B367&lt;&gt;"",D367=CONSULTA_UNIDADE!$B$4),MAX($AE$1:$AE$366)+1,"")</f>
        <v/>
      </c>
      <c r="AF367" s="69" t="str">
        <f aca="false">IF(AND(B367&lt;&gt;"",O367&lt;&gt;"27 - Instalação concluída",O367&lt;&gt;"28 - Encerrado",ISNUMBER(S367)),S367*1000+(1000-ROW()),"")</f>
        <v/>
      </c>
      <c r="AG367" s="69" t="str">
        <f aca="false">IF(AF367="","",RANK(AF367,$AF$2:$AF$500))</f>
        <v/>
      </c>
    </row>
    <row r="368" customFormat="false" ht="16.5" hidden="false" customHeight="true" outlineLevel="0" collapsed="false">
      <c r="A368" s="86"/>
      <c r="B368" s="86"/>
      <c r="C368" s="87" t="str">
        <f aca="false">IF(D368="","",IFERROR(INDEX(CADASTRO_VIVO_3CRE!$B$2:$B$150,MATCH(D368,CADASTRO_VIVO_3CRE!$E$2:$E$150,0)),""))</f>
        <v/>
      </c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8"/>
      <c r="S368" s="89" t="str">
        <f aca="true">IF(R368="","",TODAY()-INT(R368))</f>
        <v/>
      </c>
      <c r="T368" s="86"/>
      <c r="U368" s="86"/>
      <c r="V368" s="86"/>
      <c r="W368" s="88"/>
      <c r="X368" s="89" t="str">
        <f aca="true">IF(W368="","",IF(OR(O368="28 - Encerrado",O368="27 - Instalação concluída"),"Concluído",TODAY()-INT(W368)))</f>
        <v/>
      </c>
      <c r="Y368" s="90" t="str">
        <f aca="false">IF(OR(O368="28 - Encerrado",O368="27 - Instalação concluída"),"OK",IF(AND(B368&lt;&gt;"",S368=""),"ATENÇÃO (Sem data de atualização)",IF(S368="","",IF(S368&gt;30,"CRÍTICO (Sem Atualização &gt;30 dias)",IF(S368&gt;15,"ATENÇÃO (Sem Atualização &gt;15 dias)",IF(X368&gt;90,"CRÍTICO (Aberto &gt;90 dias)","OK"))))))</f>
        <v/>
      </c>
      <c r="Z368" s="90" t="str">
        <f aca="false">IF(B368="","",IF(OR(O368="27 - Instalação concluída",O368="28 - Encerrado"),"OK",IF(NOT(ISNUMBER(X368)),"",IF(X368&gt;365,"MUITO ANTIGO (&gt;1 ano)",IF(X368&gt;180,"ANTIGO (&gt;6 meses)",IF(X368&gt;90,"ATENÇÃO ANTIG. (&gt;3 meses)","OK"))))))</f>
        <v/>
      </c>
      <c r="AA368" s="86"/>
      <c r="AB368" s="69" t="str">
        <f aca="false">IF(AND(B368&lt;&gt;"",OR(T368="Pendente de Vistoria",T368="Não validada")),MAX($AB$1:$AB$367)+1,"")</f>
        <v/>
      </c>
      <c r="AC368" s="69" t="str">
        <f aca="false">IF(AND(B368&lt;&gt;"",OR(ISNUMBER(SEARCH("CTIN",P368)),U368="Alta",O368="07 - Relatório recebido — unidade apta",O368="11 - Orçamentos em análise técnica",O368="22 - Instalação/substituição autorizada")),MAX($AC$1:$AC$367)+1,"")</f>
        <v/>
      </c>
      <c r="AD368" s="69" t="str">
        <f aca="false">IF(AND(B368&lt;&gt;"",OR(ISNUMBER(SEARCH("CTO",P368)),LEFT(O368,2)="22",LEFT(O368,2)="23",LEFT(O368,2)="24",LEFT(O368,2)="25",LEFT(O368,2)="26",LEFT(O368,2)="27")),MAX($AD$1:$AD$367)+1,"")</f>
        <v/>
      </c>
      <c r="AE368" s="69" t="str">
        <f aca="false">IF(AND(B368&lt;&gt;"",D368=CONSULTA_UNIDADE!$B$4),MAX($AE$1:$AE$367)+1,"")</f>
        <v/>
      </c>
      <c r="AF368" s="69" t="str">
        <f aca="false">IF(AND(B368&lt;&gt;"",O368&lt;&gt;"27 - Instalação concluída",O368&lt;&gt;"28 - Encerrado",ISNUMBER(S368)),S368*1000+(1000-ROW()),"")</f>
        <v/>
      </c>
      <c r="AG368" s="69" t="str">
        <f aca="false">IF(AF368="","",RANK(AF368,$AF$2:$AF$500))</f>
        <v/>
      </c>
    </row>
    <row r="369" customFormat="false" ht="16.5" hidden="false" customHeight="true" outlineLevel="0" collapsed="false">
      <c r="A369" s="86"/>
      <c r="B369" s="86"/>
      <c r="C369" s="87" t="str">
        <f aca="false">IF(D369="","",IFERROR(INDEX(CADASTRO_VIVO_3CRE!$B$2:$B$150,MATCH(D369,CADASTRO_VIVO_3CRE!$E$2:$E$150,0)),""))</f>
        <v/>
      </c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8"/>
      <c r="S369" s="89" t="str">
        <f aca="true">IF(R369="","",TODAY()-INT(R369))</f>
        <v/>
      </c>
      <c r="T369" s="86"/>
      <c r="U369" s="86"/>
      <c r="V369" s="86"/>
      <c r="W369" s="88"/>
      <c r="X369" s="89" t="str">
        <f aca="true">IF(W369="","",IF(OR(O369="28 - Encerrado",O369="27 - Instalação concluída"),"Concluído",TODAY()-INT(W369)))</f>
        <v/>
      </c>
      <c r="Y369" s="90" t="str">
        <f aca="false">IF(OR(O369="28 - Encerrado",O369="27 - Instalação concluída"),"OK",IF(AND(B369&lt;&gt;"",S369=""),"ATENÇÃO (Sem data de atualização)",IF(S369="","",IF(S369&gt;30,"CRÍTICO (Sem Atualização &gt;30 dias)",IF(S369&gt;15,"ATENÇÃO (Sem Atualização &gt;15 dias)",IF(X369&gt;90,"CRÍTICO (Aberto &gt;90 dias)","OK"))))))</f>
        <v/>
      </c>
      <c r="Z369" s="90" t="str">
        <f aca="false">IF(B369="","",IF(OR(O369="27 - Instalação concluída",O369="28 - Encerrado"),"OK",IF(NOT(ISNUMBER(X369)),"",IF(X369&gt;365,"MUITO ANTIGO (&gt;1 ano)",IF(X369&gt;180,"ANTIGO (&gt;6 meses)",IF(X369&gt;90,"ATENÇÃO ANTIG. (&gt;3 meses)","OK"))))))</f>
        <v/>
      </c>
      <c r="AA369" s="86"/>
      <c r="AB369" s="69" t="str">
        <f aca="false">IF(AND(B369&lt;&gt;"",OR(T369="Pendente de Vistoria",T369="Não validada")),MAX($AB$1:$AB$368)+1,"")</f>
        <v/>
      </c>
      <c r="AC369" s="69" t="str">
        <f aca="false">IF(AND(B369&lt;&gt;"",OR(ISNUMBER(SEARCH("CTIN",P369)),U369="Alta",O369="07 - Relatório recebido — unidade apta",O369="11 - Orçamentos em análise técnica",O369="22 - Instalação/substituição autorizada")),MAX($AC$1:$AC$368)+1,"")</f>
        <v/>
      </c>
      <c r="AD369" s="69" t="str">
        <f aca="false">IF(AND(B369&lt;&gt;"",OR(ISNUMBER(SEARCH("CTO",P369)),LEFT(O369,2)="22",LEFT(O369,2)="23",LEFT(O369,2)="24",LEFT(O369,2)="25",LEFT(O369,2)="26",LEFT(O369,2)="27")),MAX($AD$1:$AD$368)+1,"")</f>
        <v/>
      </c>
      <c r="AE369" s="69" t="str">
        <f aca="false">IF(AND(B369&lt;&gt;"",D369=CONSULTA_UNIDADE!$B$4),MAX($AE$1:$AE$368)+1,"")</f>
        <v/>
      </c>
      <c r="AF369" s="69" t="str">
        <f aca="false">IF(AND(B369&lt;&gt;"",O369&lt;&gt;"27 - Instalação concluída",O369&lt;&gt;"28 - Encerrado",ISNUMBER(S369)),S369*1000+(1000-ROW()),"")</f>
        <v/>
      </c>
      <c r="AG369" s="69" t="str">
        <f aca="false">IF(AF369="","",RANK(AF369,$AF$2:$AF$500))</f>
        <v/>
      </c>
    </row>
    <row r="370" customFormat="false" ht="16.5" hidden="false" customHeight="true" outlineLevel="0" collapsed="false">
      <c r="A370" s="86"/>
      <c r="B370" s="86"/>
      <c r="C370" s="87" t="str">
        <f aca="false">IF(D370="","",IFERROR(INDEX(CADASTRO_VIVO_3CRE!$B$2:$B$150,MATCH(D370,CADASTRO_VIVO_3CRE!$E$2:$E$150,0)),""))</f>
        <v/>
      </c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8"/>
      <c r="S370" s="89" t="str">
        <f aca="true">IF(R370="","",TODAY()-INT(R370))</f>
        <v/>
      </c>
      <c r="T370" s="86"/>
      <c r="U370" s="86"/>
      <c r="V370" s="86"/>
      <c r="W370" s="88"/>
      <c r="X370" s="89" t="str">
        <f aca="true">IF(W370="","",IF(OR(O370="28 - Encerrado",O370="27 - Instalação concluída"),"Concluído",TODAY()-INT(W370)))</f>
        <v/>
      </c>
      <c r="Y370" s="90" t="str">
        <f aca="false">IF(OR(O370="28 - Encerrado",O370="27 - Instalação concluída"),"OK",IF(AND(B370&lt;&gt;"",S370=""),"ATENÇÃO (Sem data de atualização)",IF(S370="","",IF(S370&gt;30,"CRÍTICO (Sem Atualização &gt;30 dias)",IF(S370&gt;15,"ATENÇÃO (Sem Atualização &gt;15 dias)",IF(X370&gt;90,"CRÍTICO (Aberto &gt;90 dias)","OK"))))))</f>
        <v/>
      </c>
      <c r="Z370" s="90" t="str">
        <f aca="false">IF(B370="","",IF(OR(O370="27 - Instalação concluída",O370="28 - Encerrado"),"OK",IF(NOT(ISNUMBER(X370)),"",IF(X370&gt;365,"MUITO ANTIGO (&gt;1 ano)",IF(X370&gt;180,"ANTIGO (&gt;6 meses)",IF(X370&gt;90,"ATENÇÃO ANTIG. (&gt;3 meses)","OK"))))))</f>
        <v/>
      </c>
      <c r="AA370" s="86"/>
      <c r="AB370" s="69" t="str">
        <f aca="false">IF(AND(B370&lt;&gt;"",OR(T370="Pendente de Vistoria",T370="Não validada")),MAX($AB$1:$AB$369)+1,"")</f>
        <v/>
      </c>
      <c r="AC370" s="69" t="str">
        <f aca="false">IF(AND(B370&lt;&gt;"",OR(ISNUMBER(SEARCH("CTIN",P370)),U370="Alta",O370="07 - Relatório recebido — unidade apta",O370="11 - Orçamentos em análise técnica",O370="22 - Instalação/substituição autorizada")),MAX($AC$1:$AC$369)+1,"")</f>
        <v/>
      </c>
      <c r="AD370" s="69" t="str">
        <f aca="false">IF(AND(B370&lt;&gt;"",OR(ISNUMBER(SEARCH("CTO",P370)),LEFT(O370,2)="22",LEFT(O370,2)="23",LEFT(O370,2)="24",LEFT(O370,2)="25",LEFT(O370,2)="26",LEFT(O370,2)="27")),MAX($AD$1:$AD$369)+1,"")</f>
        <v/>
      </c>
      <c r="AE370" s="69" t="str">
        <f aca="false">IF(AND(B370&lt;&gt;"",D370=CONSULTA_UNIDADE!$B$4),MAX($AE$1:$AE$369)+1,"")</f>
        <v/>
      </c>
      <c r="AF370" s="69" t="str">
        <f aca="false">IF(AND(B370&lt;&gt;"",O370&lt;&gt;"27 - Instalação concluída",O370&lt;&gt;"28 - Encerrado",ISNUMBER(S370)),S370*1000+(1000-ROW()),"")</f>
        <v/>
      </c>
      <c r="AG370" s="69" t="str">
        <f aca="false">IF(AF370="","",RANK(AF370,$AF$2:$AF$500))</f>
        <v/>
      </c>
    </row>
    <row r="371" customFormat="false" ht="16.5" hidden="false" customHeight="true" outlineLevel="0" collapsed="false">
      <c r="A371" s="86"/>
      <c r="B371" s="86"/>
      <c r="C371" s="87" t="str">
        <f aca="false">IF(D371="","",IFERROR(INDEX(CADASTRO_VIVO_3CRE!$B$2:$B$150,MATCH(D371,CADASTRO_VIVO_3CRE!$E$2:$E$150,0)),""))</f>
        <v/>
      </c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8"/>
      <c r="S371" s="89" t="str">
        <f aca="true">IF(R371="","",TODAY()-INT(R371))</f>
        <v/>
      </c>
      <c r="T371" s="86"/>
      <c r="U371" s="86"/>
      <c r="V371" s="86"/>
      <c r="W371" s="88"/>
      <c r="X371" s="89" t="str">
        <f aca="true">IF(W371="","",IF(OR(O371="28 - Encerrado",O371="27 - Instalação concluída"),"Concluído",TODAY()-INT(W371)))</f>
        <v/>
      </c>
      <c r="Y371" s="90" t="str">
        <f aca="false">IF(OR(O371="28 - Encerrado",O371="27 - Instalação concluída"),"OK",IF(AND(B371&lt;&gt;"",S371=""),"ATENÇÃO (Sem data de atualização)",IF(S371="","",IF(S371&gt;30,"CRÍTICO (Sem Atualização &gt;30 dias)",IF(S371&gt;15,"ATENÇÃO (Sem Atualização &gt;15 dias)",IF(X371&gt;90,"CRÍTICO (Aberto &gt;90 dias)","OK"))))))</f>
        <v/>
      </c>
      <c r="Z371" s="90" t="str">
        <f aca="false">IF(B371="","",IF(OR(O371="27 - Instalação concluída",O371="28 - Encerrado"),"OK",IF(NOT(ISNUMBER(X371)),"",IF(X371&gt;365,"MUITO ANTIGO (&gt;1 ano)",IF(X371&gt;180,"ANTIGO (&gt;6 meses)",IF(X371&gt;90,"ATENÇÃO ANTIG. (&gt;3 meses)","OK"))))))</f>
        <v/>
      </c>
      <c r="AA371" s="86"/>
      <c r="AB371" s="69" t="str">
        <f aca="false">IF(AND(B371&lt;&gt;"",OR(T371="Pendente de Vistoria",T371="Não validada")),MAX($AB$1:$AB$370)+1,"")</f>
        <v/>
      </c>
      <c r="AC371" s="69" t="str">
        <f aca="false">IF(AND(B371&lt;&gt;"",OR(ISNUMBER(SEARCH("CTIN",P371)),U371="Alta",O371="07 - Relatório recebido — unidade apta",O371="11 - Orçamentos em análise técnica",O371="22 - Instalação/substituição autorizada")),MAX($AC$1:$AC$370)+1,"")</f>
        <v/>
      </c>
      <c r="AD371" s="69" t="str">
        <f aca="false">IF(AND(B371&lt;&gt;"",OR(ISNUMBER(SEARCH("CTO",P371)),LEFT(O371,2)="22",LEFT(O371,2)="23",LEFT(O371,2)="24",LEFT(O371,2)="25",LEFT(O371,2)="26",LEFT(O371,2)="27")),MAX($AD$1:$AD$370)+1,"")</f>
        <v/>
      </c>
      <c r="AE371" s="69" t="str">
        <f aca="false">IF(AND(B371&lt;&gt;"",D371=CONSULTA_UNIDADE!$B$4),MAX($AE$1:$AE$370)+1,"")</f>
        <v/>
      </c>
      <c r="AF371" s="69" t="str">
        <f aca="false">IF(AND(B371&lt;&gt;"",O371&lt;&gt;"27 - Instalação concluída",O371&lt;&gt;"28 - Encerrado",ISNUMBER(S371)),S371*1000+(1000-ROW()),"")</f>
        <v/>
      </c>
      <c r="AG371" s="69" t="str">
        <f aca="false">IF(AF371="","",RANK(AF371,$AF$2:$AF$500))</f>
        <v/>
      </c>
    </row>
    <row r="372" customFormat="false" ht="16.5" hidden="false" customHeight="true" outlineLevel="0" collapsed="false">
      <c r="A372" s="86"/>
      <c r="B372" s="86"/>
      <c r="C372" s="87" t="str">
        <f aca="false">IF(D372="","",IFERROR(INDEX(CADASTRO_VIVO_3CRE!$B$2:$B$150,MATCH(D372,CADASTRO_VIVO_3CRE!$E$2:$E$150,0)),""))</f>
        <v/>
      </c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8"/>
      <c r="S372" s="89" t="str">
        <f aca="true">IF(R372="","",TODAY()-INT(R372))</f>
        <v/>
      </c>
      <c r="T372" s="86"/>
      <c r="U372" s="86"/>
      <c r="V372" s="86"/>
      <c r="W372" s="88"/>
      <c r="X372" s="89" t="str">
        <f aca="true">IF(W372="","",IF(OR(O372="28 - Encerrado",O372="27 - Instalação concluída"),"Concluído",TODAY()-INT(W372)))</f>
        <v/>
      </c>
      <c r="Y372" s="90" t="str">
        <f aca="false">IF(OR(O372="28 - Encerrado",O372="27 - Instalação concluída"),"OK",IF(AND(B372&lt;&gt;"",S372=""),"ATENÇÃO (Sem data de atualização)",IF(S372="","",IF(S372&gt;30,"CRÍTICO (Sem Atualização &gt;30 dias)",IF(S372&gt;15,"ATENÇÃO (Sem Atualização &gt;15 dias)",IF(X372&gt;90,"CRÍTICO (Aberto &gt;90 dias)","OK"))))))</f>
        <v/>
      </c>
      <c r="Z372" s="90" t="str">
        <f aca="false">IF(B372="","",IF(OR(O372="27 - Instalação concluída",O372="28 - Encerrado"),"OK",IF(NOT(ISNUMBER(X372)),"",IF(X372&gt;365,"MUITO ANTIGO (&gt;1 ano)",IF(X372&gt;180,"ANTIGO (&gt;6 meses)",IF(X372&gt;90,"ATENÇÃO ANTIG. (&gt;3 meses)","OK"))))))</f>
        <v/>
      </c>
      <c r="AA372" s="86"/>
      <c r="AB372" s="69" t="str">
        <f aca="false">IF(AND(B372&lt;&gt;"",OR(T372="Pendente de Vistoria",T372="Não validada")),MAX($AB$1:$AB$371)+1,"")</f>
        <v/>
      </c>
      <c r="AC372" s="69" t="str">
        <f aca="false">IF(AND(B372&lt;&gt;"",OR(ISNUMBER(SEARCH("CTIN",P372)),U372="Alta",O372="07 - Relatório recebido — unidade apta",O372="11 - Orçamentos em análise técnica",O372="22 - Instalação/substituição autorizada")),MAX($AC$1:$AC$371)+1,"")</f>
        <v/>
      </c>
      <c r="AD372" s="69" t="str">
        <f aca="false">IF(AND(B372&lt;&gt;"",OR(ISNUMBER(SEARCH("CTO",P372)),LEFT(O372,2)="22",LEFT(O372,2)="23",LEFT(O372,2)="24",LEFT(O372,2)="25",LEFT(O372,2)="26",LEFT(O372,2)="27")),MAX($AD$1:$AD$371)+1,"")</f>
        <v/>
      </c>
      <c r="AE372" s="69" t="str">
        <f aca="false">IF(AND(B372&lt;&gt;"",D372=CONSULTA_UNIDADE!$B$4),MAX($AE$1:$AE$371)+1,"")</f>
        <v/>
      </c>
      <c r="AF372" s="69" t="str">
        <f aca="false">IF(AND(B372&lt;&gt;"",O372&lt;&gt;"27 - Instalação concluída",O372&lt;&gt;"28 - Encerrado",ISNUMBER(S372)),S372*1000+(1000-ROW()),"")</f>
        <v/>
      </c>
      <c r="AG372" s="69" t="str">
        <f aca="false">IF(AF372="","",RANK(AF372,$AF$2:$AF$500))</f>
        <v/>
      </c>
    </row>
    <row r="373" customFormat="false" ht="16.5" hidden="false" customHeight="true" outlineLevel="0" collapsed="false">
      <c r="A373" s="86"/>
      <c r="B373" s="86"/>
      <c r="C373" s="87" t="str">
        <f aca="false">IF(D373="","",IFERROR(INDEX(CADASTRO_VIVO_3CRE!$B$2:$B$150,MATCH(D373,CADASTRO_VIVO_3CRE!$E$2:$E$150,0)),""))</f>
        <v/>
      </c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8"/>
      <c r="S373" s="89" t="str">
        <f aca="true">IF(R373="","",TODAY()-INT(R373))</f>
        <v/>
      </c>
      <c r="T373" s="86"/>
      <c r="U373" s="86"/>
      <c r="V373" s="86"/>
      <c r="W373" s="88"/>
      <c r="X373" s="89" t="str">
        <f aca="true">IF(W373="","",IF(OR(O373="28 - Encerrado",O373="27 - Instalação concluída"),"Concluído",TODAY()-INT(W373)))</f>
        <v/>
      </c>
      <c r="Y373" s="90" t="str">
        <f aca="false">IF(OR(O373="28 - Encerrado",O373="27 - Instalação concluída"),"OK",IF(AND(B373&lt;&gt;"",S373=""),"ATENÇÃO (Sem data de atualização)",IF(S373="","",IF(S373&gt;30,"CRÍTICO (Sem Atualização &gt;30 dias)",IF(S373&gt;15,"ATENÇÃO (Sem Atualização &gt;15 dias)",IF(X373&gt;90,"CRÍTICO (Aberto &gt;90 dias)","OK"))))))</f>
        <v/>
      </c>
      <c r="Z373" s="90" t="str">
        <f aca="false">IF(B373="","",IF(OR(O373="27 - Instalação concluída",O373="28 - Encerrado"),"OK",IF(NOT(ISNUMBER(X373)),"",IF(X373&gt;365,"MUITO ANTIGO (&gt;1 ano)",IF(X373&gt;180,"ANTIGO (&gt;6 meses)",IF(X373&gt;90,"ATENÇÃO ANTIG. (&gt;3 meses)","OK"))))))</f>
        <v/>
      </c>
      <c r="AA373" s="86"/>
      <c r="AB373" s="69" t="str">
        <f aca="false">IF(AND(B373&lt;&gt;"",OR(T373="Pendente de Vistoria",T373="Não validada")),MAX($AB$1:$AB$372)+1,"")</f>
        <v/>
      </c>
      <c r="AC373" s="69" t="str">
        <f aca="false">IF(AND(B373&lt;&gt;"",OR(ISNUMBER(SEARCH("CTIN",P373)),U373="Alta",O373="07 - Relatório recebido — unidade apta",O373="11 - Orçamentos em análise técnica",O373="22 - Instalação/substituição autorizada")),MAX($AC$1:$AC$372)+1,"")</f>
        <v/>
      </c>
      <c r="AD373" s="69" t="str">
        <f aca="false">IF(AND(B373&lt;&gt;"",OR(ISNUMBER(SEARCH("CTO",P373)),LEFT(O373,2)="22",LEFT(O373,2)="23",LEFT(O373,2)="24",LEFT(O373,2)="25",LEFT(O373,2)="26",LEFT(O373,2)="27")),MAX($AD$1:$AD$372)+1,"")</f>
        <v/>
      </c>
      <c r="AE373" s="69" t="str">
        <f aca="false">IF(AND(B373&lt;&gt;"",D373=CONSULTA_UNIDADE!$B$4),MAX($AE$1:$AE$372)+1,"")</f>
        <v/>
      </c>
      <c r="AF373" s="69" t="str">
        <f aca="false">IF(AND(B373&lt;&gt;"",O373&lt;&gt;"27 - Instalação concluída",O373&lt;&gt;"28 - Encerrado",ISNUMBER(S373)),S373*1000+(1000-ROW()),"")</f>
        <v/>
      </c>
      <c r="AG373" s="69" t="str">
        <f aca="false">IF(AF373="","",RANK(AF373,$AF$2:$AF$500))</f>
        <v/>
      </c>
    </row>
    <row r="374" customFormat="false" ht="16.5" hidden="false" customHeight="true" outlineLevel="0" collapsed="false">
      <c r="A374" s="86"/>
      <c r="B374" s="86"/>
      <c r="C374" s="87" t="str">
        <f aca="false">IF(D374="","",IFERROR(INDEX(CADASTRO_VIVO_3CRE!$B$2:$B$150,MATCH(D374,CADASTRO_VIVO_3CRE!$E$2:$E$150,0)),""))</f>
        <v/>
      </c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8"/>
      <c r="S374" s="89" t="str">
        <f aca="true">IF(R374="","",TODAY()-INT(R374))</f>
        <v/>
      </c>
      <c r="T374" s="86"/>
      <c r="U374" s="86"/>
      <c r="V374" s="86"/>
      <c r="W374" s="88"/>
      <c r="X374" s="89" t="str">
        <f aca="true">IF(W374="","",IF(OR(O374="28 - Encerrado",O374="27 - Instalação concluída"),"Concluído",TODAY()-INT(W374)))</f>
        <v/>
      </c>
      <c r="Y374" s="90" t="str">
        <f aca="false">IF(OR(O374="28 - Encerrado",O374="27 - Instalação concluída"),"OK",IF(AND(B374&lt;&gt;"",S374=""),"ATENÇÃO (Sem data de atualização)",IF(S374="","",IF(S374&gt;30,"CRÍTICO (Sem Atualização &gt;30 dias)",IF(S374&gt;15,"ATENÇÃO (Sem Atualização &gt;15 dias)",IF(X374&gt;90,"CRÍTICO (Aberto &gt;90 dias)","OK"))))))</f>
        <v/>
      </c>
      <c r="Z374" s="90" t="str">
        <f aca="false">IF(B374="","",IF(OR(O374="27 - Instalação concluída",O374="28 - Encerrado"),"OK",IF(NOT(ISNUMBER(X374)),"",IF(X374&gt;365,"MUITO ANTIGO (&gt;1 ano)",IF(X374&gt;180,"ANTIGO (&gt;6 meses)",IF(X374&gt;90,"ATENÇÃO ANTIG. (&gt;3 meses)","OK"))))))</f>
        <v/>
      </c>
      <c r="AA374" s="86"/>
      <c r="AB374" s="69" t="str">
        <f aca="false">IF(AND(B374&lt;&gt;"",OR(T374="Pendente de Vistoria",T374="Não validada")),MAX($AB$1:$AB$373)+1,"")</f>
        <v/>
      </c>
      <c r="AC374" s="69" t="str">
        <f aca="false">IF(AND(B374&lt;&gt;"",OR(ISNUMBER(SEARCH("CTIN",P374)),U374="Alta",O374="07 - Relatório recebido — unidade apta",O374="11 - Orçamentos em análise técnica",O374="22 - Instalação/substituição autorizada")),MAX($AC$1:$AC$373)+1,"")</f>
        <v/>
      </c>
      <c r="AD374" s="69" t="str">
        <f aca="false">IF(AND(B374&lt;&gt;"",OR(ISNUMBER(SEARCH("CTO",P374)),LEFT(O374,2)="22",LEFT(O374,2)="23",LEFT(O374,2)="24",LEFT(O374,2)="25",LEFT(O374,2)="26",LEFT(O374,2)="27")),MAX($AD$1:$AD$373)+1,"")</f>
        <v/>
      </c>
      <c r="AE374" s="69" t="str">
        <f aca="false">IF(AND(B374&lt;&gt;"",D374=CONSULTA_UNIDADE!$B$4),MAX($AE$1:$AE$373)+1,"")</f>
        <v/>
      </c>
      <c r="AF374" s="69" t="str">
        <f aca="false">IF(AND(B374&lt;&gt;"",O374&lt;&gt;"27 - Instalação concluída",O374&lt;&gt;"28 - Encerrado",ISNUMBER(S374)),S374*1000+(1000-ROW()),"")</f>
        <v/>
      </c>
      <c r="AG374" s="69" t="str">
        <f aca="false">IF(AF374="","",RANK(AF374,$AF$2:$AF$500))</f>
        <v/>
      </c>
    </row>
    <row r="375" customFormat="false" ht="16.5" hidden="false" customHeight="true" outlineLevel="0" collapsed="false">
      <c r="A375" s="86"/>
      <c r="B375" s="86"/>
      <c r="C375" s="87" t="str">
        <f aca="false">IF(D375="","",IFERROR(INDEX(CADASTRO_VIVO_3CRE!$B$2:$B$150,MATCH(D375,CADASTRO_VIVO_3CRE!$E$2:$E$150,0)),""))</f>
        <v/>
      </c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8"/>
      <c r="S375" s="89" t="str">
        <f aca="true">IF(R375="","",TODAY()-INT(R375))</f>
        <v/>
      </c>
      <c r="T375" s="86"/>
      <c r="U375" s="86"/>
      <c r="V375" s="86"/>
      <c r="W375" s="88"/>
      <c r="X375" s="89" t="str">
        <f aca="true">IF(W375="","",IF(OR(O375="28 - Encerrado",O375="27 - Instalação concluída"),"Concluído",TODAY()-INT(W375)))</f>
        <v/>
      </c>
      <c r="Y375" s="90" t="str">
        <f aca="false">IF(OR(O375="28 - Encerrado",O375="27 - Instalação concluída"),"OK",IF(AND(B375&lt;&gt;"",S375=""),"ATENÇÃO (Sem data de atualização)",IF(S375="","",IF(S375&gt;30,"CRÍTICO (Sem Atualização &gt;30 dias)",IF(S375&gt;15,"ATENÇÃO (Sem Atualização &gt;15 dias)",IF(X375&gt;90,"CRÍTICO (Aberto &gt;90 dias)","OK"))))))</f>
        <v/>
      </c>
      <c r="Z375" s="90" t="str">
        <f aca="false">IF(B375="","",IF(OR(O375="27 - Instalação concluída",O375="28 - Encerrado"),"OK",IF(NOT(ISNUMBER(X375)),"",IF(X375&gt;365,"MUITO ANTIGO (&gt;1 ano)",IF(X375&gt;180,"ANTIGO (&gt;6 meses)",IF(X375&gt;90,"ATENÇÃO ANTIG. (&gt;3 meses)","OK"))))))</f>
        <v/>
      </c>
      <c r="AA375" s="86"/>
      <c r="AB375" s="69" t="str">
        <f aca="false">IF(AND(B375&lt;&gt;"",OR(T375="Pendente de Vistoria",T375="Não validada")),MAX($AB$1:$AB$374)+1,"")</f>
        <v/>
      </c>
      <c r="AC375" s="69" t="str">
        <f aca="false">IF(AND(B375&lt;&gt;"",OR(ISNUMBER(SEARCH("CTIN",P375)),U375="Alta",O375="07 - Relatório recebido — unidade apta",O375="11 - Orçamentos em análise técnica",O375="22 - Instalação/substituição autorizada")),MAX($AC$1:$AC$374)+1,"")</f>
        <v/>
      </c>
      <c r="AD375" s="69" t="str">
        <f aca="false">IF(AND(B375&lt;&gt;"",OR(ISNUMBER(SEARCH("CTO",P375)),LEFT(O375,2)="22",LEFT(O375,2)="23",LEFT(O375,2)="24",LEFT(O375,2)="25",LEFT(O375,2)="26",LEFT(O375,2)="27")),MAX($AD$1:$AD$374)+1,"")</f>
        <v/>
      </c>
      <c r="AE375" s="69" t="str">
        <f aca="false">IF(AND(B375&lt;&gt;"",D375=CONSULTA_UNIDADE!$B$4),MAX($AE$1:$AE$374)+1,"")</f>
        <v/>
      </c>
      <c r="AF375" s="69" t="str">
        <f aca="false">IF(AND(B375&lt;&gt;"",O375&lt;&gt;"27 - Instalação concluída",O375&lt;&gt;"28 - Encerrado",ISNUMBER(S375)),S375*1000+(1000-ROW()),"")</f>
        <v/>
      </c>
      <c r="AG375" s="69" t="str">
        <f aca="false">IF(AF375="","",RANK(AF375,$AF$2:$AF$500))</f>
        <v/>
      </c>
    </row>
    <row r="376" customFormat="false" ht="16.5" hidden="false" customHeight="true" outlineLevel="0" collapsed="false">
      <c r="A376" s="86"/>
      <c r="B376" s="86"/>
      <c r="C376" s="87" t="str">
        <f aca="false">IF(D376="","",IFERROR(INDEX(CADASTRO_VIVO_3CRE!$B$2:$B$150,MATCH(D376,CADASTRO_VIVO_3CRE!$E$2:$E$150,0)),""))</f>
        <v/>
      </c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8"/>
      <c r="S376" s="89" t="str">
        <f aca="true">IF(R376="","",TODAY()-INT(R376))</f>
        <v/>
      </c>
      <c r="T376" s="86"/>
      <c r="U376" s="86"/>
      <c r="V376" s="86"/>
      <c r="W376" s="88"/>
      <c r="X376" s="89" t="str">
        <f aca="true">IF(W376="","",IF(OR(O376="28 - Encerrado",O376="27 - Instalação concluída"),"Concluído",TODAY()-INT(W376)))</f>
        <v/>
      </c>
      <c r="Y376" s="90" t="str">
        <f aca="false">IF(OR(O376="28 - Encerrado",O376="27 - Instalação concluída"),"OK",IF(AND(B376&lt;&gt;"",S376=""),"ATENÇÃO (Sem data de atualização)",IF(S376="","",IF(S376&gt;30,"CRÍTICO (Sem Atualização &gt;30 dias)",IF(S376&gt;15,"ATENÇÃO (Sem Atualização &gt;15 dias)",IF(X376&gt;90,"CRÍTICO (Aberto &gt;90 dias)","OK"))))))</f>
        <v/>
      </c>
      <c r="Z376" s="90" t="str">
        <f aca="false">IF(B376="","",IF(OR(O376="27 - Instalação concluída",O376="28 - Encerrado"),"OK",IF(NOT(ISNUMBER(X376)),"",IF(X376&gt;365,"MUITO ANTIGO (&gt;1 ano)",IF(X376&gt;180,"ANTIGO (&gt;6 meses)",IF(X376&gt;90,"ATENÇÃO ANTIG. (&gt;3 meses)","OK"))))))</f>
        <v/>
      </c>
      <c r="AA376" s="86"/>
      <c r="AB376" s="69" t="str">
        <f aca="false">IF(AND(B376&lt;&gt;"",OR(T376="Pendente de Vistoria",T376="Não validada")),MAX($AB$1:$AB$375)+1,"")</f>
        <v/>
      </c>
      <c r="AC376" s="69" t="str">
        <f aca="false">IF(AND(B376&lt;&gt;"",OR(ISNUMBER(SEARCH("CTIN",P376)),U376="Alta",O376="07 - Relatório recebido — unidade apta",O376="11 - Orçamentos em análise técnica",O376="22 - Instalação/substituição autorizada")),MAX($AC$1:$AC$375)+1,"")</f>
        <v/>
      </c>
      <c r="AD376" s="69" t="str">
        <f aca="false">IF(AND(B376&lt;&gt;"",OR(ISNUMBER(SEARCH("CTO",P376)),LEFT(O376,2)="22",LEFT(O376,2)="23",LEFT(O376,2)="24",LEFT(O376,2)="25",LEFT(O376,2)="26",LEFT(O376,2)="27")),MAX($AD$1:$AD$375)+1,"")</f>
        <v/>
      </c>
      <c r="AE376" s="69" t="str">
        <f aca="false">IF(AND(B376&lt;&gt;"",D376=CONSULTA_UNIDADE!$B$4),MAX($AE$1:$AE$375)+1,"")</f>
        <v/>
      </c>
      <c r="AF376" s="69" t="str">
        <f aca="false">IF(AND(B376&lt;&gt;"",O376&lt;&gt;"27 - Instalação concluída",O376&lt;&gt;"28 - Encerrado",ISNUMBER(S376)),S376*1000+(1000-ROW()),"")</f>
        <v/>
      </c>
      <c r="AG376" s="69" t="str">
        <f aca="false">IF(AF376="","",RANK(AF376,$AF$2:$AF$500))</f>
        <v/>
      </c>
    </row>
    <row r="377" customFormat="false" ht="16.5" hidden="false" customHeight="true" outlineLevel="0" collapsed="false">
      <c r="A377" s="86"/>
      <c r="B377" s="86"/>
      <c r="C377" s="87" t="str">
        <f aca="false">IF(D377="","",IFERROR(INDEX(CADASTRO_VIVO_3CRE!$B$2:$B$150,MATCH(D377,CADASTRO_VIVO_3CRE!$E$2:$E$150,0)),""))</f>
        <v/>
      </c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8"/>
      <c r="S377" s="89" t="str">
        <f aca="true">IF(R377="","",TODAY()-INT(R377))</f>
        <v/>
      </c>
      <c r="T377" s="86"/>
      <c r="U377" s="86"/>
      <c r="V377" s="86"/>
      <c r="W377" s="88"/>
      <c r="X377" s="89" t="str">
        <f aca="true">IF(W377="","",IF(OR(O377="28 - Encerrado",O377="27 - Instalação concluída"),"Concluído",TODAY()-INT(W377)))</f>
        <v/>
      </c>
      <c r="Y377" s="90" t="str">
        <f aca="false">IF(OR(O377="28 - Encerrado",O377="27 - Instalação concluída"),"OK",IF(AND(B377&lt;&gt;"",S377=""),"ATENÇÃO (Sem data de atualização)",IF(S377="","",IF(S377&gt;30,"CRÍTICO (Sem Atualização &gt;30 dias)",IF(S377&gt;15,"ATENÇÃO (Sem Atualização &gt;15 dias)",IF(X377&gt;90,"CRÍTICO (Aberto &gt;90 dias)","OK"))))))</f>
        <v/>
      </c>
      <c r="Z377" s="90" t="str">
        <f aca="false">IF(B377="","",IF(OR(O377="27 - Instalação concluída",O377="28 - Encerrado"),"OK",IF(NOT(ISNUMBER(X377)),"",IF(X377&gt;365,"MUITO ANTIGO (&gt;1 ano)",IF(X377&gt;180,"ANTIGO (&gt;6 meses)",IF(X377&gt;90,"ATENÇÃO ANTIG. (&gt;3 meses)","OK"))))))</f>
        <v/>
      </c>
      <c r="AA377" s="86"/>
      <c r="AB377" s="69" t="str">
        <f aca="false">IF(AND(B377&lt;&gt;"",OR(T377="Pendente de Vistoria",T377="Não validada")),MAX($AB$1:$AB$376)+1,"")</f>
        <v/>
      </c>
      <c r="AC377" s="69" t="str">
        <f aca="false">IF(AND(B377&lt;&gt;"",OR(ISNUMBER(SEARCH("CTIN",P377)),U377="Alta",O377="07 - Relatório recebido — unidade apta",O377="11 - Orçamentos em análise técnica",O377="22 - Instalação/substituição autorizada")),MAX($AC$1:$AC$376)+1,"")</f>
        <v/>
      </c>
      <c r="AD377" s="69" t="str">
        <f aca="false">IF(AND(B377&lt;&gt;"",OR(ISNUMBER(SEARCH("CTO",P377)),LEFT(O377,2)="22",LEFT(O377,2)="23",LEFT(O377,2)="24",LEFT(O377,2)="25",LEFT(O377,2)="26",LEFT(O377,2)="27")),MAX($AD$1:$AD$376)+1,"")</f>
        <v/>
      </c>
      <c r="AE377" s="69" t="str">
        <f aca="false">IF(AND(B377&lt;&gt;"",D377=CONSULTA_UNIDADE!$B$4),MAX($AE$1:$AE$376)+1,"")</f>
        <v/>
      </c>
      <c r="AF377" s="69" t="str">
        <f aca="false">IF(AND(B377&lt;&gt;"",O377&lt;&gt;"27 - Instalação concluída",O377&lt;&gt;"28 - Encerrado",ISNUMBER(S377)),S377*1000+(1000-ROW()),"")</f>
        <v/>
      </c>
      <c r="AG377" s="69" t="str">
        <f aca="false">IF(AF377="","",RANK(AF377,$AF$2:$AF$500))</f>
        <v/>
      </c>
    </row>
    <row r="378" customFormat="false" ht="16.5" hidden="false" customHeight="true" outlineLevel="0" collapsed="false">
      <c r="A378" s="86"/>
      <c r="B378" s="86"/>
      <c r="C378" s="87" t="str">
        <f aca="false">IF(D378="","",IFERROR(INDEX(CADASTRO_VIVO_3CRE!$B$2:$B$150,MATCH(D378,CADASTRO_VIVO_3CRE!$E$2:$E$150,0)),""))</f>
        <v/>
      </c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8"/>
      <c r="S378" s="89" t="str">
        <f aca="true">IF(R378="","",TODAY()-INT(R378))</f>
        <v/>
      </c>
      <c r="T378" s="86"/>
      <c r="U378" s="86"/>
      <c r="V378" s="86"/>
      <c r="W378" s="88"/>
      <c r="X378" s="89" t="str">
        <f aca="true">IF(W378="","",IF(OR(O378="28 - Encerrado",O378="27 - Instalação concluída"),"Concluído",TODAY()-INT(W378)))</f>
        <v/>
      </c>
      <c r="Y378" s="90" t="str">
        <f aca="false">IF(OR(O378="28 - Encerrado",O378="27 - Instalação concluída"),"OK",IF(AND(B378&lt;&gt;"",S378=""),"ATENÇÃO (Sem data de atualização)",IF(S378="","",IF(S378&gt;30,"CRÍTICO (Sem Atualização &gt;30 dias)",IF(S378&gt;15,"ATENÇÃO (Sem Atualização &gt;15 dias)",IF(X378&gt;90,"CRÍTICO (Aberto &gt;90 dias)","OK"))))))</f>
        <v/>
      </c>
      <c r="Z378" s="90" t="str">
        <f aca="false">IF(B378="","",IF(OR(O378="27 - Instalação concluída",O378="28 - Encerrado"),"OK",IF(NOT(ISNUMBER(X378)),"",IF(X378&gt;365,"MUITO ANTIGO (&gt;1 ano)",IF(X378&gt;180,"ANTIGO (&gt;6 meses)",IF(X378&gt;90,"ATENÇÃO ANTIG. (&gt;3 meses)","OK"))))))</f>
        <v/>
      </c>
      <c r="AA378" s="86"/>
      <c r="AB378" s="69" t="str">
        <f aca="false">IF(AND(B378&lt;&gt;"",OR(T378="Pendente de Vistoria",T378="Não validada")),MAX($AB$1:$AB$377)+1,"")</f>
        <v/>
      </c>
      <c r="AC378" s="69" t="str">
        <f aca="false">IF(AND(B378&lt;&gt;"",OR(ISNUMBER(SEARCH("CTIN",P378)),U378="Alta",O378="07 - Relatório recebido — unidade apta",O378="11 - Orçamentos em análise técnica",O378="22 - Instalação/substituição autorizada")),MAX($AC$1:$AC$377)+1,"")</f>
        <v/>
      </c>
      <c r="AD378" s="69" t="str">
        <f aca="false">IF(AND(B378&lt;&gt;"",OR(ISNUMBER(SEARCH("CTO",P378)),LEFT(O378,2)="22",LEFT(O378,2)="23",LEFT(O378,2)="24",LEFT(O378,2)="25",LEFT(O378,2)="26",LEFT(O378,2)="27")),MAX($AD$1:$AD$377)+1,"")</f>
        <v/>
      </c>
      <c r="AE378" s="69" t="str">
        <f aca="false">IF(AND(B378&lt;&gt;"",D378=CONSULTA_UNIDADE!$B$4),MAX($AE$1:$AE$377)+1,"")</f>
        <v/>
      </c>
      <c r="AF378" s="69" t="str">
        <f aca="false">IF(AND(B378&lt;&gt;"",O378&lt;&gt;"27 - Instalação concluída",O378&lt;&gt;"28 - Encerrado",ISNUMBER(S378)),S378*1000+(1000-ROW()),"")</f>
        <v/>
      </c>
      <c r="AG378" s="69" t="str">
        <f aca="false">IF(AF378="","",RANK(AF378,$AF$2:$AF$500))</f>
        <v/>
      </c>
    </row>
    <row r="379" customFormat="false" ht="16.5" hidden="false" customHeight="true" outlineLevel="0" collapsed="false">
      <c r="A379" s="86"/>
      <c r="B379" s="86"/>
      <c r="C379" s="87" t="str">
        <f aca="false">IF(D379="","",IFERROR(INDEX(CADASTRO_VIVO_3CRE!$B$2:$B$150,MATCH(D379,CADASTRO_VIVO_3CRE!$E$2:$E$150,0)),""))</f>
        <v/>
      </c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8"/>
      <c r="S379" s="89" t="str">
        <f aca="true">IF(R379="","",TODAY()-INT(R379))</f>
        <v/>
      </c>
      <c r="T379" s="86"/>
      <c r="U379" s="86"/>
      <c r="V379" s="86"/>
      <c r="W379" s="88"/>
      <c r="X379" s="89" t="str">
        <f aca="true">IF(W379="","",IF(OR(O379="28 - Encerrado",O379="27 - Instalação concluída"),"Concluído",TODAY()-INT(W379)))</f>
        <v/>
      </c>
      <c r="Y379" s="90" t="str">
        <f aca="false">IF(OR(O379="28 - Encerrado",O379="27 - Instalação concluída"),"OK",IF(AND(B379&lt;&gt;"",S379=""),"ATENÇÃO (Sem data de atualização)",IF(S379="","",IF(S379&gt;30,"CRÍTICO (Sem Atualização &gt;30 dias)",IF(S379&gt;15,"ATENÇÃO (Sem Atualização &gt;15 dias)",IF(X379&gt;90,"CRÍTICO (Aberto &gt;90 dias)","OK"))))))</f>
        <v/>
      </c>
      <c r="Z379" s="90" t="str">
        <f aca="false">IF(B379="","",IF(OR(O379="27 - Instalação concluída",O379="28 - Encerrado"),"OK",IF(NOT(ISNUMBER(X379)),"",IF(X379&gt;365,"MUITO ANTIGO (&gt;1 ano)",IF(X379&gt;180,"ANTIGO (&gt;6 meses)",IF(X379&gt;90,"ATENÇÃO ANTIG. (&gt;3 meses)","OK"))))))</f>
        <v/>
      </c>
      <c r="AA379" s="86"/>
      <c r="AB379" s="69" t="str">
        <f aca="false">IF(AND(B379&lt;&gt;"",OR(T379="Pendente de Vistoria",T379="Não validada")),MAX($AB$1:$AB$378)+1,"")</f>
        <v/>
      </c>
      <c r="AC379" s="69" t="str">
        <f aca="false">IF(AND(B379&lt;&gt;"",OR(ISNUMBER(SEARCH("CTIN",P379)),U379="Alta",O379="07 - Relatório recebido — unidade apta",O379="11 - Orçamentos em análise técnica",O379="22 - Instalação/substituição autorizada")),MAX($AC$1:$AC$378)+1,"")</f>
        <v/>
      </c>
      <c r="AD379" s="69" t="str">
        <f aca="false">IF(AND(B379&lt;&gt;"",OR(ISNUMBER(SEARCH("CTO",P379)),LEFT(O379,2)="22",LEFT(O379,2)="23",LEFT(O379,2)="24",LEFT(O379,2)="25",LEFT(O379,2)="26",LEFT(O379,2)="27")),MAX($AD$1:$AD$378)+1,"")</f>
        <v/>
      </c>
      <c r="AE379" s="69" t="str">
        <f aca="false">IF(AND(B379&lt;&gt;"",D379=CONSULTA_UNIDADE!$B$4),MAX($AE$1:$AE$378)+1,"")</f>
        <v/>
      </c>
      <c r="AF379" s="69" t="str">
        <f aca="false">IF(AND(B379&lt;&gt;"",O379&lt;&gt;"27 - Instalação concluída",O379&lt;&gt;"28 - Encerrado",ISNUMBER(S379)),S379*1000+(1000-ROW()),"")</f>
        <v/>
      </c>
      <c r="AG379" s="69" t="str">
        <f aca="false">IF(AF379="","",RANK(AF379,$AF$2:$AF$500))</f>
        <v/>
      </c>
    </row>
    <row r="380" customFormat="false" ht="16.5" hidden="false" customHeight="true" outlineLevel="0" collapsed="false">
      <c r="A380" s="86"/>
      <c r="B380" s="86"/>
      <c r="C380" s="87" t="str">
        <f aca="false">IF(D380="","",IFERROR(INDEX(CADASTRO_VIVO_3CRE!$B$2:$B$150,MATCH(D380,CADASTRO_VIVO_3CRE!$E$2:$E$150,0)),""))</f>
        <v/>
      </c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8"/>
      <c r="S380" s="89" t="str">
        <f aca="true">IF(R380="","",TODAY()-INT(R380))</f>
        <v/>
      </c>
      <c r="T380" s="86"/>
      <c r="U380" s="86"/>
      <c r="V380" s="86"/>
      <c r="W380" s="88"/>
      <c r="X380" s="89" t="str">
        <f aca="true">IF(W380="","",IF(OR(O380="28 - Encerrado",O380="27 - Instalação concluída"),"Concluído",TODAY()-INT(W380)))</f>
        <v/>
      </c>
      <c r="Y380" s="90" t="str">
        <f aca="false">IF(OR(O380="28 - Encerrado",O380="27 - Instalação concluída"),"OK",IF(AND(B380&lt;&gt;"",S380=""),"ATENÇÃO (Sem data de atualização)",IF(S380="","",IF(S380&gt;30,"CRÍTICO (Sem Atualização &gt;30 dias)",IF(S380&gt;15,"ATENÇÃO (Sem Atualização &gt;15 dias)",IF(X380&gt;90,"CRÍTICO (Aberto &gt;90 dias)","OK"))))))</f>
        <v/>
      </c>
      <c r="Z380" s="90" t="str">
        <f aca="false">IF(B380="","",IF(OR(O380="27 - Instalação concluída",O380="28 - Encerrado"),"OK",IF(NOT(ISNUMBER(X380)),"",IF(X380&gt;365,"MUITO ANTIGO (&gt;1 ano)",IF(X380&gt;180,"ANTIGO (&gt;6 meses)",IF(X380&gt;90,"ATENÇÃO ANTIG. (&gt;3 meses)","OK"))))))</f>
        <v/>
      </c>
      <c r="AA380" s="86"/>
      <c r="AB380" s="69" t="str">
        <f aca="false">IF(AND(B380&lt;&gt;"",OR(T380="Pendente de Vistoria",T380="Não validada")),MAX($AB$1:$AB$379)+1,"")</f>
        <v/>
      </c>
      <c r="AC380" s="69" t="str">
        <f aca="false">IF(AND(B380&lt;&gt;"",OR(ISNUMBER(SEARCH("CTIN",P380)),U380="Alta",O380="07 - Relatório recebido — unidade apta",O380="11 - Orçamentos em análise técnica",O380="22 - Instalação/substituição autorizada")),MAX($AC$1:$AC$379)+1,"")</f>
        <v/>
      </c>
      <c r="AD380" s="69" t="str">
        <f aca="false">IF(AND(B380&lt;&gt;"",OR(ISNUMBER(SEARCH("CTO",P380)),LEFT(O380,2)="22",LEFT(O380,2)="23",LEFT(O380,2)="24",LEFT(O380,2)="25",LEFT(O380,2)="26",LEFT(O380,2)="27")),MAX($AD$1:$AD$379)+1,"")</f>
        <v/>
      </c>
      <c r="AE380" s="69" t="str">
        <f aca="false">IF(AND(B380&lt;&gt;"",D380=CONSULTA_UNIDADE!$B$4),MAX($AE$1:$AE$379)+1,"")</f>
        <v/>
      </c>
      <c r="AF380" s="69" t="str">
        <f aca="false">IF(AND(B380&lt;&gt;"",O380&lt;&gt;"27 - Instalação concluída",O380&lt;&gt;"28 - Encerrado",ISNUMBER(S380)),S380*1000+(1000-ROW()),"")</f>
        <v/>
      </c>
      <c r="AG380" s="69" t="str">
        <f aca="false">IF(AF380="","",RANK(AF380,$AF$2:$AF$500))</f>
        <v/>
      </c>
    </row>
    <row r="381" customFormat="false" ht="16.5" hidden="false" customHeight="true" outlineLevel="0" collapsed="false">
      <c r="A381" s="86"/>
      <c r="B381" s="86"/>
      <c r="C381" s="87" t="str">
        <f aca="false">IF(D381="","",IFERROR(INDEX(CADASTRO_VIVO_3CRE!$B$2:$B$150,MATCH(D381,CADASTRO_VIVO_3CRE!$E$2:$E$150,0)),""))</f>
        <v/>
      </c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8"/>
      <c r="S381" s="89" t="str">
        <f aca="true">IF(R381="","",TODAY()-INT(R381))</f>
        <v/>
      </c>
      <c r="T381" s="86"/>
      <c r="U381" s="86"/>
      <c r="V381" s="86"/>
      <c r="W381" s="88"/>
      <c r="X381" s="89" t="str">
        <f aca="true">IF(W381="","",IF(OR(O381="28 - Encerrado",O381="27 - Instalação concluída"),"Concluído",TODAY()-INT(W381)))</f>
        <v/>
      </c>
      <c r="Y381" s="90" t="str">
        <f aca="false">IF(OR(O381="28 - Encerrado",O381="27 - Instalação concluída"),"OK",IF(AND(B381&lt;&gt;"",S381=""),"ATENÇÃO (Sem data de atualização)",IF(S381="","",IF(S381&gt;30,"CRÍTICO (Sem Atualização &gt;30 dias)",IF(S381&gt;15,"ATENÇÃO (Sem Atualização &gt;15 dias)",IF(X381&gt;90,"CRÍTICO (Aberto &gt;90 dias)","OK"))))))</f>
        <v/>
      </c>
      <c r="Z381" s="90" t="str">
        <f aca="false">IF(B381="","",IF(OR(O381="27 - Instalação concluída",O381="28 - Encerrado"),"OK",IF(NOT(ISNUMBER(X381)),"",IF(X381&gt;365,"MUITO ANTIGO (&gt;1 ano)",IF(X381&gt;180,"ANTIGO (&gt;6 meses)",IF(X381&gt;90,"ATENÇÃO ANTIG. (&gt;3 meses)","OK"))))))</f>
        <v/>
      </c>
      <c r="AA381" s="86"/>
      <c r="AB381" s="69" t="str">
        <f aca="false">IF(AND(B381&lt;&gt;"",OR(T381="Pendente de Vistoria",T381="Não validada")),MAX($AB$1:$AB$380)+1,"")</f>
        <v/>
      </c>
      <c r="AC381" s="69" t="str">
        <f aca="false">IF(AND(B381&lt;&gt;"",OR(ISNUMBER(SEARCH("CTIN",P381)),U381="Alta",O381="07 - Relatório recebido — unidade apta",O381="11 - Orçamentos em análise técnica",O381="22 - Instalação/substituição autorizada")),MAX($AC$1:$AC$380)+1,"")</f>
        <v/>
      </c>
      <c r="AD381" s="69" t="str">
        <f aca="false">IF(AND(B381&lt;&gt;"",OR(ISNUMBER(SEARCH("CTO",P381)),LEFT(O381,2)="22",LEFT(O381,2)="23",LEFT(O381,2)="24",LEFT(O381,2)="25",LEFT(O381,2)="26",LEFT(O381,2)="27")),MAX($AD$1:$AD$380)+1,"")</f>
        <v/>
      </c>
      <c r="AE381" s="69" t="str">
        <f aca="false">IF(AND(B381&lt;&gt;"",D381=CONSULTA_UNIDADE!$B$4),MAX($AE$1:$AE$380)+1,"")</f>
        <v/>
      </c>
      <c r="AF381" s="69" t="str">
        <f aca="false">IF(AND(B381&lt;&gt;"",O381&lt;&gt;"27 - Instalação concluída",O381&lt;&gt;"28 - Encerrado",ISNUMBER(S381)),S381*1000+(1000-ROW()),"")</f>
        <v/>
      </c>
      <c r="AG381" s="69" t="str">
        <f aca="false">IF(AF381="","",RANK(AF381,$AF$2:$AF$500))</f>
        <v/>
      </c>
    </row>
    <row r="382" customFormat="false" ht="16.5" hidden="false" customHeight="true" outlineLevel="0" collapsed="false">
      <c r="A382" s="86"/>
      <c r="B382" s="86"/>
      <c r="C382" s="87" t="str">
        <f aca="false">IF(D382="","",IFERROR(INDEX(CADASTRO_VIVO_3CRE!$B$2:$B$150,MATCH(D382,CADASTRO_VIVO_3CRE!$E$2:$E$150,0)),""))</f>
        <v/>
      </c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8"/>
      <c r="S382" s="89" t="str">
        <f aca="true">IF(R382="","",TODAY()-INT(R382))</f>
        <v/>
      </c>
      <c r="T382" s="86"/>
      <c r="U382" s="86"/>
      <c r="V382" s="86"/>
      <c r="W382" s="88"/>
      <c r="X382" s="89" t="str">
        <f aca="true">IF(W382="","",IF(OR(O382="28 - Encerrado",O382="27 - Instalação concluída"),"Concluído",TODAY()-INT(W382)))</f>
        <v/>
      </c>
      <c r="Y382" s="90" t="str">
        <f aca="false">IF(OR(O382="28 - Encerrado",O382="27 - Instalação concluída"),"OK",IF(AND(B382&lt;&gt;"",S382=""),"ATENÇÃO (Sem data de atualização)",IF(S382="","",IF(S382&gt;30,"CRÍTICO (Sem Atualização &gt;30 dias)",IF(S382&gt;15,"ATENÇÃO (Sem Atualização &gt;15 dias)",IF(X382&gt;90,"CRÍTICO (Aberto &gt;90 dias)","OK"))))))</f>
        <v/>
      </c>
      <c r="Z382" s="90" t="str">
        <f aca="false">IF(B382="","",IF(OR(O382="27 - Instalação concluída",O382="28 - Encerrado"),"OK",IF(NOT(ISNUMBER(X382)),"",IF(X382&gt;365,"MUITO ANTIGO (&gt;1 ano)",IF(X382&gt;180,"ANTIGO (&gt;6 meses)",IF(X382&gt;90,"ATENÇÃO ANTIG. (&gt;3 meses)","OK"))))))</f>
        <v/>
      </c>
      <c r="AA382" s="86"/>
      <c r="AB382" s="69" t="str">
        <f aca="false">IF(AND(B382&lt;&gt;"",OR(T382="Pendente de Vistoria",T382="Não validada")),MAX($AB$1:$AB$381)+1,"")</f>
        <v/>
      </c>
      <c r="AC382" s="69" t="str">
        <f aca="false">IF(AND(B382&lt;&gt;"",OR(ISNUMBER(SEARCH("CTIN",P382)),U382="Alta",O382="07 - Relatório recebido — unidade apta",O382="11 - Orçamentos em análise técnica",O382="22 - Instalação/substituição autorizada")),MAX($AC$1:$AC$381)+1,"")</f>
        <v/>
      </c>
      <c r="AD382" s="69" t="str">
        <f aca="false">IF(AND(B382&lt;&gt;"",OR(ISNUMBER(SEARCH("CTO",P382)),LEFT(O382,2)="22",LEFT(O382,2)="23",LEFT(O382,2)="24",LEFT(O382,2)="25",LEFT(O382,2)="26",LEFT(O382,2)="27")),MAX($AD$1:$AD$381)+1,"")</f>
        <v/>
      </c>
      <c r="AE382" s="69" t="str">
        <f aca="false">IF(AND(B382&lt;&gt;"",D382=CONSULTA_UNIDADE!$B$4),MAX($AE$1:$AE$381)+1,"")</f>
        <v/>
      </c>
      <c r="AF382" s="69" t="str">
        <f aca="false">IF(AND(B382&lt;&gt;"",O382&lt;&gt;"27 - Instalação concluída",O382&lt;&gt;"28 - Encerrado",ISNUMBER(S382)),S382*1000+(1000-ROW()),"")</f>
        <v/>
      </c>
      <c r="AG382" s="69" t="str">
        <f aca="false">IF(AF382="","",RANK(AF382,$AF$2:$AF$500))</f>
        <v/>
      </c>
    </row>
    <row r="383" customFormat="false" ht="16.5" hidden="false" customHeight="true" outlineLevel="0" collapsed="false">
      <c r="A383" s="86"/>
      <c r="B383" s="86"/>
      <c r="C383" s="87" t="str">
        <f aca="false">IF(D383="","",IFERROR(INDEX(CADASTRO_VIVO_3CRE!$B$2:$B$150,MATCH(D383,CADASTRO_VIVO_3CRE!$E$2:$E$150,0)),""))</f>
        <v/>
      </c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8"/>
      <c r="S383" s="89" t="str">
        <f aca="true">IF(R383="","",TODAY()-INT(R383))</f>
        <v/>
      </c>
      <c r="T383" s="86"/>
      <c r="U383" s="86"/>
      <c r="V383" s="86"/>
      <c r="W383" s="88"/>
      <c r="X383" s="89" t="str">
        <f aca="true">IF(W383="","",IF(OR(O383="28 - Encerrado",O383="27 - Instalação concluída"),"Concluído",TODAY()-INT(W383)))</f>
        <v/>
      </c>
      <c r="Y383" s="90" t="str">
        <f aca="false">IF(OR(O383="28 - Encerrado",O383="27 - Instalação concluída"),"OK",IF(AND(B383&lt;&gt;"",S383=""),"ATENÇÃO (Sem data de atualização)",IF(S383="","",IF(S383&gt;30,"CRÍTICO (Sem Atualização &gt;30 dias)",IF(S383&gt;15,"ATENÇÃO (Sem Atualização &gt;15 dias)",IF(X383&gt;90,"CRÍTICO (Aberto &gt;90 dias)","OK"))))))</f>
        <v/>
      </c>
      <c r="Z383" s="90" t="str">
        <f aca="false">IF(B383="","",IF(OR(O383="27 - Instalação concluída",O383="28 - Encerrado"),"OK",IF(NOT(ISNUMBER(X383)),"",IF(X383&gt;365,"MUITO ANTIGO (&gt;1 ano)",IF(X383&gt;180,"ANTIGO (&gt;6 meses)",IF(X383&gt;90,"ATENÇÃO ANTIG. (&gt;3 meses)","OK"))))))</f>
        <v/>
      </c>
      <c r="AA383" s="86"/>
      <c r="AB383" s="69" t="str">
        <f aca="false">IF(AND(B383&lt;&gt;"",OR(T383="Pendente de Vistoria",T383="Não validada")),MAX($AB$1:$AB$382)+1,"")</f>
        <v/>
      </c>
      <c r="AC383" s="69" t="str">
        <f aca="false">IF(AND(B383&lt;&gt;"",OR(ISNUMBER(SEARCH("CTIN",P383)),U383="Alta",O383="07 - Relatório recebido — unidade apta",O383="11 - Orçamentos em análise técnica",O383="22 - Instalação/substituição autorizada")),MAX($AC$1:$AC$382)+1,"")</f>
        <v/>
      </c>
      <c r="AD383" s="69" t="str">
        <f aca="false">IF(AND(B383&lt;&gt;"",OR(ISNUMBER(SEARCH("CTO",P383)),LEFT(O383,2)="22",LEFT(O383,2)="23",LEFT(O383,2)="24",LEFT(O383,2)="25",LEFT(O383,2)="26",LEFT(O383,2)="27")),MAX($AD$1:$AD$382)+1,"")</f>
        <v/>
      </c>
      <c r="AE383" s="69" t="str">
        <f aca="false">IF(AND(B383&lt;&gt;"",D383=CONSULTA_UNIDADE!$B$4),MAX($AE$1:$AE$382)+1,"")</f>
        <v/>
      </c>
      <c r="AF383" s="69" t="str">
        <f aca="false">IF(AND(B383&lt;&gt;"",O383&lt;&gt;"27 - Instalação concluída",O383&lt;&gt;"28 - Encerrado",ISNUMBER(S383)),S383*1000+(1000-ROW()),"")</f>
        <v/>
      </c>
      <c r="AG383" s="69" t="str">
        <f aca="false">IF(AF383="","",RANK(AF383,$AF$2:$AF$500))</f>
        <v/>
      </c>
    </row>
    <row r="384" customFormat="false" ht="16.5" hidden="false" customHeight="true" outlineLevel="0" collapsed="false">
      <c r="A384" s="86"/>
      <c r="B384" s="86"/>
      <c r="C384" s="87" t="str">
        <f aca="false">IF(D384="","",IFERROR(INDEX(CADASTRO_VIVO_3CRE!$B$2:$B$150,MATCH(D384,CADASTRO_VIVO_3CRE!$E$2:$E$150,0)),""))</f>
        <v/>
      </c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8"/>
      <c r="S384" s="89" t="str">
        <f aca="true">IF(R384="","",TODAY()-INT(R384))</f>
        <v/>
      </c>
      <c r="T384" s="86"/>
      <c r="U384" s="86"/>
      <c r="V384" s="86"/>
      <c r="W384" s="88"/>
      <c r="X384" s="89" t="str">
        <f aca="true">IF(W384="","",IF(OR(O384="28 - Encerrado",O384="27 - Instalação concluída"),"Concluído",TODAY()-INT(W384)))</f>
        <v/>
      </c>
      <c r="Y384" s="90" t="str">
        <f aca="false">IF(OR(O384="28 - Encerrado",O384="27 - Instalação concluída"),"OK",IF(AND(B384&lt;&gt;"",S384=""),"ATENÇÃO (Sem data de atualização)",IF(S384="","",IF(S384&gt;30,"CRÍTICO (Sem Atualização &gt;30 dias)",IF(S384&gt;15,"ATENÇÃO (Sem Atualização &gt;15 dias)",IF(X384&gt;90,"CRÍTICO (Aberto &gt;90 dias)","OK"))))))</f>
        <v/>
      </c>
      <c r="Z384" s="90" t="str">
        <f aca="false">IF(B384="","",IF(OR(O384="27 - Instalação concluída",O384="28 - Encerrado"),"OK",IF(NOT(ISNUMBER(X384)),"",IF(X384&gt;365,"MUITO ANTIGO (&gt;1 ano)",IF(X384&gt;180,"ANTIGO (&gt;6 meses)",IF(X384&gt;90,"ATENÇÃO ANTIG. (&gt;3 meses)","OK"))))))</f>
        <v/>
      </c>
      <c r="AA384" s="86"/>
      <c r="AB384" s="69" t="str">
        <f aca="false">IF(AND(B384&lt;&gt;"",OR(T384="Pendente de Vistoria",T384="Não validada")),MAX($AB$1:$AB$383)+1,"")</f>
        <v/>
      </c>
      <c r="AC384" s="69" t="str">
        <f aca="false">IF(AND(B384&lt;&gt;"",OR(ISNUMBER(SEARCH("CTIN",P384)),U384="Alta",O384="07 - Relatório recebido — unidade apta",O384="11 - Orçamentos em análise técnica",O384="22 - Instalação/substituição autorizada")),MAX($AC$1:$AC$383)+1,"")</f>
        <v/>
      </c>
      <c r="AD384" s="69" t="str">
        <f aca="false">IF(AND(B384&lt;&gt;"",OR(ISNUMBER(SEARCH("CTO",P384)),LEFT(O384,2)="22",LEFT(O384,2)="23",LEFT(O384,2)="24",LEFT(O384,2)="25",LEFT(O384,2)="26",LEFT(O384,2)="27")),MAX($AD$1:$AD$383)+1,"")</f>
        <v/>
      </c>
      <c r="AE384" s="69" t="str">
        <f aca="false">IF(AND(B384&lt;&gt;"",D384=CONSULTA_UNIDADE!$B$4),MAX($AE$1:$AE$383)+1,"")</f>
        <v/>
      </c>
      <c r="AF384" s="69" t="str">
        <f aca="false">IF(AND(B384&lt;&gt;"",O384&lt;&gt;"27 - Instalação concluída",O384&lt;&gt;"28 - Encerrado",ISNUMBER(S384)),S384*1000+(1000-ROW()),"")</f>
        <v/>
      </c>
      <c r="AG384" s="69" t="str">
        <f aca="false">IF(AF384="","",RANK(AF384,$AF$2:$AF$500))</f>
        <v/>
      </c>
    </row>
    <row r="385" customFormat="false" ht="16.5" hidden="false" customHeight="true" outlineLevel="0" collapsed="false">
      <c r="A385" s="86"/>
      <c r="B385" s="86"/>
      <c r="C385" s="87" t="str">
        <f aca="false">IF(D385="","",IFERROR(INDEX(CADASTRO_VIVO_3CRE!$B$2:$B$150,MATCH(D385,CADASTRO_VIVO_3CRE!$E$2:$E$150,0)),""))</f>
        <v/>
      </c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8"/>
      <c r="S385" s="89" t="str">
        <f aca="true">IF(R385="","",TODAY()-INT(R385))</f>
        <v/>
      </c>
      <c r="T385" s="86"/>
      <c r="U385" s="86"/>
      <c r="V385" s="86"/>
      <c r="W385" s="88"/>
      <c r="X385" s="89" t="str">
        <f aca="true">IF(W385="","",IF(OR(O385="28 - Encerrado",O385="27 - Instalação concluída"),"Concluído",TODAY()-INT(W385)))</f>
        <v/>
      </c>
      <c r="Y385" s="90" t="str">
        <f aca="false">IF(OR(O385="28 - Encerrado",O385="27 - Instalação concluída"),"OK",IF(AND(B385&lt;&gt;"",S385=""),"ATENÇÃO (Sem data de atualização)",IF(S385="","",IF(S385&gt;30,"CRÍTICO (Sem Atualização &gt;30 dias)",IF(S385&gt;15,"ATENÇÃO (Sem Atualização &gt;15 dias)",IF(X385&gt;90,"CRÍTICO (Aberto &gt;90 dias)","OK"))))))</f>
        <v/>
      </c>
      <c r="Z385" s="90" t="str">
        <f aca="false">IF(B385="","",IF(OR(O385="27 - Instalação concluída",O385="28 - Encerrado"),"OK",IF(NOT(ISNUMBER(X385)),"",IF(X385&gt;365,"MUITO ANTIGO (&gt;1 ano)",IF(X385&gt;180,"ANTIGO (&gt;6 meses)",IF(X385&gt;90,"ATENÇÃO ANTIG. (&gt;3 meses)","OK"))))))</f>
        <v/>
      </c>
      <c r="AA385" s="86"/>
      <c r="AB385" s="69" t="str">
        <f aca="false">IF(AND(B385&lt;&gt;"",OR(T385="Pendente de Vistoria",T385="Não validada")),MAX($AB$1:$AB$384)+1,"")</f>
        <v/>
      </c>
      <c r="AC385" s="69" t="str">
        <f aca="false">IF(AND(B385&lt;&gt;"",OR(ISNUMBER(SEARCH("CTIN",P385)),U385="Alta",O385="07 - Relatório recebido — unidade apta",O385="11 - Orçamentos em análise técnica",O385="22 - Instalação/substituição autorizada")),MAX($AC$1:$AC$384)+1,"")</f>
        <v/>
      </c>
      <c r="AD385" s="69" t="str">
        <f aca="false">IF(AND(B385&lt;&gt;"",OR(ISNUMBER(SEARCH("CTO",P385)),LEFT(O385,2)="22",LEFT(O385,2)="23",LEFT(O385,2)="24",LEFT(O385,2)="25",LEFT(O385,2)="26",LEFT(O385,2)="27")),MAX($AD$1:$AD$384)+1,"")</f>
        <v/>
      </c>
      <c r="AE385" s="69" t="str">
        <f aca="false">IF(AND(B385&lt;&gt;"",D385=CONSULTA_UNIDADE!$B$4),MAX($AE$1:$AE$384)+1,"")</f>
        <v/>
      </c>
      <c r="AF385" s="69" t="str">
        <f aca="false">IF(AND(B385&lt;&gt;"",O385&lt;&gt;"27 - Instalação concluída",O385&lt;&gt;"28 - Encerrado",ISNUMBER(S385)),S385*1000+(1000-ROW()),"")</f>
        <v/>
      </c>
      <c r="AG385" s="69" t="str">
        <f aca="false">IF(AF385="","",RANK(AF385,$AF$2:$AF$500))</f>
        <v/>
      </c>
    </row>
    <row r="386" customFormat="false" ht="16.5" hidden="false" customHeight="true" outlineLevel="0" collapsed="false">
      <c r="A386" s="86"/>
      <c r="B386" s="86"/>
      <c r="C386" s="87" t="str">
        <f aca="false">IF(D386="","",IFERROR(INDEX(CADASTRO_VIVO_3CRE!$B$2:$B$150,MATCH(D386,CADASTRO_VIVO_3CRE!$E$2:$E$150,0)),""))</f>
        <v/>
      </c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8"/>
      <c r="S386" s="89" t="str">
        <f aca="true">IF(R386="","",TODAY()-INT(R386))</f>
        <v/>
      </c>
      <c r="T386" s="86"/>
      <c r="U386" s="86"/>
      <c r="V386" s="86"/>
      <c r="W386" s="88"/>
      <c r="X386" s="89" t="str">
        <f aca="true">IF(W386="","",IF(OR(O386="28 - Encerrado",O386="27 - Instalação concluída"),"Concluído",TODAY()-INT(W386)))</f>
        <v/>
      </c>
      <c r="Y386" s="90" t="str">
        <f aca="false">IF(OR(O386="28 - Encerrado",O386="27 - Instalação concluída"),"OK",IF(AND(B386&lt;&gt;"",S386=""),"ATENÇÃO (Sem data de atualização)",IF(S386="","",IF(S386&gt;30,"CRÍTICO (Sem Atualização &gt;30 dias)",IF(S386&gt;15,"ATENÇÃO (Sem Atualização &gt;15 dias)",IF(X386&gt;90,"CRÍTICO (Aberto &gt;90 dias)","OK"))))))</f>
        <v/>
      </c>
      <c r="Z386" s="90" t="str">
        <f aca="false">IF(B386="","",IF(OR(O386="27 - Instalação concluída",O386="28 - Encerrado"),"OK",IF(NOT(ISNUMBER(X386)),"",IF(X386&gt;365,"MUITO ANTIGO (&gt;1 ano)",IF(X386&gt;180,"ANTIGO (&gt;6 meses)",IF(X386&gt;90,"ATENÇÃO ANTIG. (&gt;3 meses)","OK"))))))</f>
        <v/>
      </c>
      <c r="AA386" s="86"/>
      <c r="AB386" s="69" t="str">
        <f aca="false">IF(AND(B386&lt;&gt;"",OR(T386="Pendente de Vistoria",T386="Não validada")),MAX($AB$1:$AB$385)+1,"")</f>
        <v/>
      </c>
      <c r="AC386" s="69" t="str">
        <f aca="false">IF(AND(B386&lt;&gt;"",OR(ISNUMBER(SEARCH("CTIN",P386)),U386="Alta",O386="07 - Relatório recebido — unidade apta",O386="11 - Orçamentos em análise técnica",O386="22 - Instalação/substituição autorizada")),MAX($AC$1:$AC$385)+1,"")</f>
        <v/>
      </c>
      <c r="AD386" s="69" t="str">
        <f aca="false">IF(AND(B386&lt;&gt;"",OR(ISNUMBER(SEARCH("CTO",P386)),LEFT(O386,2)="22",LEFT(O386,2)="23",LEFT(O386,2)="24",LEFT(O386,2)="25",LEFT(O386,2)="26",LEFT(O386,2)="27")),MAX($AD$1:$AD$385)+1,"")</f>
        <v/>
      </c>
      <c r="AE386" s="69" t="str">
        <f aca="false">IF(AND(B386&lt;&gt;"",D386=CONSULTA_UNIDADE!$B$4),MAX($AE$1:$AE$385)+1,"")</f>
        <v/>
      </c>
      <c r="AF386" s="69" t="str">
        <f aca="false">IF(AND(B386&lt;&gt;"",O386&lt;&gt;"27 - Instalação concluída",O386&lt;&gt;"28 - Encerrado",ISNUMBER(S386)),S386*1000+(1000-ROW()),"")</f>
        <v/>
      </c>
      <c r="AG386" s="69" t="str">
        <f aca="false">IF(AF386="","",RANK(AF386,$AF$2:$AF$500))</f>
        <v/>
      </c>
    </row>
    <row r="387" customFormat="false" ht="16.5" hidden="false" customHeight="true" outlineLevel="0" collapsed="false">
      <c r="A387" s="86"/>
      <c r="B387" s="86"/>
      <c r="C387" s="87" t="str">
        <f aca="false">IF(D387="","",IFERROR(INDEX(CADASTRO_VIVO_3CRE!$B$2:$B$150,MATCH(D387,CADASTRO_VIVO_3CRE!$E$2:$E$150,0)),""))</f>
        <v/>
      </c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8"/>
      <c r="S387" s="89" t="str">
        <f aca="true">IF(R387="","",TODAY()-INT(R387))</f>
        <v/>
      </c>
      <c r="T387" s="86"/>
      <c r="U387" s="86"/>
      <c r="V387" s="86"/>
      <c r="W387" s="88"/>
      <c r="X387" s="89" t="str">
        <f aca="true">IF(W387="","",IF(OR(O387="28 - Encerrado",O387="27 - Instalação concluída"),"Concluído",TODAY()-INT(W387)))</f>
        <v/>
      </c>
      <c r="Y387" s="90" t="str">
        <f aca="false">IF(OR(O387="28 - Encerrado",O387="27 - Instalação concluída"),"OK",IF(AND(B387&lt;&gt;"",S387=""),"ATENÇÃO (Sem data de atualização)",IF(S387="","",IF(S387&gt;30,"CRÍTICO (Sem Atualização &gt;30 dias)",IF(S387&gt;15,"ATENÇÃO (Sem Atualização &gt;15 dias)",IF(X387&gt;90,"CRÍTICO (Aberto &gt;90 dias)","OK"))))))</f>
        <v/>
      </c>
      <c r="Z387" s="90" t="str">
        <f aca="false">IF(B387="","",IF(OR(O387="27 - Instalação concluída",O387="28 - Encerrado"),"OK",IF(NOT(ISNUMBER(X387)),"",IF(X387&gt;365,"MUITO ANTIGO (&gt;1 ano)",IF(X387&gt;180,"ANTIGO (&gt;6 meses)",IF(X387&gt;90,"ATENÇÃO ANTIG. (&gt;3 meses)","OK"))))))</f>
        <v/>
      </c>
      <c r="AA387" s="86"/>
      <c r="AB387" s="69" t="str">
        <f aca="false">IF(AND(B387&lt;&gt;"",OR(T387="Pendente de Vistoria",T387="Não validada")),MAX($AB$1:$AB$386)+1,"")</f>
        <v/>
      </c>
      <c r="AC387" s="69" t="str">
        <f aca="false">IF(AND(B387&lt;&gt;"",OR(ISNUMBER(SEARCH("CTIN",P387)),U387="Alta",O387="07 - Relatório recebido — unidade apta",O387="11 - Orçamentos em análise técnica",O387="22 - Instalação/substituição autorizada")),MAX($AC$1:$AC$386)+1,"")</f>
        <v/>
      </c>
      <c r="AD387" s="69" t="str">
        <f aca="false">IF(AND(B387&lt;&gt;"",OR(ISNUMBER(SEARCH("CTO",P387)),LEFT(O387,2)="22",LEFT(O387,2)="23",LEFT(O387,2)="24",LEFT(O387,2)="25",LEFT(O387,2)="26",LEFT(O387,2)="27")),MAX($AD$1:$AD$386)+1,"")</f>
        <v/>
      </c>
      <c r="AE387" s="69" t="str">
        <f aca="false">IF(AND(B387&lt;&gt;"",D387=CONSULTA_UNIDADE!$B$4),MAX($AE$1:$AE$386)+1,"")</f>
        <v/>
      </c>
      <c r="AF387" s="69" t="str">
        <f aca="false">IF(AND(B387&lt;&gt;"",O387&lt;&gt;"27 - Instalação concluída",O387&lt;&gt;"28 - Encerrado",ISNUMBER(S387)),S387*1000+(1000-ROW()),"")</f>
        <v/>
      </c>
      <c r="AG387" s="69" t="str">
        <f aca="false">IF(AF387="","",RANK(AF387,$AF$2:$AF$500))</f>
        <v/>
      </c>
    </row>
    <row r="388" customFormat="false" ht="16.5" hidden="false" customHeight="true" outlineLevel="0" collapsed="false">
      <c r="A388" s="86"/>
      <c r="B388" s="86"/>
      <c r="C388" s="87" t="str">
        <f aca="false">IF(D388="","",IFERROR(INDEX(CADASTRO_VIVO_3CRE!$B$2:$B$150,MATCH(D388,CADASTRO_VIVO_3CRE!$E$2:$E$150,0)),""))</f>
        <v/>
      </c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8"/>
      <c r="S388" s="89" t="str">
        <f aca="true">IF(R388="","",TODAY()-INT(R388))</f>
        <v/>
      </c>
      <c r="T388" s="86"/>
      <c r="U388" s="86"/>
      <c r="V388" s="86"/>
      <c r="W388" s="88"/>
      <c r="X388" s="89" t="str">
        <f aca="true">IF(W388="","",IF(OR(O388="28 - Encerrado",O388="27 - Instalação concluída"),"Concluído",TODAY()-INT(W388)))</f>
        <v/>
      </c>
      <c r="Y388" s="90" t="str">
        <f aca="false">IF(OR(O388="28 - Encerrado",O388="27 - Instalação concluída"),"OK",IF(AND(B388&lt;&gt;"",S388=""),"ATENÇÃO (Sem data de atualização)",IF(S388="","",IF(S388&gt;30,"CRÍTICO (Sem Atualização &gt;30 dias)",IF(S388&gt;15,"ATENÇÃO (Sem Atualização &gt;15 dias)",IF(X388&gt;90,"CRÍTICO (Aberto &gt;90 dias)","OK"))))))</f>
        <v/>
      </c>
      <c r="Z388" s="90" t="str">
        <f aca="false">IF(B388="","",IF(OR(O388="27 - Instalação concluída",O388="28 - Encerrado"),"OK",IF(NOT(ISNUMBER(X388)),"",IF(X388&gt;365,"MUITO ANTIGO (&gt;1 ano)",IF(X388&gt;180,"ANTIGO (&gt;6 meses)",IF(X388&gt;90,"ATENÇÃO ANTIG. (&gt;3 meses)","OK"))))))</f>
        <v/>
      </c>
      <c r="AA388" s="86"/>
      <c r="AB388" s="69" t="str">
        <f aca="false">IF(AND(B388&lt;&gt;"",OR(T388="Pendente de Vistoria",T388="Não validada")),MAX($AB$1:$AB$387)+1,"")</f>
        <v/>
      </c>
      <c r="AC388" s="69" t="str">
        <f aca="false">IF(AND(B388&lt;&gt;"",OR(ISNUMBER(SEARCH("CTIN",P388)),U388="Alta",O388="07 - Relatório recebido — unidade apta",O388="11 - Orçamentos em análise técnica",O388="22 - Instalação/substituição autorizada")),MAX($AC$1:$AC$387)+1,"")</f>
        <v/>
      </c>
      <c r="AD388" s="69" t="str">
        <f aca="false">IF(AND(B388&lt;&gt;"",OR(ISNUMBER(SEARCH("CTO",P388)),LEFT(O388,2)="22",LEFT(O388,2)="23",LEFT(O388,2)="24",LEFT(O388,2)="25",LEFT(O388,2)="26",LEFT(O388,2)="27")),MAX($AD$1:$AD$387)+1,"")</f>
        <v/>
      </c>
      <c r="AE388" s="69" t="str">
        <f aca="false">IF(AND(B388&lt;&gt;"",D388=CONSULTA_UNIDADE!$B$4),MAX($AE$1:$AE$387)+1,"")</f>
        <v/>
      </c>
      <c r="AF388" s="69" t="str">
        <f aca="false">IF(AND(B388&lt;&gt;"",O388&lt;&gt;"27 - Instalação concluída",O388&lt;&gt;"28 - Encerrado",ISNUMBER(S388)),S388*1000+(1000-ROW()),"")</f>
        <v/>
      </c>
      <c r="AG388" s="69" t="str">
        <f aca="false">IF(AF388="","",RANK(AF388,$AF$2:$AF$500))</f>
        <v/>
      </c>
    </row>
    <row r="389" customFormat="false" ht="16.5" hidden="false" customHeight="true" outlineLevel="0" collapsed="false">
      <c r="A389" s="86"/>
      <c r="B389" s="86"/>
      <c r="C389" s="87" t="str">
        <f aca="false">IF(D389="","",IFERROR(INDEX(CADASTRO_VIVO_3CRE!$B$2:$B$150,MATCH(D389,CADASTRO_VIVO_3CRE!$E$2:$E$150,0)),""))</f>
        <v/>
      </c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8"/>
      <c r="S389" s="89" t="str">
        <f aca="true">IF(R389="","",TODAY()-INT(R389))</f>
        <v/>
      </c>
      <c r="T389" s="86"/>
      <c r="U389" s="86"/>
      <c r="V389" s="86"/>
      <c r="W389" s="88"/>
      <c r="X389" s="89" t="str">
        <f aca="true">IF(W389="","",IF(OR(O389="28 - Encerrado",O389="27 - Instalação concluída"),"Concluído",TODAY()-INT(W389)))</f>
        <v/>
      </c>
      <c r="Y389" s="90" t="str">
        <f aca="false">IF(OR(O389="28 - Encerrado",O389="27 - Instalação concluída"),"OK",IF(AND(B389&lt;&gt;"",S389=""),"ATENÇÃO (Sem data de atualização)",IF(S389="","",IF(S389&gt;30,"CRÍTICO (Sem Atualização &gt;30 dias)",IF(S389&gt;15,"ATENÇÃO (Sem Atualização &gt;15 dias)",IF(X389&gt;90,"CRÍTICO (Aberto &gt;90 dias)","OK"))))))</f>
        <v/>
      </c>
      <c r="Z389" s="90" t="str">
        <f aca="false">IF(B389="","",IF(OR(O389="27 - Instalação concluída",O389="28 - Encerrado"),"OK",IF(NOT(ISNUMBER(X389)),"",IF(X389&gt;365,"MUITO ANTIGO (&gt;1 ano)",IF(X389&gt;180,"ANTIGO (&gt;6 meses)",IF(X389&gt;90,"ATENÇÃO ANTIG. (&gt;3 meses)","OK"))))))</f>
        <v/>
      </c>
      <c r="AA389" s="86"/>
      <c r="AB389" s="69" t="str">
        <f aca="false">IF(AND(B389&lt;&gt;"",OR(T389="Pendente de Vistoria",T389="Não validada")),MAX($AB$1:$AB$388)+1,"")</f>
        <v/>
      </c>
      <c r="AC389" s="69" t="str">
        <f aca="false">IF(AND(B389&lt;&gt;"",OR(ISNUMBER(SEARCH("CTIN",P389)),U389="Alta",O389="07 - Relatório recebido — unidade apta",O389="11 - Orçamentos em análise técnica",O389="22 - Instalação/substituição autorizada")),MAX($AC$1:$AC$388)+1,"")</f>
        <v/>
      </c>
      <c r="AD389" s="69" t="str">
        <f aca="false">IF(AND(B389&lt;&gt;"",OR(ISNUMBER(SEARCH("CTO",P389)),LEFT(O389,2)="22",LEFT(O389,2)="23",LEFT(O389,2)="24",LEFT(O389,2)="25",LEFT(O389,2)="26",LEFT(O389,2)="27")),MAX($AD$1:$AD$388)+1,"")</f>
        <v/>
      </c>
      <c r="AE389" s="69" t="str">
        <f aca="false">IF(AND(B389&lt;&gt;"",D389=CONSULTA_UNIDADE!$B$4),MAX($AE$1:$AE$388)+1,"")</f>
        <v/>
      </c>
      <c r="AF389" s="69" t="str">
        <f aca="false">IF(AND(B389&lt;&gt;"",O389&lt;&gt;"27 - Instalação concluída",O389&lt;&gt;"28 - Encerrado",ISNUMBER(S389)),S389*1000+(1000-ROW()),"")</f>
        <v/>
      </c>
      <c r="AG389" s="69" t="str">
        <f aca="false">IF(AF389="","",RANK(AF389,$AF$2:$AF$500))</f>
        <v/>
      </c>
    </row>
    <row r="390" customFormat="false" ht="16.5" hidden="false" customHeight="true" outlineLevel="0" collapsed="false">
      <c r="A390" s="86"/>
      <c r="B390" s="86"/>
      <c r="C390" s="87" t="str">
        <f aca="false">IF(D390="","",IFERROR(INDEX(CADASTRO_VIVO_3CRE!$B$2:$B$150,MATCH(D390,CADASTRO_VIVO_3CRE!$E$2:$E$150,0)),""))</f>
        <v/>
      </c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8"/>
      <c r="S390" s="89" t="str">
        <f aca="true">IF(R390="","",TODAY()-INT(R390))</f>
        <v/>
      </c>
      <c r="T390" s="86"/>
      <c r="U390" s="86"/>
      <c r="V390" s="86"/>
      <c r="W390" s="88"/>
      <c r="X390" s="89" t="str">
        <f aca="true">IF(W390="","",IF(OR(O390="28 - Encerrado",O390="27 - Instalação concluída"),"Concluído",TODAY()-INT(W390)))</f>
        <v/>
      </c>
      <c r="Y390" s="90" t="str">
        <f aca="false">IF(OR(O390="28 - Encerrado",O390="27 - Instalação concluída"),"OK",IF(AND(B390&lt;&gt;"",S390=""),"ATENÇÃO (Sem data de atualização)",IF(S390="","",IF(S390&gt;30,"CRÍTICO (Sem Atualização &gt;30 dias)",IF(S390&gt;15,"ATENÇÃO (Sem Atualização &gt;15 dias)",IF(X390&gt;90,"CRÍTICO (Aberto &gt;90 dias)","OK"))))))</f>
        <v/>
      </c>
      <c r="Z390" s="90" t="str">
        <f aca="false">IF(B390="","",IF(OR(O390="27 - Instalação concluída",O390="28 - Encerrado"),"OK",IF(NOT(ISNUMBER(X390)),"",IF(X390&gt;365,"MUITO ANTIGO (&gt;1 ano)",IF(X390&gt;180,"ANTIGO (&gt;6 meses)",IF(X390&gt;90,"ATENÇÃO ANTIG. (&gt;3 meses)","OK"))))))</f>
        <v/>
      </c>
      <c r="AA390" s="86"/>
      <c r="AB390" s="69" t="str">
        <f aca="false">IF(AND(B390&lt;&gt;"",OR(T390="Pendente de Vistoria",T390="Não validada")),MAX($AB$1:$AB$389)+1,"")</f>
        <v/>
      </c>
      <c r="AC390" s="69" t="str">
        <f aca="false">IF(AND(B390&lt;&gt;"",OR(ISNUMBER(SEARCH("CTIN",P390)),U390="Alta",O390="07 - Relatório recebido — unidade apta",O390="11 - Orçamentos em análise técnica",O390="22 - Instalação/substituição autorizada")),MAX($AC$1:$AC$389)+1,"")</f>
        <v/>
      </c>
      <c r="AD390" s="69" t="str">
        <f aca="false">IF(AND(B390&lt;&gt;"",OR(ISNUMBER(SEARCH("CTO",P390)),LEFT(O390,2)="22",LEFT(O390,2)="23",LEFT(O390,2)="24",LEFT(O390,2)="25",LEFT(O390,2)="26",LEFT(O390,2)="27")),MAX($AD$1:$AD$389)+1,"")</f>
        <v/>
      </c>
      <c r="AE390" s="69" t="str">
        <f aca="false">IF(AND(B390&lt;&gt;"",D390=CONSULTA_UNIDADE!$B$4),MAX($AE$1:$AE$389)+1,"")</f>
        <v/>
      </c>
      <c r="AF390" s="69" t="str">
        <f aca="false">IF(AND(B390&lt;&gt;"",O390&lt;&gt;"27 - Instalação concluída",O390&lt;&gt;"28 - Encerrado",ISNUMBER(S390)),S390*1000+(1000-ROW()),"")</f>
        <v/>
      </c>
      <c r="AG390" s="69" t="str">
        <f aca="false">IF(AF390="","",RANK(AF390,$AF$2:$AF$500))</f>
        <v/>
      </c>
    </row>
    <row r="391" customFormat="false" ht="16.5" hidden="false" customHeight="true" outlineLevel="0" collapsed="false">
      <c r="A391" s="86"/>
      <c r="B391" s="86"/>
      <c r="C391" s="87" t="str">
        <f aca="false">IF(D391="","",IFERROR(INDEX(CADASTRO_VIVO_3CRE!$B$2:$B$150,MATCH(D391,CADASTRO_VIVO_3CRE!$E$2:$E$150,0)),""))</f>
        <v/>
      </c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8"/>
      <c r="S391" s="89" t="str">
        <f aca="true">IF(R391="","",TODAY()-INT(R391))</f>
        <v/>
      </c>
      <c r="T391" s="86"/>
      <c r="U391" s="86"/>
      <c r="V391" s="86"/>
      <c r="W391" s="88"/>
      <c r="X391" s="89" t="str">
        <f aca="true">IF(W391="","",IF(OR(O391="28 - Encerrado",O391="27 - Instalação concluída"),"Concluído",TODAY()-INT(W391)))</f>
        <v/>
      </c>
      <c r="Y391" s="90" t="str">
        <f aca="false">IF(OR(O391="28 - Encerrado",O391="27 - Instalação concluída"),"OK",IF(AND(B391&lt;&gt;"",S391=""),"ATENÇÃO (Sem data de atualização)",IF(S391="","",IF(S391&gt;30,"CRÍTICO (Sem Atualização &gt;30 dias)",IF(S391&gt;15,"ATENÇÃO (Sem Atualização &gt;15 dias)",IF(X391&gt;90,"CRÍTICO (Aberto &gt;90 dias)","OK"))))))</f>
        <v/>
      </c>
      <c r="Z391" s="90" t="str">
        <f aca="false">IF(B391="","",IF(OR(O391="27 - Instalação concluída",O391="28 - Encerrado"),"OK",IF(NOT(ISNUMBER(X391)),"",IF(X391&gt;365,"MUITO ANTIGO (&gt;1 ano)",IF(X391&gt;180,"ANTIGO (&gt;6 meses)",IF(X391&gt;90,"ATENÇÃO ANTIG. (&gt;3 meses)","OK"))))))</f>
        <v/>
      </c>
      <c r="AA391" s="86"/>
      <c r="AB391" s="69" t="str">
        <f aca="false">IF(AND(B391&lt;&gt;"",OR(T391="Pendente de Vistoria",T391="Não validada")),MAX($AB$1:$AB$390)+1,"")</f>
        <v/>
      </c>
      <c r="AC391" s="69" t="str">
        <f aca="false">IF(AND(B391&lt;&gt;"",OR(ISNUMBER(SEARCH("CTIN",P391)),U391="Alta",O391="07 - Relatório recebido — unidade apta",O391="11 - Orçamentos em análise técnica",O391="22 - Instalação/substituição autorizada")),MAX($AC$1:$AC$390)+1,"")</f>
        <v/>
      </c>
      <c r="AD391" s="69" t="str">
        <f aca="false">IF(AND(B391&lt;&gt;"",OR(ISNUMBER(SEARCH("CTO",P391)),LEFT(O391,2)="22",LEFT(O391,2)="23",LEFT(O391,2)="24",LEFT(O391,2)="25",LEFT(O391,2)="26",LEFT(O391,2)="27")),MAX($AD$1:$AD$390)+1,"")</f>
        <v/>
      </c>
      <c r="AE391" s="69" t="str">
        <f aca="false">IF(AND(B391&lt;&gt;"",D391=CONSULTA_UNIDADE!$B$4),MAX($AE$1:$AE$390)+1,"")</f>
        <v/>
      </c>
      <c r="AF391" s="69" t="str">
        <f aca="false">IF(AND(B391&lt;&gt;"",O391&lt;&gt;"27 - Instalação concluída",O391&lt;&gt;"28 - Encerrado",ISNUMBER(S391)),S391*1000+(1000-ROW()),"")</f>
        <v/>
      </c>
      <c r="AG391" s="69" t="str">
        <f aca="false">IF(AF391="","",RANK(AF391,$AF$2:$AF$500))</f>
        <v/>
      </c>
    </row>
    <row r="392" customFormat="false" ht="16.5" hidden="false" customHeight="true" outlineLevel="0" collapsed="false">
      <c r="A392" s="86"/>
      <c r="B392" s="86"/>
      <c r="C392" s="87" t="str">
        <f aca="false">IF(D392="","",IFERROR(INDEX(CADASTRO_VIVO_3CRE!$B$2:$B$150,MATCH(D392,CADASTRO_VIVO_3CRE!$E$2:$E$150,0)),""))</f>
        <v/>
      </c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8"/>
      <c r="S392" s="89" t="str">
        <f aca="true">IF(R392="","",TODAY()-INT(R392))</f>
        <v/>
      </c>
      <c r="T392" s="86"/>
      <c r="U392" s="86"/>
      <c r="V392" s="86"/>
      <c r="W392" s="88"/>
      <c r="X392" s="89" t="str">
        <f aca="true">IF(W392="","",IF(OR(O392="28 - Encerrado",O392="27 - Instalação concluída"),"Concluído",TODAY()-INT(W392)))</f>
        <v/>
      </c>
      <c r="Y392" s="90" t="str">
        <f aca="false">IF(OR(O392="28 - Encerrado",O392="27 - Instalação concluída"),"OK",IF(AND(B392&lt;&gt;"",S392=""),"ATENÇÃO (Sem data de atualização)",IF(S392="","",IF(S392&gt;30,"CRÍTICO (Sem Atualização &gt;30 dias)",IF(S392&gt;15,"ATENÇÃO (Sem Atualização &gt;15 dias)",IF(X392&gt;90,"CRÍTICO (Aberto &gt;90 dias)","OK"))))))</f>
        <v/>
      </c>
      <c r="Z392" s="90" t="str">
        <f aca="false">IF(B392="","",IF(OR(O392="27 - Instalação concluída",O392="28 - Encerrado"),"OK",IF(NOT(ISNUMBER(X392)),"",IF(X392&gt;365,"MUITO ANTIGO (&gt;1 ano)",IF(X392&gt;180,"ANTIGO (&gt;6 meses)",IF(X392&gt;90,"ATENÇÃO ANTIG. (&gt;3 meses)","OK"))))))</f>
        <v/>
      </c>
      <c r="AA392" s="86"/>
      <c r="AB392" s="69" t="str">
        <f aca="false">IF(AND(B392&lt;&gt;"",OR(T392="Pendente de Vistoria",T392="Não validada")),MAX($AB$1:$AB$391)+1,"")</f>
        <v/>
      </c>
      <c r="AC392" s="69" t="str">
        <f aca="false">IF(AND(B392&lt;&gt;"",OR(ISNUMBER(SEARCH("CTIN",P392)),U392="Alta",O392="07 - Relatório recebido — unidade apta",O392="11 - Orçamentos em análise técnica",O392="22 - Instalação/substituição autorizada")),MAX($AC$1:$AC$391)+1,"")</f>
        <v/>
      </c>
      <c r="AD392" s="69" t="str">
        <f aca="false">IF(AND(B392&lt;&gt;"",OR(ISNUMBER(SEARCH("CTO",P392)),LEFT(O392,2)="22",LEFT(O392,2)="23",LEFT(O392,2)="24",LEFT(O392,2)="25",LEFT(O392,2)="26",LEFT(O392,2)="27")),MAX($AD$1:$AD$391)+1,"")</f>
        <v/>
      </c>
      <c r="AE392" s="69" t="str">
        <f aca="false">IF(AND(B392&lt;&gt;"",D392=CONSULTA_UNIDADE!$B$4),MAX($AE$1:$AE$391)+1,"")</f>
        <v/>
      </c>
      <c r="AF392" s="69" t="str">
        <f aca="false">IF(AND(B392&lt;&gt;"",O392&lt;&gt;"27 - Instalação concluída",O392&lt;&gt;"28 - Encerrado",ISNUMBER(S392)),S392*1000+(1000-ROW()),"")</f>
        <v/>
      </c>
      <c r="AG392" s="69" t="str">
        <f aca="false">IF(AF392="","",RANK(AF392,$AF$2:$AF$500))</f>
        <v/>
      </c>
    </row>
    <row r="393" customFormat="false" ht="16.5" hidden="false" customHeight="true" outlineLevel="0" collapsed="false">
      <c r="A393" s="86"/>
      <c r="B393" s="86"/>
      <c r="C393" s="87" t="str">
        <f aca="false">IF(D393="","",IFERROR(INDEX(CADASTRO_VIVO_3CRE!$B$2:$B$150,MATCH(D393,CADASTRO_VIVO_3CRE!$E$2:$E$150,0)),""))</f>
        <v/>
      </c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8"/>
      <c r="S393" s="89" t="str">
        <f aca="true">IF(R393="","",TODAY()-INT(R393))</f>
        <v/>
      </c>
      <c r="T393" s="86"/>
      <c r="U393" s="86"/>
      <c r="V393" s="86"/>
      <c r="W393" s="88"/>
      <c r="X393" s="89" t="str">
        <f aca="true">IF(W393="","",IF(OR(O393="28 - Encerrado",O393="27 - Instalação concluída"),"Concluído",TODAY()-INT(W393)))</f>
        <v/>
      </c>
      <c r="Y393" s="90" t="str">
        <f aca="false">IF(OR(O393="28 - Encerrado",O393="27 - Instalação concluída"),"OK",IF(AND(B393&lt;&gt;"",S393=""),"ATENÇÃO (Sem data de atualização)",IF(S393="","",IF(S393&gt;30,"CRÍTICO (Sem Atualização &gt;30 dias)",IF(S393&gt;15,"ATENÇÃO (Sem Atualização &gt;15 dias)",IF(X393&gt;90,"CRÍTICO (Aberto &gt;90 dias)","OK"))))))</f>
        <v/>
      </c>
      <c r="Z393" s="90" t="str">
        <f aca="false">IF(B393="","",IF(OR(O393="27 - Instalação concluída",O393="28 - Encerrado"),"OK",IF(NOT(ISNUMBER(X393)),"",IF(X393&gt;365,"MUITO ANTIGO (&gt;1 ano)",IF(X393&gt;180,"ANTIGO (&gt;6 meses)",IF(X393&gt;90,"ATENÇÃO ANTIG. (&gt;3 meses)","OK"))))))</f>
        <v/>
      </c>
      <c r="AA393" s="86"/>
      <c r="AB393" s="69" t="str">
        <f aca="false">IF(AND(B393&lt;&gt;"",OR(T393="Pendente de Vistoria",T393="Não validada")),MAX($AB$1:$AB$392)+1,"")</f>
        <v/>
      </c>
      <c r="AC393" s="69" t="str">
        <f aca="false">IF(AND(B393&lt;&gt;"",OR(ISNUMBER(SEARCH("CTIN",P393)),U393="Alta",O393="07 - Relatório recebido — unidade apta",O393="11 - Orçamentos em análise técnica",O393="22 - Instalação/substituição autorizada")),MAX($AC$1:$AC$392)+1,"")</f>
        <v/>
      </c>
      <c r="AD393" s="69" t="str">
        <f aca="false">IF(AND(B393&lt;&gt;"",OR(ISNUMBER(SEARCH("CTO",P393)),LEFT(O393,2)="22",LEFT(O393,2)="23",LEFT(O393,2)="24",LEFT(O393,2)="25",LEFT(O393,2)="26",LEFT(O393,2)="27")),MAX($AD$1:$AD$392)+1,"")</f>
        <v/>
      </c>
      <c r="AE393" s="69" t="str">
        <f aca="false">IF(AND(B393&lt;&gt;"",D393=CONSULTA_UNIDADE!$B$4),MAX($AE$1:$AE$392)+1,"")</f>
        <v/>
      </c>
      <c r="AF393" s="69" t="str">
        <f aca="false">IF(AND(B393&lt;&gt;"",O393&lt;&gt;"27 - Instalação concluída",O393&lt;&gt;"28 - Encerrado",ISNUMBER(S393)),S393*1000+(1000-ROW()),"")</f>
        <v/>
      </c>
      <c r="AG393" s="69" t="str">
        <f aca="false">IF(AF393="","",RANK(AF393,$AF$2:$AF$500))</f>
        <v/>
      </c>
    </row>
    <row r="394" customFormat="false" ht="16.5" hidden="false" customHeight="true" outlineLevel="0" collapsed="false">
      <c r="A394" s="86"/>
      <c r="B394" s="86"/>
      <c r="C394" s="87" t="str">
        <f aca="false">IF(D394="","",IFERROR(INDEX(CADASTRO_VIVO_3CRE!$B$2:$B$150,MATCH(D394,CADASTRO_VIVO_3CRE!$E$2:$E$150,0)),""))</f>
        <v/>
      </c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8"/>
      <c r="S394" s="89" t="str">
        <f aca="true">IF(R394="","",TODAY()-INT(R394))</f>
        <v/>
      </c>
      <c r="T394" s="86"/>
      <c r="U394" s="86"/>
      <c r="V394" s="86"/>
      <c r="W394" s="88"/>
      <c r="X394" s="89" t="str">
        <f aca="true">IF(W394="","",IF(OR(O394="28 - Encerrado",O394="27 - Instalação concluída"),"Concluído",TODAY()-INT(W394)))</f>
        <v/>
      </c>
      <c r="Y394" s="90" t="str">
        <f aca="false">IF(OR(O394="28 - Encerrado",O394="27 - Instalação concluída"),"OK",IF(AND(B394&lt;&gt;"",S394=""),"ATENÇÃO (Sem data de atualização)",IF(S394="","",IF(S394&gt;30,"CRÍTICO (Sem Atualização &gt;30 dias)",IF(S394&gt;15,"ATENÇÃO (Sem Atualização &gt;15 dias)",IF(X394&gt;90,"CRÍTICO (Aberto &gt;90 dias)","OK"))))))</f>
        <v/>
      </c>
      <c r="Z394" s="90" t="str">
        <f aca="false">IF(B394="","",IF(OR(O394="27 - Instalação concluída",O394="28 - Encerrado"),"OK",IF(NOT(ISNUMBER(X394)),"",IF(X394&gt;365,"MUITO ANTIGO (&gt;1 ano)",IF(X394&gt;180,"ANTIGO (&gt;6 meses)",IF(X394&gt;90,"ATENÇÃO ANTIG. (&gt;3 meses)","OK"))))))</f>
        <v/>
      </c>
      <c r="AA394" s="86"/>
      <c r="AB394" s="69" t="str">
        <f aca="false">IF(AND(B394&lt;&gt;"",OR(T394="Pendente de Vistoria",T394="Não validada")),MAX($AB$1:$AB$393)+1,"")</f>
        <v/>
      </c>
      <c r="AC394" s="69" t="str">
        <f aca="false">IF(AND(B394&lt;&gt;"",OR(ISNUMBER(SEARCH("CTIN",P394)),U394="Alta",O394="07 - Relatório recebido — unidade apta",O394="11 - Orçamentos em análise técnica",O394="22 - Instalação/substituição autorizada")),MAX($AC$1:$AC$393)+1,"")</f>
        <v/>
      </c>
      <c r="AD394" s="69" t="str">
        <f aca="false">IF(AND(B394&lt;&gt;"",OR(ISNUMBER(SEARCH("CTO",P394)),LEFT(O394,2)="22",LEFT(O394,2)="23",LEFT(O394,2)="24",LEFT(O394,2)="25",LEFT(O394,2)="26",LEFT(O394,2)="27")),MAX($AD$1:$AD$393)+1,"")</f>
        <v/>
      </c>
      <c r="AE394" s="69" t="str">
        <f aca="false">IF(AND(B394&lt;&gt;"",D394=CONSULTA_UNIDADE!$B$4),MAX($AE$1:$AE$393)+1,"")</f>
        <v/>
      </c>
      <c r="AF394" s="69" t="str">
        <f aca="false">IF(AND(B394&lt;&gt;"",O394&lt;&gt;"27 - Instalação concluída",O394&lt;&gt;"28 - Encerrado",ISNUMBER(S394)),S394*1000+(1000-ROW()),"")</f>
        <v/>
      </c>
      <c r="AG394" s="69" t="str">
        <f aca="false">IF(AF394="","",RANK(AF394,$AF$2:$AF$500))</f>
        <v/>
      </c>
    </row>
    <row r="395" customFormat="false" ht="16.5" hidden="false" customHeight="true" outlineLevel="0" collapsed="false">
      <c r="A395" s="86"/>
      <c r="B395" s="86"/>
      <c r="C395" s="87" t="str">
        <f aca="false">IF(D395="","",IFERROR(INDEX(CADASTRO_VIVO_3CRE!$B$2:$B$150,MATCH(D395,CADASTRO_VIVO_3CRE!$E$2:$E$150,0)),""))</f>
        <v/>
      </c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8"/>
      <c r="S395" s="89" t="str">
        <f aca="true">IF(R395="","",TODAY()-INT(R395))</f>
        <v/>
      </c>
      <c r="T395" s="86"/>
      <c r="U395" s="86"/>
      <c r="V395" s="86"/>
      <c r="W395" s="88"/>
      <c r="X395" s="89" t="str">
        <f aca="true">IF(W395="","",IF(OR(O395="28 - Encerrado",O395="27 - Instalação concluída"),"Concluído",TODAY()-INT(W395)))</f>
        <v/>
      </c>
      <c r="Y395" s="90" t="str">
        <f aca="false">IF(OR(O395="28 - Encerrado",O395="27 - Instalação concluída"),"OK",IF(AND(B395&lt;&gt;"",S395=""),"ATENÇÃO (Sem data de atualização)",IF(S395="","",IF(S395&gt;30,"CRÍTICO (Sem Atualização &gt;30 dias)",IF(S395&gt;15,"ATENÇÃO (Sem Atualização &gt;15 dias)",IF(X395&gt;90,"CRÍTICO (Aberto &gt;90 dias)","OK"))))))</f>
        <v/>
      </c>
      <c r="Z395" s="90" t="str">
        <f aca="false">IF(B395="","",IF(OR(O395="27 - Instalação concluída",O395="28 - Encerrado"),"OK",IF(NOT(ISNUMBER(X395)),"",IF(X395&gt;365,"MUITO ANTIGO (&gt;1 ano)",IF(X395&gt;180,"ANTIGO (&gt;6 meses)",IF(X395&gt;90,"ATENÇÃO ANTIG. (&gt;3 meses)","OK"))))))</f>
        <v/>
      </c>
      <c r="AA395" s="86"/>
      <c r="AB395" s="69" t="str">
        <f aca="false">IF(AND(B395&lt;&gt;"",OR(T395="Pendente de Vistoria",T395="Não validada")),MAX($AB$1:$AB$394)+1,"")</f>
        <v/>
      </c>
      <c r="AC395" s="69" t="str">
        <f aca="false">IF(AND(B395&lt;&gt;"",OR(ISNUMBER(SEARCH("CTIN",P395)),U395="Alta",O395="07 - Relatório recebido — unidade apta",O395="11 - Orçamentos em análise técnica",O395="22 - Instalação/substituição autorizada")),MAX($AC$1:$AC$394)+1,"")</f>
        <v/>
      </c>
      <c r="AD395" s="69" t="str">
        <f aca="false">IF(AND(B395&lt;&gt;"",OR(ISNUMBER(SEARCH("CTO",P395)),LEFT(O395,2)="22",LEFT(O395,2)="23",LEFT(O395,2)="24",LEFT(O395,2)="25",LEFT(O395,2)="26",LEFT(O395,2)="27")),MAX($AD$1:$AD$394)+1,"")</f>
        <v/>
      </c>
      <c r="AE395" s="69" t="str">
        <f aca="false">IF(AND(B395&lt;&gt;"",D395=CONSULTA_UNIDADE!$B$4),MAX($AE$1:$AE$394)+1,"")</f>
        <v/>
      </c>
      <c r="AF395" s="69" t="str">
        <f aca="false">IF(AND(B395&lt;&gt;"",O395&lt;&gt;"27 - Instalação concluída",O395&lt;&gt;"28 - Encerrado",ISNUMBER(S395)),S395*1000+(1000-ROW()),"")</f>
        <v/>
      </c>
      <c r="AG395" s="69" t="str">
        <f aca="false">IF(AF395="","",RANK(AF395,$AF$2:$AF$500))</f>
        <v/>
      </c>
    </row>
    <row r="396" customFormat="false" ht="16.5" hidden="false" customHeight="true" outlineLevel="0" collapsed="false">
      <c r="A396" s="86"/>
      <c r="B396" s="86"/>
      <c r="C396" s="87" t="str">
        <f aca="false">IF(D396="","",IFERROR(INDEX(CADASTRO_VIVO_3CRE!$B$2:$B$150,MATCH(D396,CADASTRO_VIVO_3CRE!$E$2:$E$150,0)),""))</f>
        <v/>
      </c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8"/>
      <c r="S396" s="89" t="str">
        <f aca="true">IF(R396="","",TODAY()-INT(R396))</f>
        <v/>
      </c>
      <c r="T396" s="86"/>
      <c r="U396" s="86"/>
      <c r="V396" s="86"/>
      <c r="W396" s="88"/>
      <c r="X396" s="89" t="str">
        <f aca="true">IF(W396="","",IF(OR(O396="28 - Encerrado",O396="27 - Instalação concluída"),"Concluído",TODAY()-INT(W396)))</f>
        <v/>
      </c>
      <c r="Y396" s="90" t="str">
        <f aca="false">IF(OR(O396="28 - Encerrado",O396="27 - Instalação concluída"),"OK",IF(AND(B396&lt;&gt;"",S396=""),"ATENÇÃO (Sem data de atualização)",IF(S396="","",IF(S396&gt;30,"CRÍTICO (Sem Atualização &gt;30 dias)",IF(S396&gt;15,"ATENÇÃO (Sem Atualização &gt;15 dias)",IF(X396&gt;90,"CRÍTICO (Aberto &gt;90 dias)","OK"))))))</f>
        <v/>
      </c>
      <c r="Z396" s="90" t="str">
        <f aca="false">IF(B396="","",IF(OR(O396="27 - Instalação concluída",O396="28 - Encerrado"),"OK",IF(NOT(ISNUMBER(X396)),"",IF(X396&gt;365,"MUITO ANTIGO (&gt;1 ano)",IF(X396&gt;180,"ANTIGO (&gt;6 meses)",IF(X396&gt;90,"ATENÇÃO ANTIG. (&gt;3 meses)","OK"))))))</f>
        <v/>
      </c>
      <c r="AA396" s="86"/>
      <c r="AB396" s="69" t="str">
        <f aca="false">IF(AND(B396&lt;&gt;"",OR(T396="Pendente de Vistoria",T396="Não validada")),MAX($AB$1:$AB$395)+1,"")</f>
        <v/>
      </c>
      <c r="AC396" s="69" t="str">
        <f aca="false">IF(AND(B396&lt;&gt;"",OR(ISNUMBER(SEARCH("CTIN",P396)),U396="Alta",O396="07 - Relatório recebido — unidade apta",O396="11 - Orçamentos em análise técnica",O396="22 - Instalação/substituição autorizada")),MAX($AC$1:$AC$395)+1,"")</f>
        <v/>
      </c>
      <c r="AD396" s="69" t="str">
        <f aca="false">IF(AND(B396&lt;&gt;"",OR(ISNUMBER(SEARCH("CTO",P396)),LEFT(O396,2)="22",LEFT(O396,2)="23",LEFT(O396,2)="24",LEFT(O396,2)="25",LEFT(O396,2)="26",LEFT(O396,2)="27")),MAX($AD$1:$AD$395)+1,"")</f>
        <v/>
      </c>
      <c r="AE396" s="69" t="str">
        <f aca="false">IF(AND(B396&lt;&gt;"",D396=CONSULTA_UNIDADE!$B$4),MAX($AE$1:$AE$395)+1,"")</f>
        <v/>
      </c>
      <c r="AF396" s="69" t="str">
        <f aca="false">IF(AND(B396&lt;&gt;"",O396&lt;&gt;"27 - Instalação concluída",O396&lt;&gt;"28 - Encerrado",ISNUMBER(S396)),S396*1000+(1000-ROW()),"")</f>
        <v/>
      </c>
      <c r="AG396" s="69" t="str">
        <f aca="false">IF(AF396="","",RANK(AF396,$AF$2:$AF$500))</f>
        <v/>
      </c>
    </row>
    <row r="397" customFormat="false" ht="16.5" hidden="false" customHeight="true" outlineLevel="0" collapsed="false">
      <c r="A397" s="86"/>
      <c r="B397" s="86"/>
      <c r="C397" s="87" t="str">
        <f aca="false">IF(D397="","",IFERROR(INDEX(CADASTRO_VIVO_3CRE!$B$2:$B$150,MATCH(D397,CADASTRO_VIVO_3CRE!$E$2:$E$150,0)),""))</f>
        <v/>
      </c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8"/>
      <c r="S397" s="89" t="str">
        <f aca="true">IF(R397="","",TODAY()-INT(R397))</f>
        <v/>
      </c>
      <c r="T397" s="86"/>
      <c r="U397" s="86"/>
      <c r="V397" s="86"/>
      <c r="W397" s="88"/>
      <c r="X397" s="89" t="str">
        <f aca="true">IF(W397="","",IF(OR(O397="28 - Encerrado",O397="27 - Instalação concluída"),"Concluído",TODAY()-INT(W397)))</f>
        <v/>
      </c>
      <c r="Y397" s="90" t="str">
        <f aca="false">IF(OR(O397="28 - Encerrado",O397="27 - Instalação concluída"),"OK",IF(AND(B397&lt;&gt;"",S397=""),"ATENÇÃO (Sem data de atualização)",IF(S397="","",IF(S397&gt;30,"CRÍTICO (Sem Atualização &gt;30 dias)",IF(S397&gt;15,"ATENÇÃO (Sem Atualização &gt;15 dias)",IF(X397&gt;90,"CRÍTICO (Aberto &gt;90 dias)","OK"))))))</f>
        <v/>
      </c>
      <c r="Z397" s="90" t="str">
        <f aca="false">IF(B397="","",IF(OR(O397="27 - Instalação concluída",O397="28 - Encerrado"),"OK",IF(NOT(ISNUMBER(X397)),"",IF(X397&gt;365,"MUITO ANTIGO (&gt;1 ano)",IF(X397&gt;180,"ANTIGO (&gt;6 meses)",IF(X397&gt;90,"ATENÇÃO ANTIG. (&gt;3 meses)","OK"))))))</f>
        <v/>
      </c>
      <c r="AA397" s="86"/>
      <c r="AB397" s="69" t="str">
        <f aca="false">IF(AND(B397&lt;&gt;"",OR(T397="Pendente de Vistoria",T397="Não validada")),MAX($AB$1:$AB$396)+1,"")</f>
        <v/>
      </c>
      <c r="AC397" s="69" t="str">
        <f aca="false">IF(AND(B397&lt;&gt;"",OR(ISNUMBER(SEARCH("CTIN",P397)),U397="Alta",O397="07 - Relatório recebido — unidade apta",O397="11 - Orçamentos em análise técnica",O397="22 - Instalação/substituição autorizada")),MAX($AC$1:$AC$396)+1,"")</f>
        <v/>
      </c>
      <c r="AD397" s="69" t="str">
        <f aca="false">IF(AND(B397&lt;&gt;"",OR(ISNUMBER(SEARCH("CTO",P397)),LEFT(O397,2)="22",LEFT(O397,2)="23",LEFT(O397,2)="24",LEFT(O397,2)="25",LEFT(O397,2)="26",LEFT(O397,2)="27")),MAX($AD$1:$AD$396)+1,"")</f>
        <v/>
      </c>
      <c r="AE397" s="69" t="str">
        <f aca="false">IF(AND(B397&lt;&gt;"",D397=CONSULTA_UNIDADE!$B$4),MAX($AE$1:$AE$396)+1,"")</f>
        <v/>
      </c>
      <c r="AF397" s="69" t="str">
        <f aca="false">IF(AND(B397&lt;&gt;"",O397&lt;&gt;"27 - Instalação concluída",O397&lt;&gt;"28 - Encerrado",ISNUMBER(S397)),S397*1000+(1000-ROW()),"")</f>
        <v/>
      </c>
      <c r="AG397" s="69" t="str">
        <f aca="false">IF(AF397="","",RANK(AF397,$AF$2:$AF$500))</f>
        <v/>
      </c>
    </row>
    <row r="398" customFormat="false" ht="16.5" hidden="false" customHeight="true" outlineLevel="0" collapsed="false">
      <c r="A398" s="86"/>
      <c r="B398" s="86"/>
      <c r="C398" s="87" t="str">
        <f aca="false">IF(D398="","",IFERROR(INDEX(CADASTRO_VIVO_3CRE!$B$2:$B$150,MATCH(D398,CADASTRO_VIVO_3CRE!$E$2:$E$150,0)),""))</f>
        <v/>
      </c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8"/>
      <c r="S398" s="89" t="str">
        <f aca="true">IF(R398="","",TODAY()-INT(R398))</f>
        <v/>
      </c>
      <c r="T398" s="86"/>
      <c r="U398" s="86"/>
      <c r="V398" s="86"/>
      <c r="W398" s="88"/>
      <c r="X398" s="89" t="str">
        <f aca="true">IF(W398="","",IF(OR(O398="28 - Encerrado",O398="27 - Instalação concluída"),"Concluído",TODAY()-INT(W398)))</f>
        <v/>
      </c>
      <c r="Y398" s="90" t="str">
        <f aca="false">IF(OR(O398="28 - Encerrado",O398="27 - Instalação concluída"),"OK",IF(AND(B398&lt;&gt;"",S398=""),"ATENÇÃO (Sem data de atualização)",IF(S398="","",IF(S398&gt;30,"CRÍTICO (Sem Atualização &gt;30 dias)",IF(S398&gt;15,"ATENÇÃO (Sem Atualização &gt;15 dias)",IF(X398&gt;90,"CRÍTICO (Aberto &gt;90 dias)","OK"))))))</f>
        <v/>
      </c>
      <c r="Z398" s="90" t="str">
        <f aca="false">IF(B398="","",IF(OR(O398="27 - Instalação concluída",O398="28 - Encerrado"),"OK",IF(NOT(ISNUMBER(X398)),"",IF(X398&gt;365,"MUITO ANTIGO (&gt;1 ano)",IF(X398&gt;180,"ANTIGO (&gt;6 meses)",IF(X398&gt;90,"ATENÇÃO ANTIG. (&gt;3 meses)","OK"))))))</f>
        <v/>
      </c>
      <c r="AA398" s="86"/>
      <c r="AB398" s="69" t="str">
        <f aca="false">IF(AND(B398&lt;&gt;"",OR(T398="Pendente de Vistoria",T398="Não validada")),MAX($AB$1:$AB$397)+1,"")</f>
        <v/>
      </c>
      <c r="AC398" s="69" t="str">
        <f aca="false">IF(AND(B398&lt;&gt;"",OR(ISNUMBER(SEARCH("CTIN",P398)),U398="Alta",O398="07 - Relatório recebido — unidade apta",O398="11 - Orçamentos em análise técnica",O398="22 - Instalação/substituição autorizada")),MAX($AC$1:$AC$397)+1,"")</f>
        <v/>
      </c>
      <c r="AD398" s="69" t="str">
        <f aca="false">IF(AND(B398&lt;&gt;"",OR(ISNUMBER(SEARCH("CTO",P398)),LEFT(O398,2)="22",LEFT(O398,2)="23",LEFT(O398,2)="24",LEFT(O398,2)="25",LEFT(O398,2)="26",LEFT(O398,2)="27")),MAX($AD$1:$AD$397)+1,"")</f>
        <v/>
      </c>
      <c r="AE398" s="69" t="str">
        <f aca="false">IF(AND(B398&lt;&gt;"",D398=CONSULTA_UNIDADE!$B$4),MAX($AE$1:$AE$397)+1,"")</f>
        <v/>
      </c>
      <c r="AF398" s="69" t="str">
        <f aca="false">IF(AND(B398&lt;&gt;"",O398&lt;&gt;"27 - Instalação concluída",O398&lt;&gt;"28 - Encerrado",ISNUMBER(S398)),S398*1000+(1000-ROW()),"")</f>
        <v/>
      </c>
      <c r="AG398" s="69" t="str">
        <f aca="false">IF(AF398="","",RANK(AF398,$AF$2:$AF$500))</f>
        <v/>
      </c>
    </row>
    <row r="399" customFormat="false" ht="16.5" hidden="false" customHeight="true" outlineLevel="0" collapsed="false">
      <c r="A399" s="86"/>
      <c r="B399" s="86"/>
      <c r="C399" s="87" t="str">
        <f aca="false">IF(D399="","",IFERROR(INDEX(CADASTRO_VIVO_3CRE!$B$2:$B$150,MATCH(D399,CADASTRO_VIVO_3CRE!$E$2:$E$150,0)),""))</f>
        <v/>
      </c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8"/>
      <c r="S399" s="89" t="str">
        <f aca="true">IF(R399="","",TODAY()-INT(R399))</f>
        <v/>
      </c>
      <c r="T399" s="86"/>
      <c r="U399" s="86"/>
      <c r="V399" s="86"/>
      <c r="W399" s="88"/>
      <c r="X399" s="89" t="str">
        <f aca="true">IF(W399="","",IF(OR(O399="28 - Encerrado",O399="27 - Instalação concluída"),"Concluído",TODAY()-INT(W399)))</f>
        <v/>
      </c>
      <c r="Y399" s="90" t="str">
        <f aca="false">IF(OR(O399="28 - Encerrado",O399="27 - Instalação concluída"),"OK",IF(AND(B399&lt;&gt;"",S399=""),"ATENÇÃO (Sem data de atualização)",IF(S399="","",IF(S399&gt;30,"CRÍTICO (Sem Atualização &gt;30 dias)",IF(S399&gt;15,"ATENÇÃO (Sem Atualização &gt;15 dias)",IF(X399&gt;90,"CRÍTICO (Aberto &gt;90 dias)","OK"))))))</f>
        <v/>
      </c>
      <c r="Z399" s="90" t="str">
        <f aca="false">IF(B399="","",IF(OR(O399="27 - Instalação concluída",O399="28 - Encerrado"),"OK",IF(NOT(ISNUMBER(X399)),"",IF(X399&gt;365,"MUITO ANTIGO (&gt;1 ano)",IF(X399&gt;180,"ANTIGO (&gt;6 meses)",IF(X399&gt;90,"ATENÇÃO ANTIG. (&gt;3 meses)","OK"))))))</f>
        <v/>
      </c>
      <c r="AA399" s="86"/>
      <c r="AB399" s="69" t="str">
        <f aca="false">IF(AND(B399&lt;&gt;"",OR(T399="Pendente de Vistoria",T399="Não validada")),MAX($AB$1:$AB$398)+1,"")</f>
        <v/>
      </c>
      <c r="AC399" s="69" t="str">
        <f aca="false">IF(AND(B399&lt;&gt;"",OR(ISNUMBER(SEARCH("CTIN",P399)),U399="Alta",O399="07 - Relatório recebido — unidade apta",O399="11 - Orçamentos em análise técnica",O399="22 - Instalação/substituição autorizada")),MAX($AC$1:$AC$398)+1,"")</f>
        <v/>
      </c>
      <c r="AD399" s="69" t="str">
        <f aca="false">IF(AND(B399&lt;&gt;"",OR(ISNUMBER(SEARCH("CTO",P399)),LEFT(O399,2)="22",LEFT(O399,2)="23",LEFT(O399,2)="24",LEFT(O399,2)="25",LEFT(O399,2)="26",LEFT(O399,2)="27")),MAX($AD$1:$AD$398)+1,"")</f>
        <v/>
      </c>
      <c r="AE399" s="69" t="str">
        <f aca="false">IF(AND(B399&lt;&gt;"",D399=CONSULTA_UNIDADE!$B$4),MAX($AE$1:$AE$398)+1,"")</f>
        <v/>
      </c>
      <c r="AF399" s="69" t="str">
        <f aca="false">IF(AND(B399&lt;&gt;"",O399&lt;&gt;"27 - Instalação concluída",O399&lt;&gt;"28 - Encerrado",ISNUMBER(S399)),S399*1000+(1000-ROW()),"")</f>
        <v/>
      </c>
      <c r="AG399" s="69" t="str">
        <f aca="false">IF(AF399="","",RANK(AF399,$AF$2:$AF$500))</f>
        <v/>
      </c>
    </row>
    <row r="400" customFormat="false" ht="16.5" hidden="false" customHeight="true" outlineLevel="0" collapsed="false">
      <c r="A400" s="86"/>
      <c r="B400" s="86"/>
      <c r="C400" s="87" t="str">
        <f aca="false">IF(D400="","",IFERROR(INDEX(CADASTRO_VIVO_3CRE!$B$2:$B$150,MATCH(D400,CADASTRO_VIVO_3CRE!$E$2:$E$150,0)),""))</f>
        <v/>
      </c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8"/>
      <c r="S400" s="89" t="str">
        <f aca="true">IF(R400="","",TODAY()-INT(R400))</f>
        <v/>
      </c>
      <c r="T400" s="86"/>
      <c r="U400" s="86"/>
      <c r="V400" s="86"/>
      <c r="W400" s="88"/>
      <c r="X400" s="89" t="str">
        <f aca="true">IF(W400="","",IF(OR(O400="28 - Encerrado",O400="27 - Instalação concluída"),"Concluído",TODAY()-INT(W400)))</f>
        <v/>
      </c>
      <c r="Y400" s="90" t="str">
        <f aca="false">IF(OR(O400="28 - Encerrado",O400="27 - Instalação concluída"),"OK",IF(AND(B400&lt;&gt;"",S400=""),"ATENÇÃO (Sem data de atualização)",IF(S400="","",IF(S400&gt;30,"CRÍTICO (Sem Atualização &gt;30 dias)",IF(S400&gt;15,"ATENÇÃO (Sem Atualização &gt;15 dias)",IF(X400&gt;90,"CRÍTICO (Aberto &gt;90 dias)","OK"))))))</f>
        <v/>
      </c>
      <c r="Z400" s="90" t="str">
        <f aca="false">IF(B400="","",IF(OR(O400="27 - Instalação concluída",O400="28 - Encerrado"),"OK",IF(NOT(ISNUMBER(X400)),"",IF(X400&gt;365,"MUITO ANTIGO (&gt;1 ano)",IF(X400&gt;180,"ANTIGO (&gt;6 meses)",IF(X400&gt;90,"ATENÇÃO ANTIG. (&gt;3 meses)","OK"))))))</f>
        <v/>
      </c>
      <c r="AA400" s="86"/>
      <c r="AB400" s="69" t="str">
        <f aca="false">IF(AND(B400&lt;&gt;"",OR(T400="Pendente de Vistoria",T400="Não validada")),MAX($AB$1:$AB$399)+1,"")</f>
        <v/>
      </c>
      <c r="AC400" s="69" t="str">
        <f aca="false">IF(AND(B400&lt;&gt;"",OR(ISNUMBER(SEARCH("CTIN",P400)),U400="Alta",O400="07 - Relatório recebido — unidade apta",O400="11 - Orçamentos em análise técnica",O400="22 - Instalação/substituição autorizada")),MAX($AC$1:$AC$399)+1,"")</f>
        <v/>
      </c>
      <c r="AD400" s="69" t="str">
        <f aca="false">IF(AND(B400&lt;&gt;"",OR(ISNUMBER(SEARCH("CTO",P400)),LEFT(O400,2)="22",LEFT(O400,2)="23",LEFT(O400,2)="24",LEFT(O400,2)="25",LEFT(O400,2)="26",LEFT(O400,2)="27")),MAX($AD$1:$AD$399)+1,"")</f>
        <v/>
      </c>
      <c r="AE400" s="69" t="str">
        <f aca="false">IF(AND(B400&lt;&gt;"",D400=CONSULTA_UNIDADE!$B$4),MAX($AE$1:$AE$399)+1,"")</f>
        <v/>
      </c>
      <c r="AF400" s="69" t="str">
        <f aca="false">IF(AND(B400&lt;&gt;"",O400&lt;&gt;"27 - Instalação concluída",O400&lt;&gt;"28 - Encerrado",ISNUMBER(S400)),S400*1000+(1000-ROW()),"")</f>
        <v/>
      </c>
      <c r="AG400" s="69" t="str">
        <f aca="false">IF(AF400="","",RANK(AF400,$AF$2:$AF$500))</f>
        <v/>
      </c>
    </row>
    <row r="401" customFormat="false" ht="16.5" hidden="false" customHeight="true" outlineLevel="0" collapsed="false">
      <c r="A401" s="86"/>
      <c r="B401" s="86"/>
      <c r="C401" s="87" t="str">
        <f aca="false">IF(D401="","",IFERROR(INDEX(CADASTRO_VIVO_3CRE!$B$2:$B$150,MATCH(D401,CADASTRO_VIVO_3CRE!$E$2:$E$150,0)),""))</f>
        <v/>
      </c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8"/>
      <c r="S401" s="89" t="str">
        <f aca="true">IF(R401="","",TODAY()-INT(R401))</f>
        <v/>
      </c>
      <c r="T401" s="86"/>
      <c r="U401" s="86"/>
      <c r="V401" s="86"/>
      <c r="W401" s="88"/>
      <c r="X401" s="89" t="str">
        <f aca="true">IF(W401="","",IF(OR(O401="28 - Encerrado",O401="27 - Instalação concluída"),"Concluído",TODAY()-INT(W401)))</f>
        <v/>
      </c>
      <c r="Y401" s="90" t="str">
        <f aca="false">IF(OR(O401="28 - Encerrado",O401="27 - Instalação concluída"),"OK",IF(AND(B401&lt;&gt;"",S401=""),"ATENÇÃO (Sem data de atualização)",IF(S401="","",IF(S401&gt;30,"CRÍTICO (Sem Atualização &gt;30 dias)",IF(S401&gt;15,"ATENÇÃO (Sem Atualização &gt;15 dias)",IF(X401&gt;90,"CRÍTICO (Aberto &gt;90 dias)","OK"))))))</f>
        <v/>
      </c>
      <c r="Z401" s="90" t="str">
        <f aca="false">IF(B401="","",IF(OR(O401="27 - Instalação concluída",O401="28 - Encerrado"),"OK",IF(NOT(ISNUMBER(X401)),"",IF(X401&gt;365,"MUITO ANTIGO (&gt;1 ano)",IF(X401&gt;180,"ANTIGO (&gt;6 meses)",IF(X401&gt;90,"ATENÇÃO ANTIG. (&gt;3 meses)","OK"))))))</f>
        <v/>
      </c>
      <c r="AA401" s="86"/>
      <c r="AB401" s="69" t="str">
        <f aca="false">IF(AND(B401&lt;&gt;"",OR(T401="Pendente de Vistoria",T401="Não validada")),MAX($AB$1:$AB$400)+1,"")</f>
        <v/>
      </c>
      <c r="AC401" s="69" t="str">
        <f aca="false">IF(AND(B401&lt;&gt;"",OR(ISNUMBER(SEARCH("CTIN",P401)),U401="Alta",O401="07 - Relatório recebido — unidade apta",O401="11 - Orçamentos em análise técnica",O401="22 - Instalação/substituição autorizada")),MAX($AC$1:$AC$400)+1,"")</f>
        <v/>
      </c>
      <c r="AD401" s="69" t="str">
        <f aca="false">IF(AND(B401&lt;&gt;"",OR(ISNUMBER(SEARCH("CTO",P401)),LEFT(O401,2)="22",LEFT(O401,2)="23",LEFT(O401,2)="24",LEFT(O401,2)="25",LEFT(O401,2)="26",LEFT(O401,2)="27")),MAX($AD$1:$AD$400)+1,"")</f>
        <v/>
      </c>
      <c r="AE401" s="69" t="str">
        <f aca="false">IF(AND(B401&lt;&gt;"",D401=CONSULTA_UNIDADE!$B$4),MAX($AE$1:$AE$400)+1,"")</f>
        <v/>
      </c>
      <c r="AF401" s="69" t="str">
        <f aca="false">IF(AND(B401&lt;&gt;"",O401&lt;&gt;"27 - Instalação concluída",O401&lt;&gt;"28 - Encerrado",ISNUMBER(S401)),S401*1000+(1000-ROW()),"")</f>
        <v/>
      </c>
      <c r="AG401" s="69" t="str">
        <f aca="false">IF(AF401="","",RANK(AF401,$AF$2:$AF$500))</f>
        <v/>
      </c>
    </row>
    <row r="402" customFormat="false" ht="16.5" hidden="false" customHeight="true" outlineLevel="0" collapsed="false">
      <c r="A402" s="86"/>
      <c r="B402" s="86"/>
      <c r="C402" s="87" t="str">
        <f aca="false">IF(D402="","",IFERROR(INDEX(CADASTRO_VIVO_3CRE!$B$2:$B$150,MATCH(D402,CADASTRO_VIVO_3CRE!$E$2:$E$150,0)),""))</f>
        <v/>
      </c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8"/>
      <c r="S402" s="89" t="str">
        <f aca="true">IF(R402="","",TODAY()-INT(R402))</f>
        <v/>
      </c>
      <c r="T402" s="86"/>
      <c r="U402" s="86"/>
      <c r="V402" s="86"/>
      <c r="W402" s="88"/>
      <c r="X402" s="89" t="str">
        <f aca="true">IF(W402="","",IF(OR(O402="28 - Encerrado",O402="27 - Instalação concluída"),"Concluído",TODAY()-INT(W402)))</f>
        <v/>
      </c>
      <c r="Y402" s="90" t="str">
        <f aca="false">IF(OR(O402="28 - Encerrado",O402="27 - Instalação concluída"),"OK",IF(AND(B402&lt;&gt;"",S402=""),"ATENÇÃO (Sem data de atualização)",IF(S402="","",IF(S402&gt;30,"CRÍTICO (Sem Atualização &gt;30 dias)",IF(S402&gt;15,"ATENÇÃO (Sem Atualização &gt;15 dias)",IF(X402&gt;90,"CRÍTICO (Aberto &gt;90 dias)","OK"))))))</f>
        <v/>
      </c>
      <c r="Z402" s="90" t="str">
        <f aca="false">IF(B402="","",IF(OR(O402="27 - Instalação concluída",O402="28 - Encerrado"),"OK",IF(NOT(ISNUMBER(X402)),"",IF(X402&gt;365,"MUITO ANTIGO (&gt;1 ano)",IF(X402&gt;180,"ANTIGO (&gt;6 meses)",IF(X402&gt;90,"ATENÇÃO ANTIG. (&gt;3 meses)","OK"))))))</f>
        <v/>
      </c>
      <c r="AA402" s="86"/>
      <c r="AB402" s="69" t="str">
        <f aca="false">IF(AND(B402&lt;&gt;"",OR(T402="Pendente de Vistoria",T402="Não validada")),MAX($AB$1:$AB$401)+1,"")</f>
        <v/>
      </c>
      <c r="AC402" s="69" t="str">
        <f aca="false">IF(AND(B402&lt;&gt;"",OR(ISNUMBER(SEARCH("CTIN",P402)),U402="Alta",O402="07 - Relatório recebido — unidade apta",O402="11 - Orçamentos em análise técnica",O402="22 - Instalação/substituição autorizada")),MAX($AC$1:$AC$401)+1,"")</f>
        <v/>
      </c>
      <c r="AD402" s="69" t="str">
        <f aca="false">IF(AND(B402&lt;&gt;"",OR(ISNUMBER(SEARCH("CTO",P402)),LEFT(O402,2)="22",LEFT(O402,2)="23",LEFT(O402,2)="24",LEFT(O402,2)="25",LEFT(O402,2)="26",LEFT(O402,2)="27")),MAX($AD$1:$AD$401)+1,"")</f>
        <v/>
      </c>
      <c r="AE402" s="69" t="str">
        <f aca="false">IF(AND(B402&lt;&gt;"",D402=CONSULTA_UNIDADE!$B$4),MAX($AE$1:$AE$401)+1,"")</f>
        <v/>
      </c>
      <c r="AF402" s="69" t="str">
        <f aca="false">IF(AND(B402&lt;&gt;"",O402&lt;&gt;"27 - Instalação concluída",O402&lt;&gt;"28 - Encerrado",ISNUMBER(S402)),S402*1000+(1000-ROW()),"")</f>
        <v/>
      </c>
      <c r="AG402" s="69" t="str">
        <f aca="false">IF(AF402="","",RANK(AF402,$AF$2:$AF$500))</f>
        <v/>
      </c>
    </row>
    <row r="403" customFormat="false" ht="16.5" hidden="false" customHeight="true" outlineLevel="0" collapsed="false">
      <c r="A403" s="86"/>
      <c r="B403" s="86"/>
      <c r="C403" s="87" t="str">
        <f aca="false">IF(D403="","",IFERROR(INDEX(CADASTRO_VIVO_3CRE!$B$2:$B$150,MATCH(D403,CADASTRO_VIVO_3CRE!$E$2:$E$150,0)),""))</f>
        <v/>
      </c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8"/>
      <c r="S403" s="89" t="str">
        <f aca="true">IF(R403="","",TODAY()-INT(R403))</f>
        <v/>
      </c>
      <c r="T403" s="86"/>
      <c r="U403" s="86"/>
      <c r="V403" s="86"/>
      <c r="W403" s="88"/>
      <c r="X403" s="89" t="str">
        <f aca="true">IF(W403="","",IF(OR(O403="28 - Encerrado",O403="27 - Instalação concluída"),"Concluído",TODAY()-INT(W403)))</f>
        <v/>
      </c>
      <c r="Y403" s="90" t="str">
        <f aca="false">IF(OR(O403="28 - Encerrado",O403="27 - Instalação concluída"),"OK",IF(AND(B403&lt;&gt;"",S403=""),"ATENÇÃO (Sem data de atualização)",IF(S403="","",IF(S403&gt;30,"CRÍTICO (Sem Atualização &gt;30 dias)",IF(S403&gt;15,"ATENÇÃO (Sem Atualização &gt;15 dias)",IF(X403&gt;90,"CRÍTICO (Aberto &gt;90 dias)","OK"))))))</f>
        <v/>
      </c>
      <c r="Z403" s="90" t="str">
        <f aca="false">IF(B403="","",IF(OR(O403="27 - Instalação concluída",O403="28 - Encerrado"),"OK",IF(NOT(ISNUMBER(X403)),"",IF(X403&gt;365,"MUITO ANTIGO (&gt;1 ano)",IF(X403&gt;180,"ANTIGO (&gt;6 meses)",IF(X403&gt;90,"ATENÇÃO ANTIG. (&gt;3 meses)","OK"))))))</f>
        <v/>
      </c>
      <c r="AA403" s="86"/>
      <c r="AB403" s="69" t="str">
        <f aca="false">IF(AND(B403&lt;&gt;"",OR(T403="Pendente de Vistoria",T403="Não validada")),MAX($AB$1:$AB$402)+1,"")</f>
        <v/>
      </c>
      <c r="AC403" s="69" t="str">
        <f aca="false">IF(AND(B403&lt;&gt;"",OR(ISNUMBER(SEARCH("CTIN",P403)),U403="Alta",O403="07 - Relatório recebido — unidade apta",O403="11 - Orçamentos em análise técnica",O403="22 - Instalação/substituição autorizada")),MAX($AC$1:$AC$402)+1,"")</f>
        <v/>
      </c>
      <c r="AD403" s="69" t="str">
        <f aca="false">IF(AND(B403&lt;&gt;"",OR(ISNUMBER(SEARCH("CTO",P403)),LEFT(O403,2)="22",LEFT(O403,2)="23",LEFT(O403,2)="24",LEFT(O403,2)="25",LEFT(O403,2)="26",LEFT(O403,2)="27")),MAX($AD$1:$AD$402)+1,"")</f>
        <v/>
      </c>
      <c r="AE403" s="69" t="str">
        <f aca="false">IF(AND(B403&lt;&gt;"",D403=CONSULTA_UNIDADE!$B$4),MAX($AE$1:$AE$402)+1,"")</f>
        <v/>
      </c>
      <c r="AF403" s="69" t="str">
        <f aca="false">IF(AND(B403&lt;&gt;"",O403&lt;&gt;"27 - Instalação concluída",O403&lt;&gt;"28 - Encerrado",ISNUMBER(S403)),S403*1000+(1000-ROW()),"")</f>
        <v/>
      </c>
      <c r="AG403" s="69" t="str">
        <f aca="false">IF(AF403="","",RANK(AF403,$AF$2:$AF$500))</f>
        <v/>
      </c>
    </row>
    <row r="404" customFormat="false" ht="16.5" hidden="false" customHeight="true" outlineLevel="0" collapsed="false">
      <c r="A404" s="86"/>
      <c r="B404" s="86"/>
      <c r="C404" s="87" t="str">
        <f aca="false">IF(D404="","",IFERROR(INDEX(CADASTRO_VIVO_3CRE!$B$2:$B$150,MATCH(D404,CADASTRO_VIVO_3CRE!$E$2:$E$150,0)),""))</f>
        <v/>
      </c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8"/>
      <c r="S404" s="89" t="str">
        <f aca="true">IF(R404="","",TODAY()-INT(R404))</f>
        <v/>
      </c>
      <c r="T404" s="86"/>
      <c r="U404" s="86"/>
      <c r="V404" s="86"/>
      <c r="W404" s="88"/>
      <c r="X404" s="89" t="str">
        <f aca="true">IF(W404="","",IF(OR(O404="28 - Encerrado",O404="27 - Instalação concluída"),"Concluído",TODAY()-INT(W404)))</f>
        <v/>
      </c>
      <c r="Y404" s="90" t="str">
        <f aca="false">IF(OR(O404="28 - Encerrado",O404="27 - Instalação concluída"),"OK",IF(AND(B404&lt;&gt;"",S404=""),"ATENÇÃO (Sem data de atualização)",IF(S404="","",IF(S404&gt;30,"CRÍTICO (Sem Atualização &gt;30 dias)",IF(S404&gt;15,"ATENÇÃO (Sem Atualização &gt;15 dias)",IF(X404&gt;90,"CRÍTICO (Aberto &gt;90 dias)","OK"))))))</f>
        <v/>
      </c>
      <c r="Z404" s="90" t="str">
        <f aca="false">IF(B404="","",IF(OR(O404="27 - Instalação concluída",O404="28 - Encerrado"),"OK",IF(NOT(ISNUMBER(X404)),"",IF(X404&gt;365,"MUITO ANTIGO (&gt;1 ano)",IF(X404&gt;180,"ANTIGO (&gt;6 meses)",IF(X404&gt;90,"ATENÇÃO ANTIG. (&gt;3 meses)","OK"))))))</f>
        <v/>
      </c>
      <c r="AA404" s="86"/>
      <c r="AB404" s="69" t="str">
        <f aca="false">IF(AND(B404&lt;&gt;"",OR(T404="Pendente de Vistoria",T404="Não validada")),MAX($AB$1:$AB$403)+1,"")</f>
        <v/>
      </c>
      <c r="AC404" s="69" t="str">
        <f aca="false">IF(AND(B404&lt;&gt;"",OR(ISNUMBER(SEARCH("CTIN",P404)),U404="Alta",O404="07 - Relatório recebido — unidade apta",O404="11 - Orçamentos em análise técnica",O404="22 - Instalação/substituição autorizada")),MAX($AC$1:$AC$403)+1,"")</f>
        <v/>
      </c>
      <c r="AD404" s="69" t="str">
        <f aca="false">IF(AND(B404&lt;&gt;"",OR(ISNUMBER(SEARCH("CTO",P404)),LEFT(O404,2)="22",LEFT(O404,2)="23",LEFT(O404,2)="24",LEFT(O404,2)="25",LEFT(O404,2)="26",LEFT(O404,2)="27")),MAX($AD$1:$AD$403)+1,"")</f>
        <v/>
      </c>
      <c r="AE404" s="69" t="str">
        <f aca="false">IF(AND(B404&lt;&gt;"",D404=CONSULTA_UNIDADE!$B$4),MAX($AE$1:$AE$403)+1,"")</f>
        <v/>
      </c>
      <c r="AF404" s="69" t="str">
        <f aca="false">IF(AND(B404&lt;&gt;"",O404&lt;&gt;"27 - Instalação concluída",O404&lt;&gt;"28 - Encerrado",ISNUMBER(S404)),S404*1000+(1000-ROW()),"")</f>
        <v/>
      </c>
      <c r="AG404" s="69" t="str">
        <f aca="false">IF(AF404="","",RANK(AF404,$AF$2:$AF$500))</f>
        <v/>
      </c>
    </row>
    <row r="405" customFormat="false" ht="16.5" hidden="false" customHeight="true" outlineLevel="0" collapsed="false">
      <c r="A405" s="86"/>
      <c r="B405" s="86"/>
      <c r="C405" s="87" t="str">
        <f aca="false">IF(D405="","",IFERROR(INDEX(CADASTRO_VIVO_3CRE!$B$2:$B$150,MATCH(D405,CADASTRO_VIVO_3CRE!$E$2:$E$150,0)),""))</f>
        <v/>
      </c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8"/>
      <c r="S405" s="89" t="str">
        <f aca="true">IF(R405="","",TODAY()-INT(R405))</f>
        <v/>
      </c>
      <c r="T405" s="86"/>
      <c r="U405" s="86"/>
      <c r="V405" s="86"/>
      <c r="W405" s="88"/>
      <c r="X405" s="89" t="str">
        <f aca="true">IF(W405="","",IF(OR(O405="28 - Encerrado",O405="27 - Instalação concluída"),"Concluído",TODAY()-INT(W405)))</f>
        <v/>
      </c>
      <c r="Y405" s="90" t="str">
        <f aca="false">IF(OR(O405="28 - Encerrado",O405="27 - Instalação concluída"),"OK",IF(AND(B405&lt;&gt;"",S405=""),"ATENÇÃO (Sem data de atualização)",IF(S405="","",IF(S405&gt;30,"CRÍTICO (Sem Atualização &gt;30 dias)",IF(S405&gt;15,"ATENÇÃO (Sem Atualização &gt;15 dias)",IF(X405&gt;90,"CRÍTICO (Aberto &gt;90 dias)","OK"))))))</f>
        <v/>
      </c>
      <c r="Z405" s="90" t="str">
        <f aca="false">IF(B405="","",IF(OR(O405="27 - Instalação concluída",O405="28 - Encerrado"),"OK",IF(NOT(ISNUMBER(X405)),"",IF(X405&gt;365,"MUITO ANTIGO (&gt;1 ano)",IF(X405&gt;180,"ANTIGO (&gt;6 meses)",IF(X405&gt;90,"ATENÇÃO ANTIG. (&gt;3 meses)","OK"))))))</f>
        <v/>
      </c>
      <c r="AA405" s="86"/>
      <c r="AB405" s="69" t="str">
        <f aca="false">IF(AND(B405&lt;&gt;"",OR(T405="Pendente de Vistoria",T405="Não validada")),MAX($AB$1:$AB$404)+1,"")</f>
        <v/>
      </c>
      <c r="AC405" s="69" t="str">
        <f aca="false">IF(AND(B405&lt;&gt;"",OR(ISNUMBER(SEARCH("CTIN",P405)),U405="Alta",O405="07 - Relatório recebido — unidade apta",O405="11 - Orçamentos em análise técnica",O405="22 - Instalação/substituição autorizada")),MAX($AC$1:$AC$404)+1,"")</f>
        <v/>
      </c>
      <c r="AD405" s="69" t="str">
        <f aca="false">IF(AND(B405&lt;&gt;"",OR(ISNUMBER(SEARCH("CTO",P405)),LEFT(O405,2)="22",LEFT(O405,2)="23",LEFT(O405,2)="24",LEFT(O405,2)="25",LEFT(O405,2)="26",LEFT(O405,2)="27")),MAX($AD$1:$AD$404)+1,"")</f>
        <v/>
      </c>
      <c r="AE405" s="69" t="str">
        <f aca="false">IF(AND(B405&lt;&gt;"",D405=CONSULTA_UNIDADE!$B$4),MAX($AE$1:$AE$404)+1,"")</f>
        <v/>
      </c>
      <c r="AF405" s="69" t="str">
        <f aca="false">IF(AND(B405&lt;&gt;"",O405&lt;&gt;"27 - Instalação concluída",O405&lt;&gt;"28 - Encerrado",ISNUMBER(S405)),S405*1000+(1000-ROW()),"")</f>
        <v/>
      </c>
      <c r="AG405" s="69" t="str">
        <f aca="false">IF(AF405="","",RANK(AF405,$AF$2:$AF$500))</f>
        <v/>
      </c>
    </row>
    <row r="406" customFormat="false" ht="16.5" hidden="false" customHeight="true" outlineLevel="0" collapsed="false">
      <c r="A406" s="86"/>
      <c r="B406" s="86"/>
      <c r="C406" s="87" t="str">
        <f aca="false">IF(D406="","",IFERROR(INDEX(CADASTRO_VIVO_3CRE!$B$2:$B$150,MATCH(D406,CADASTRO_VIVO_3CRE!$E$2:$E$150,0)),""))</f>
        <v/>
      </c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8"/>
      <c r="S406" s="89" t="str">
        <f aca="true">IF(R406="","",TODAY()-INT(R406))</f>
        <v/>
      </c>
      <c r="T406" s="86"/>
      <c r="U406" s="86"/>
      <c r="V406" s="86"/>
      <c r="W406" s="88"/>
      <c r="X406" s="89" t="str">
        <f aca="true">IF(W406="","",IF(OR(O406="28 - Encerrado",O406="27 - Instalação concluída"),"Concluído",TODAY()-INT(W406)))</f>
        <v/>
      </c>
      <c r="Y406" s="90" t="str">
        <f aca="false">IF(OR(O406="28 - Encerrado",O406="27 - Instalação concluída"),"OK",IF(AND(B406&lt;&gt;"",S406=""),"ATENÇÃO (Sem data de atualização)",IF(S406="","",IF(S406&gt;30,"CRÍTICO (Sem Atualização &gt;30 dias)",IF(S406&gt;15,"ATENÇÃO (Sem Atualização &gt;15 dias)",IF(X406&gt;90,"CRÍTICO (Aberto &gt;90 dias)","OK"))))))</f>
        <v/>
      </c>
      <c r="Z406" s="90" t="str">
        <f aca="false">IF(B406="","",IF(OR(O406="27 - Instalação concluída",O406="28 - Encerrado"),"OK",IF(NOT(ISNUMBER(X406)),"",IF(X406&gt;365,"MUITO ANTIGO (&gt;1 ano)",IF(X406&gt;180,"ANTIGO (&gt;6 meses)",IF(X406&gt;90,"ATENÇÃO ANTIG. (&gt;3 meses)","OK"))))))</f>
        <v/>
      </c>
      <c r="AA406" s="86"/>
      <c r="AB406" s="69" t="str">
        <f aca="false">IF(AND(B406&lt;&gt;"",OR(T406="Pendente de Vistoria",T406="Não validada")),MAX($AB$1:$AB$405)+1,"")</f>
        <v/>
      </c>
      <c r="AC406" s="69" t="str">
        <f aca="false">IF(AND(B406&lt;&gt;"",OR(ISNUMBER(SEARCH("CTIN",P406)),U406="Alta",O406="07 - Relatório recebido — unidade apta",O406="11 - Orçamentos em análise técnica",O406="22 - Instalação/substituição autorizada")),MAX($AC$1:$AC$405)+1,"")</f>
        <v/>
      </c>
      <c r="AD406" s="69" t="str">
        <f aca="false">IF(AND(B406&lt;&gt;"",OR(ISNUMBER(SEARCH("CTO",P406)),LEFT(O406,2)="22",LEFT(O406,2)="23",LEFT(O406,2)="24",LEFT(O406,2)="25",LEFT(O406,2)="26",LEFT(O406,2)="27")),MAX($AD$1:$AD$405)+1,"")</f>
        <v/>
      </c>
      <c r="AE406" s="69" t="str">
        <f aca="false">IF(AND(B406&lt;&gt;"",D406=CONSULTA_UNIDADE!$B$4),MAX($AE$1:$AE$405)+1,"")</f>
        <v/>
      </c>
      <c r="AF406" s="69" t="str">
        <f aca="false">IF(AND(B406&lt;&gt;"",O406&lt;&gt;"27 - Instalação concluída",O406&lt;&gt;"28 - Encerrado",ISNUMBER(S406)),S406*1000+(1000-ROW()),"")</f>
        <v/>
      </c>
      <c r="AG406" s="69" t="str">
        <f aca="false">IF(AF406="","",RANK(AF406,$AF$2:$AF$500))</f>
        <v/>
      </c>
    </row>
    <row r="407" customFormat="false" ht="16.5" hidden="false" customHeight="true" outlineLevel="0" collapsed="false">
      <c r="A407" s="86"/>
      <c r="B407" s="86"/>
      <c r="C407" s="87" t="str">
        <f aca="false">IF(D407="","",IFERROR(INDEX(CADASTRO_VIVO_3CRE!$B$2:$B$150,MATCH(D407,CADASTRO_VIVO_3CRE!$E$2:$E$150,0)),""))</f>
        <v/>
      </c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8"/>
      <c r="S407" s="89" t="str">
        <f aca="true">IF(R407="","",TODAY()-INT(R407))</f>
        <v/>
      </c>
      <c r="T407" s="86"/>
      <c r="U407" s="86"/>
      <c r="V407" s="86"/>
      <c r="W407" s="88"/>
      <c r="X407" s="89" t="str">
        <f aca="true">IF(W407="","",IF(OR(O407="28 - Encerrado",O407="27 - Instalação concluída"),"Concluído",TODAY()-INT(W407)))</f>
        <v/>
      </c>
      <c r="Y407" s="90" t="str">
        <f aca="false">IF(OR(O407="28 - Encerrado",O407="27 - Instalação concluída"),"OK",IF(AND(B407&lt;&gt;"",S407=""),"ATENÇÃO (Sem data de atualização)",IF(S407="","",IF(S407&gt;30,"CRÍTICO (Sem Atualização &gt;30 dias)",IF(S407&gt;15,"ATENÇÃO (Sem Atualização &gt;15 dias)",IF(X407&gt;90,"CRÍTICO (Aberto &gt;90 dias)","OK"))))))</f>
        <v/>
      </c>
      <c r="Z407" s="90" t="str">
        <f aca="false">IF(B407="","",IF(OR(O407="27 - Instalação concluída",O407="28 - Encerrado"),"OK",IF(NOT(ISNUMBER(X407)),"",IF(X407&gt;365,"MUITO ANTIGO (&gt;1 ano)",IF(X407&gt;180,"ANTIGO (&gt;6 meses)",IF(X407&gt;90,"ATENÇÃO ANTIG. (&gt;3 meses)","OK"))))))</f>
        <v/>
      </c>
      <c r="AA407" s="86"/>
      <c r="AB407" s="69" t="str">
        <f aca="false">IF(AND(B407&lt;&gt;"",OR(T407="Pendente de Vistoria",T407="Não validada")),MAX($AB$1:$AB$406)+1,"")</f>
        <v/>
      </c>
      <c r="AC407" s="69" t="str">
        <f aca="false">IF(AND(B407&lt;&gt;"",OR(ISNUMBER(SEARCH("CTIN",P407)),U407="Alta",O407="07 - Relatório recebido — unidade apta",O407="11 - Orçamentos em análise técnica",O407="22 - Instalação/substituição autorizada")),MAX($AC$1:$AC$406)+1,"")</f>
        <v/>
      </c>
      <c r="AD407" s="69" t="str">
        <f aca="false">IF(AND(B407&lt;&gt;"",OR(ISNUMBER(SEARCH("CTO",P407)),LEFT(O407,2)="22",LEFT(O407,2)="23",LEFT(O407,2)="24",LEFT(O407,2)="25",LEFT(O407,2)="26",LEFT(O407,2)="27")),MAX($AD$1:$AD$406)+1,"")</f>
        <v/>
      </c>
      <c r="AE407" s="69" t="str">
        <f aca="false">IF(AND(B407&lt;&gt;"",D407=CONSULTA_UNIDADE!$B$4),MAX($AE$1:$AE$406)+1,"")</f>
        <v/>
      </c>
      <c r="AF407" s="69" t="str">
        <f aca="false">IF(AND(B407&lt;&gt;"",O407&lt;&gt;"27 - Instalação concluída",O407&lt;&gt;"28 - Encerrado",ISNUMBER(S407)),S407*1000+(1000-ROW()),"")</f>
        <v/>
      </c>
      <c r="AG407" s="69" t="str">
        <f aca="false">IF(AF407="","",RANK(AF407,$AF$2:$AF$500))</f>
        <v/>
      </c>
    </row>
    <row r="408" customFormat="false" ht="16.5" hidden="false" customHeight="true" outlineLevel="0" collapsed="false">
      <c r="A408" s="86"/>
      <c r="B408" s="86"/>
      <c r="C408" s="87" t="str">
        <f aca="false">IF(D408="","",IFERROR(INDEX(CADASTRO_VIVO_3CRE!$B$2:$B$150,MATCH(D408,CADASTRO_VIVO_3CRE!$E$2:$E$150,0)),""))</f>
        <v/>
      </c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8"/>
      <c r="S408" s="89" t="str">
        <f aca="true">IF(R408="","",TODAY()-INT(R408))</f>
        <v/>
      </c>
      <c r="T408" s="86"/>
      <c r="U408" s="86"/>
      <c r="V408" s="86"/>
      <c r="W408" s="88"/>
      <c r="X408" s="89" t="str">
        <f aca="true">IF(W408="","",IF(OR(O408="28 - Encerrado",O408="27 - Instalação concluída"),"Concluído",TODAY()-INT(W408)))</f>
        <v/>
      </c>
      <c r="Y408" s="90" t="str">
        <f aca="false">IF(OR(O408="28 - Encerrado",O408="27 - Instalação concluída"),"OK",IF(AND(B408&lt;&gt;"",S408=""),"ATENÇÃO (Sem data de atualização)",IF(S408="","",IF(S408&gt;30,"CRÍTICO (Sem Atualização &gt;30 dias)",IF(S408&gt;15,"ATENÇÃO (Sem Atualização &gt;15 dias)",IF(X408&gt;90,"CRÍTICO (Aberto &gt;90 dias)","OK"))))))</f>
        <v/>
      </c>
      <c r="Z408" s="90" t="str">
        <f aca="false">IF(B408="","",IF(OR(O408="27 - Instalação concluída",O408="28 - Encerrado"),"OK",IF(NOT(ISNUMBER(X408)),"",IF(X408&gt;365,"MUITO ANTIGO (&gt;1 ano)",IF(X408&gt;180,"ANTIGO (&gt;6 meses)",IF(X408&gt;90,"ATENÇÃO ANTIG. (&gt;3 meses)","OK"))))))</f>
        <v/>
      </c>
      <c r="AA408" s="86"/>
      <c r="AB408" s="69" t="str">
        <f aca="false">IF(AND(B408&lt;&gt;"",OR(T408="Pendente de Vistoria",T408="Não validada")),MAX($AB$1:$AB$407)+1,"")</f>
        <v/>
      </c>
      <c r="AC408" s="69" t="str">
        <f aca="false">IF(AND(B408&lt;&gt;"",OR(ISNUMBER(SEARCH("CTIN",P408)),U408="Alta",O408="07 - Relatório recebido — unidade apta",O408="11 - Orçamentos em análise técnica",O408="22 - Instalação/substituição autorizada")),MAX($AC$1:$AC$407)+1,"")</f>
        <v/>
      </c>
      <c r="AD408" s="69" t="str">
        <f aca="false">IF(AND(B408&lt;&gt;"",OR(ISNUMBER(SEARCH("CTO",P408)),LEFT(O408,2)="22",LEFT(O408,2)="23",LEFT(O408,2)="24",LEFT(O408,2)="25",LEFT(O408,2)="26",LEFT(O408,2)="27")),MAX($AD$1:$AD$407)+1,"")</f>
        <v/>
      </c>
      <c r="AE408" s="69" t="str">
        <f aca="false">IF(AND(B408&lt;&gt;"",D408=CONSULTA_UNIDADE!$B$4),MAX($AE$1:$AE$407)+1,"")</f>
        <v/>
      </c>
      <c r="AF408" s="69" t="str">
        <f aca="false">IF(AND(B408&lt;&gt;"",O408&lt;&gt;"27 - Instalação concluída",O408&lt;&gt;"28 - Encerrado",ISNUMBER(S408)),S408*1000+(1000-ROW()),"")</f>
        <v/>
      </c>
      <c r="AG408" s="69" t="str">
        <f aca="false">IF(AF408="","",RANK(AF408,$AF$2:$AF$500))</f>
        <v/>
      </c>
    </row>
    <row r="409" customFormat="false" ht="16.5" hidden="false" customHeight="true" outlineLevel="0" collapsed="false">
      <c r="A409" s="86"/>
      <c r="B409" s="86"/>
      <c r="C409" s="87" t="str">
        <f aca="false">IF(D409="","",IFERROR(INDEX(CADASTRO_VIVO_3CRE!$B$2:$B$150,MATCH(D409,CADASTRO_VIVO_3CRE!$E$2:$E$150,0)),""))</f>
        <v/>
      </c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8"/>
      <c r="S409" s="89" t="str">
        <f aca="true">IF(R409="","",TODAY()-INT(R409))</f>
        <v/>
      </c>
      <c r="T409" s="86"/>
      <c r="U409" s="86"/>
      <c r="V409" s="86"/>
      <c r="W409" s="88"/>
      <c r="X409" s="89" t="str">
        <f aca="true">IF(W409="","",IF(OR(O409="28 - Encerrado",O409="27 - Instalação concluída"),"Concluído",TODAY()-INT(W409)))</f>
        <v/>
      </c>
      <c r="Y409" s="90" t="str">
        <f aca="false">IF(OR(O409="28 - Encerrado",O409="27 - Instalação concluída"),"OK",IF(AND(B409&lt;&gt;"",S409=""),"ATENÇÃO (Sem data de atualização)",IF(S409="","",IF(S409&gt;30,"CRÍTICO (Sem Atualização &gt;30 dias)",IF(S409&gt;15,"ATENÇÃO (Sem Atualização &gt;15 dias)",IF(X409&gt;90,"CRÍTICO (Aberto &gt;90 dias)","OK"))))))</f>
        <v/>
      </c>
      <c r="Z409" s="90" t="str">
        <f aca="false">IF(B409="","",IF(OR(O409="27 - Instalação concluída",O409="28 - Encerrado"),"OK",IF(NOT(ISNUMBER(X409)),"",IF(X409&gt;365,"MUITO ANTIGO (&gt;1 ano)",IF(X409&gt;180,"ANTIGO (&gt;6 meses)",IF(X409&gt;90,"ATENÇÃO ANTIG. (&gt;3 meses)","OK"))))))</f>
        <v/>
      </c>
      <c r="AA409" s="86"/>
      <c r="AB409" s="69" t="str">
        <f aca="false">IF(AND(B409&lt;&gt;"",OR(T409="Pendente de Vistoria",T409="Não validada")),MAX($AB$1:$AB$408)+1,"")</f>
        <v/>
      </c>
      <c r="AC409" s="69" t="str">
        <f aca="false">IF(AND(B409&lt;&gt;"",OR(ISNUMBER(SEARCH("CTIN",P409)),U409="Alta",O409="07 - Relatório recebido — unidade apta",O409="11 - Orçamentos em análise técnica",O409="22 - Instalação/substituição autorizada")),MAX($AC$1:$AC$408)+1,"")</f>
        <v/>
      </c>
      <c r="AD409" s="69" t="str">
        <f aca="false">IF(AND(B409&lt;&gt;"",OR(ISNUMBER(SEARCH("CTO",P409)),LEFT(O409,2)="22",LEFT(O409,2)="23",LEFT(O409,2)="24",LEFT(O409,2)="25",LEFT(O409,2)="26",LEFT(O409,2)="27")),MAX($AD$1:$AD$408)+1,"")</f>
        <v/>
      </c>
      <c r="AE409" s="69" t="str">
        <f aca="false">IF(AND(B409&lt;&gt;"",D409=CONSULTA_UNIDADE!$B$4),MAX($AE$1:$AE$408)+1,"")</f>
        <v/>
      </c>
      <c r="AF409" s="69" t="str">
        <f aca="false">IF(AND(B409&lt;&gt;"",O409&lt;&gt;"27 - Instalação concluída",O409&lt;&gt;"28 - Encerrado",ISNUMBER(S409)),S409*1000+(1000-ROW()),"")</f>
        <v/>
      </c>
      <c r="AG409" s="69" t="str">
        <f aca="false">IF(AF409="","",RANK(AF409,$AF$2:$AF$500))</f>
        <v/>
      </c>
    </row>
    <row r="410" customFormat="false" ht="16.5" hidden="false" customHeight="true" outlineLevel="0" collapsed="false">
      <c r="A410" s="86"/>
      <c r="B410" s="86"/>
      <c r="C410" s="87" t="str">
        <f aca="false">IF(D410="","",IFERROR(INDEX(CADASTRO_VIVO_3CRE!$B$2:$B$150,MATCH(D410,CADASTRO_VIVO_3CRE!$E$2:$E$150,0)),""))</f>
        <v/>
      </c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8"/>
      <c r="S410" s="89" t="str">
        <f aca="true">IF(R410="","",TODAY()-INT(R410))</f>
        <v/>
      </c>
      <c r="T410" s="86"/>
      <c r="U410" s="86"/>
      <c r="V410" s="86"/>
      <c r="W410" s="88"/>
      <c r="X410" s="89" t="str">
        <f aca="true">IF(W410="","",IF(OR(O410="28 - Encerrado",O410="27 - Instalação concluída"),"Concluído",TODAY()-INT(W410)))</f>
        <v/>
      </c>
      <c r="Y410" s="90" t="str">
        <f aca="false">IF(OR(O410="28 - Encerrado",O410="27 - Instalação concluída"),"OK",IF(AND(B410&lt;&gt;"",S410=""),"ATENÇÃO (Sem data de atualização)",IF(S410="","",IF(S410&gt;30,"CRÍTICO (Sem Atualização &gt;30 dias)",IF(S410&gt;15,"ATENÇÃO (Sem Atualização &gt;15 dias)",IF(X410&gt;90,"CRÍTICO (Aberto &gt;90 dias)","OK"))))))</f>
        <v/>
      </c>
      <c r="Z410" s="90" t="str">
        <f aca="false">IF(B410="","",IF(OR(O410="27 - Instalação concluída",O410="28 - Encerrado"),"OK",IF(NOT(ISNUMBER(X410)),"",IF(X410&gt;365,"MUITO ANTIGO (&gt;1 ano)",IF(X410&gt;180,"ANTIGO (&gt;6 meses)",IF(X410&gt;90,"ATENÇÃO ANTIG. (&gt;3 meses)","OK"))))))</f>
        <v/>
      </c>
      <c r="AA410" s="86"/>
      <c r="AB410" s="69" t="str">
        <f aca="false">IF(AND(B410&lt;&gt;"",OR(T410="Pendente de Vistoria",T410="Não validada")),MAX($AB$1:$AB$409)+1,"")</f>
        <v/>
      </c>
      <c r="AC410" s="69" t="str">
        <f aca="false">IF(AND(B410&lt;&gt;"",OR(ISNUMBER(SEARCH("CTIN",P410)),U410="Alta",O410="07 - Relatório recebido — unidade apta",O410="11 - Orçamentos em análise técnica",O410="22 - Instalação/substituição autorizada")),MAX($AC$1:$AC$409)+1,"")</f>
        <v/>
      </c>
      <c r="AD410" s="69" t="str">
        <f aca="false">IF(AND(B410&lt;&gt;"",OR(ISNUMBER(SEARCH("CTO",P410)),LEFT(O410,2)="22",LEFT(O410,2)="23",LEFT(O410,2)="24",LEFT(O410,2)="25",LEFT(O410,2)="26",LEFT(O410,2)="27")),MAX($AD$1:$AD$409)+1,"")</f>
        <v/>
      </c>
      <c r="AE410" s="69" t="str">
        <f aca="false">IF(AND(B410&lt;&gt;"",D410=CONSULTA_UNIDADE!$B$4),MAX($AE$1:$AE$409)+1,"")</f>
        <v/>
      </c>
      <c r="AF410" s="69" t="str">
        <f aca="false">IF(AND(B410&lt;&gt;"",O410&lt;&gt;"27 - Instalação concluída",O410&lt;&gt;"28 - Encerrado",ISNUMBER(S410)),S410*1000+(1000-ROW()),"")</f>
        <v/>
      </c>
      <c r="AG410" s="69" t="str">
        <f aca="false">IF(AF410="","",RANK(AF410,$AF$2:$AF$500))</f>
        <v/>
      </c>
    </row>
    <row r="411" customFormat="false" ht="16.5" hidden="false" customHeight="true" outlineLevel="0" collapsed="false">
      <c r="A411" s="86"/>
      <c r="B411" s="86"/>
      <c r="C411" s="87" t="str">
        <f aca="false">IF(D411="","",IFERROR(INDEX(CADASTRO_VIVO_3CRE!$B$2:$B$150,MATCH(D411,CADASTRO_VIVO_3CRE!$E$2:$E$150,0)),""))</f>
        <v/>
      </c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8"/>
      <c r="S411" s="89" t="str">
        <f aca="true">IF(R411="","",TODAY()-INT(R411))</f>
        <v/>
      </c>
      <c r="T411" s="86"/>
      <c r="U411" s="86"/>
      <c r="V411" s="86"/>
      <c r="W411" s="88"/>
      <c r="X411" s="89" t="str">
        <f aca="true">IF(W411="","",IF(OR(O411="28 - Encerrado",O411="27 - Instalação concluída"),"Concluído",TODAY()-INT(W411)))</f>
        <v/>
      </c>
      <c r="Y411" s="90" t="str">
        <f aca="false">IF(OR(O411="28 - Encerrado",O411="27 - Instalação concluída"),"OK",IF(AND(B411&lt;&gt;"",S411=""),"ATENÇÃO (Sem data de atualização)",IF(S411="","",IF(S411&gt;30,"CRÍTICO (Sem Atualização &gt;30 dias)",IF(S411&gt;15,"ATENÇÃO (Sem Atualização &gt;15 dias)",IF(X411&gt;90,"CRÍTICO (Aberto &gt;90 dias)","OK"))))))</f>
        <v/>
      </c>
      <c r="Z411" s="90" t="str">
        <f aca="false">IF(B411="","",IF(OR(O411="27 - Instalação concluída",O411="28 - Encerrado"),"OK",IF(NOT(ISNUMBER(X411)),"",IF(X411&gt;365,"MUITO ANTIGO (&gt;1 ano)",IF(X411&gt;180,"ANTIGO (&gt;6 meses)",IF(X411&gt;90,"ATENÇÃO ANTIG. (&gt;3 meses)","OK"))))))</f>
        <v/>
      </c>
      <c r="AA411" s="86"/>
      <c r="AB411" s="69" t="str">
        <f aca="false">IF(AND(B411&lt;&gt;"",OR(T411="Pendente de Vistoria",T411="Não validada")),MAX($AB$1:$AB$410)+1,"")</f>
        <v/>
      </c>
      <c r="AC411" s="69" t="str">
        <f aca="false">IF(AND(B411&lt;&gt;"",OR(ISNUMBER(SEARCH("CTIN",P411)),U411="Alta",O411="07 - Relatório recebido — unidade apta",O411="11 - Orçamentos em análise técnica",O411="22 - Instalação/substituição autorizada")),MAX($AC$1:$AC$410)+1,"")</f>
        <v/>
      </c>
      <c r="AD411" s="69" t="str">
        <f aca="false">IF(AND(B411&lt;&gt;"",OR(ISNUMBER(SEARCH("CTO",P411)),LEFT(O411,2)="22",LEFT(O411,2)="23",LEFT(O411,2)="24",LEFT(O411,2)="25",LEFT(O411,2)="26",LEFT(O411,2)="27")),MAX($AD$1:$AD$410)+1,"")</f>
        <v/>
      </c>
      <c r="AE411" s="69" t="str">
        <f aca="false">IF(AND(B411&lt;&gt;"",D411=CONSULTA_UNIDADE!$B$4),MAX($AE$1:$AE$410)+1,"")</f>
        <v/>
      </c>
      <c r="AF411" s="69" t="str">
        <f aca="false">IF(AND(B411&lt;&gt;"",O411&lt;&gt;"27 - Instalação concluída",O411&lt;&gt;"28 - Encerrado",ISNUMBER(S411)),S411*1000+(1000-ROW()),"")</f>
        <v/>
      </c>
      <c r="AG411" s="69" t="str">
        <f aca="false">IF(AF411="","",RANK(AF411,$AF$2:$AF$500))</f>
        <v/>
      </c>
    </row>
    <row r="412" customFormat="false" ht="16.5" hidden="false" customHeight="true" outlineLevel="0" collapsed="false">
      <c r="A412" s="86"/>
      <c r="B412" s="86"/>
      <c r="C412" s="87" t="str">
        <f aca="false">IF(D412="","",IFERROR(INDEX(CADASTRO_VIVO_3CRE!$B$2:$B$150,MATCH(D412,CADASTRO_VIVO_3CRE!$E$2:$E$150,0)),""))</f>
        <v/>
      </c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8"/>
      <c r="S412" s="89" t="str">
        <f aca="true">IF(R412="","",TODAY()-INT(R412))</f>
        <v/>
      </c>
      <c r="T412" s="86"/>
      <c r="U412" s="86"/>
      <c r="V412" s="86"/>
      <c r="W412" s="88"/>
      <c r="X412" s="89" t="str">
        <f aca="true">IF(W412="","",IF(OR(O412="28 - Encerrado",O412="27 - Instalação concluída"),"Concluído",TODAY()-INT(W412)))</f>
        <v/>
      </c>
      <c r="Y412" s="90" t="str">
        <f aca="false">IF(OR(O412="28 - Encerrado",O412="27 - Instalação concluída"),"OK",IF(AND(B412&lt;&gt;"",S412=""),"ATENÇÃO (Sem data de atualização)",IF(S412="","",IF(S412&gt;30,"CRÍTICO (Sem Atualização &gt;30 dias)",IF(S412&gt;15,"ATENÇÃO (Sem Atualização &gt;15 dias)",IF(X412&gt;90,"CRÍTICO (Aberto &gt;90 dias)","OK"))))))</f>
        <v/>
      </c>
      <c r="Z412" s="90" t="str">
        <f aca="false">IF(B412="","",IF(OR(O412="27 - Instalação concluída",O412="28 - Encerrado"),"OK",IF(NOT(ISNUMBER(X412)),"",IF(X412&gt;365,"MUITO ANTIGO (&gt;1 ano)",IF(X412&gt;180,"ANTIGO (&gt;6 meses)",IF(X412&gt;90,"ATENÇÃO ANTIG. (&gt;3 meses)","OK"))))))</f>
        <v/>
      </c>
      <c r="AA412" s="86"/>
      <c r="AB412" s="69" t="str">
        <f aca="false">IF(AND(B412&lt;&gt;"",OR(T412="Pendente de Vistoria",T412="Não validada")),MAX($AB$1:$AB$411)+1,"")</f>
        <v/>
      </c>
      <c r="AC412" s="69" t="str">
        <f aca="false">IF(AND(B412&lt;&gt;"",OR(ISNUMBER(SEARCH("CTIN",P412)),U412="Alta",O412="07 - Relatório recebido — unidade apta",O412="11 - Orçamentos em análise técnica",O412="22 - Instalação/substituição autorizada")),MAX($AC$1:$AC$411)+1,"")</f>
        <v/>
      </c>
      <c r="AD412" s="69" t="str">
        <f aca="false">IF(AND(B412&lt;&gt;"",OR(ISNUMBER(SEARCH("CTO",P412)),LEFT(O412,2)="22",LEFT(O412,2)="23",LEFT(O412,2)="24",LEFT(O412,2)="25",LEFT(O412,2)="26",LEFT(O412,2)="27")),MAX($AD$1:$AD$411)+1,"")</f>
        <v/>
      </c>
      <c r="AE412" s="69" t="str">
        <f aca="false">IF(AND(B412&lt;&gt;"",D412=CONSULTA_UNIDADE!$B$4),MAX($AE$1:$AE$411)+1,"")</f>
        <v/>
      </c>
      <c r="AF412" s="69" t="str">
        <f aca="false">IF(AND(B412&lt;&gt;"",O412&lt;&gt;"27 - Instalação concluída",O412&lt;&gt;"28 - Encerrado",ISNUMBER(S412)),S412*1000+(1000-ROW()),"")</f>
        <v/>
      </c>
      <c r="AG412" s="69" t="str">
        <f aca="false">IF(AF412="","",RANK(AF412,$AF$2:$AF$500))</f>
        <v/>
      </c>
    </row>
    <row r="413" customFormat="false" ht="16.5" hidden="false" customHeight="true" outlineLevel="0" collapsed="false">
      <c r="A413" s="86"/>
      <c r="B413" s="86"/>
      <c r="C413" s="87" t="str">
        <f aca="false">IF(D413="","",IFERROR(INDEX(CADASTRO_VIVO_3CRE!$B$2:$B$150,MATCH(D413,CADASTRO_VIVO_3CRE!$E$2:$E$150,0)),""))</f>
        <v/>
      </c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8"/>
      <c r="S413" s="89" t="str">
        <f aca="true">IF(R413="","",TODAY()-INT(R413))</f>
        <v/>
      </c>
      <c r="T413" s="86"/>
      <c r="U413" s="86"/>
      <c r="V413" s="86"/>
      <c r="W413" s="88"/>
      <c r="X413" s="89" t="str">
        <f aca="true">IF(W413="","",IF(OR(O413="28 - Encerrado",O413="27 - Instalação concluída"),"Concluído",TODAY()-INT(W413)))</f>
        <v/>
      </c>
      <c r="Y413" s="90" t="str">
        <f aca="false">IF(OR(O413="28 - Encerrado",O413="27 - Instalação concluída"),"OK",IF(AND(B413&lt;&gt;"",S413=""),"ATENÇÃO (Sem data de atualização)",IF(S413="","",IF(S413&gt;30,"CRÍTICO (Sem Atualização &gt;30 dias)",IF(S413&gt;15,"ATENÇÃO (Sem Atualização &gt;15 dias)",IF(X413&gt;90,"CRÍTICO (Aberto &gt;90 dias)","OK"))))))</f>
        <v/>
      </c>
      <c r="Z413" s="90" t="str">
        <f aca="false">IF(B413="","",IF(OR(O413="27 - Instalação concluída",O413="28 - Encerrado"),"OK",IF(NOT(ISNUMBER(X413)),"",IF(X413&gt;365,"MUITO ANTIGO (&gt;1 ano)",IF(X413&gt;180,"ANTIGO (&gt;6 meses)",IF(X413&gt;90,"ATENÇÃO ANTIG. (&gt;3 meses)","OK"))))))</f>
        <v/>
      </c>
      <c r="AA413" s="86"/>
      <c r="AB413" s="69" t="str">
        <f aca="false">IF(AND(B413&lt;&gt;"",OR(T413="Pendente de Vistoria",T413="Não validada")),MAX($AB$1:$AB$412)+1,"")</f>
        <v/>
      </c>
      <c r="AC413" s="69" t="str">
        <f aca="false">IF(AND(B413&lt;&gt;"",OR(ISNUMBER(SEARCH("CTIN",P413)),U413="Alta",O413="07 - Relatório recebido — unidade apta",O413="11 - Orçamentos em análise técnica",O413="22 - Instalação/substituição autorizada")),MAX($AC$1:$AC$412)+1,"")</f>
        <v/>
      </c>
      <c r="AD413" s="69" t="str">
        <f aca="false">IF(AND(B413&lt;&gt;"",OR(ISNUMBER(SEARCH("CTO",P413)),LEFT(O413,2)="22",LEFT(O413,2)="23",LEFT(O413,2)="24",LEFT(O413,2)="25",LEFT(O413,2)="26",LEFT(O413,2)="27")),MAX($AD$1:$AD$412)+1,"")</f>
        <v/>
      </c>
      <c r="AE413" s="69" t="str">
        <f aca="false">IF(AND(B413&lt;&gt;"",D413=CONSULTA_UNIDADE!$B$4),MAX($AE$1:$AE$412)+1,"")</f>
        <v/>
      </c>
      <c r="AF413" s="69" t="str">
        <f aca="false">IF(AND(B413&lt;&gt;"",O413&lt;&gt;"27 - Instalação concluída",O413&lt;&gt;"28 - Encerrado",ISNUMBER(S413)),S413*1000+(1000-ROW()),"")</f>
        <v/>
      </c>
      <c r="AG413" s="69" t="str">
        <f aca="false">IF(AF413="","",RANK(AF413,$AF$2:$AF$500))</f>
        <v/>
      </c>
    </row>
    <row r="414" customFormat="false" ht="16.5" hidden="false" customHeight="true" outlineLevel="0" collapsed="false">
      <c r="A414" s="86"/>
      <c r="B414" s="86"/>
      <c r="C414" s="87" t="str">
        <f aca="false">IF(D414="","",IFERROR(INDEX(CADASTRO_VIVO_3CRE!$B$2:$B$150,MATCH(D414,CADASTRO_VIVO_3CRE!$E$2:$E$150,0)),""))</f>
        <v/>
      </c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8"/>
      <c r="S414" s="89" t="str">
        <f aca="true">IF(R414="","",TODAY()-INT(R414))</f>
        <v/>
      </c>
      <c r="T414" s="86"/>
      <c r="U414" s="86"/>
      <c r="V414" s="86"/>
      <c r="W414" s="88"/>
      <c r="X414" s="89" t="str">
        <f aca="true">IF(W414="","",IF(OR(O414="28 - Encerrado",O414="27 - Instalação concluída"),"Concluído",TODAY()-INT(W414)))</f>
        <v/>
      </c>
      <c r="Y414" s="90" t="str">
        <f aca="false">IF(OR(O414="28 - Encerrado",O414="27 - Instalação concluída"),"OK",IF(AND(B414&lt;&gt;"",S414=""),"ATENÇÃO (Sem data de atualização)",IF(S414="","",IF(S414&gt;30,"CRÍTICO (Sem Atualização &gt;30 dias)",IF(S414&gt;15,"ATENÇÃO (Sem Atualização &gt;15 dias)",IF(X414&gt;90,"CRÍTICO (Aberto &gt;90 dias)","OK"))))))</f>
        <v/>
      </c>
      <c r="Z414" s="90" t="str">
        <f aca="false">IF(B414="","",IF(OR(O414="27 - Instalação concluída",O414="28 - Encerrado"),"OK",IF(NOT(ISNUMBER(X414)),"",IF(X414&gt;365,"MUITO ANTIGO (&gt;1 ano)",IF(X414&gt;180,"ANTIGO (&gt;6 meses)",IF(X414&gt;90,"ATENÇÃO ANTIG. (&gt;3 meses)","OK"))))))</f>
        <v/>
      </c>
      <c r="AA414" s="86"/>
      <c r="AB414" s="69" t="str">
        <f aca="false">IF(AND(B414&lt;&gt;"",OR(T414="Pendente de Vistoria",T414="Não validada")),MAX($AB$1:$AB$413)+1,"")</f>
        <v/>
      </c>
      <c r="AC414" s="69" t="str">
        <f aca="false">IF(AND(B414&lt;&gt;"",OR(ISNUMBER(SEARCH("CTIN",P414)),U414="Alta",O414="07 - Relatório recebido — unidade apta",O414="11 - Orçamentos em análise técnica",O414="22 - Instalação/substituição autorizada")),MAX($AC$1:$AC$413)+1,"")</f>
        <v/>
      </c>
      <c r="AD414" s="69" t="str">
        <f aca="false">IF(AND(B414&lt;&gt;"",OR(ISNUMBER(SEARCH("CTO",P414)),LEFT(O414,2)="22",LEFT(O414,2)="23",LEFT(O414,2)="24",LEFT(O414,2)="25",LEFT(O414,2)="26",LEFT(O414,2)="27")),MAX($AD$1:$AD$413)+1,"")</f>
        <v/>
      </c>
      <c r="AE414" s="69" t="str">
        <f aca="false">IF(AND(B414&lt;&gt;"",D414=CONSULTA_UNIDADE!$B$4),MAX($AE$1:$AE$413)+1,"")</f>
        <v/>
      </c>
      <c r="AF414" s="69" t="str">
        <f aca="false">IF(AND(B414&lt;&gt;"",O414&lt;&gt;"27 - Instalação concluída",O414&lt;&gt;"28 - Encerrado",ISNUMBER(S414)),S414*1000+(1000-ROW()),"")</f>
        <v/>
      </c>
      <c r="AG414" s="69" t="str">
        <f aca="false">IF(AF414="","",RANK(AF414,$AF$2:$AF$500))</f>
        <v/>
      </c>
    </row>
    <row r="415" customFormat="false" ht="16.5" hidden="false" customHeight="true" outlineLevel="0" collapsed="false">
      <c r="A415" s="86"/>
      <c r="B415" s="86"/>
      <c r="C415" s="87" t="str">
        <f aca="false">IF(D415="","",IFERROR(INDEX(CADASTRO_VIVO_3CRE!$B$2:$B$150,MATCH(D415,CADASTRO_VIVO_3CRE!$E$2:$E$150,0)),""))</f>
        <v/>
      </c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8"/>
      <c r="S415" s="89" t="str">
        <f aca="true">IF(R415="","",TODAY()-INT(R415))</f>
        <v/>
      </c>
      <c r="T415" s="86"/>
      <c r="U415" s="86"/>
      <c r="V415" s="86"/>
      <c r="W415" s="88"/>
      <c r="X415" s="89" t="str">
        <f aca="true">IF(W415="","",IF(OR(O415="28 - Encerrado",O415="27 - Instalação concluída"),"Concluído",TODAY()-INT(W415)))</f>
        <v/>
      </c>
      <c r="Y415" s="90" t="str">
        <f aca="false">IF(OR(O415="28 - Encerrado",O415="27 - Instalação concluída"),"OK",IF(AND(B415&lt;&gt;"",S415=""),"ATENÇÃO (Sem data de atualização)",IF(S415="","",IF(S415&gt;30,"CRÍTICO (Sem Atualização &gt;30 dias)",IF(S415&gt;15,"ATENÇÃO (Sem Atualização &gt;15 dias)",IF(X415&gt;90,"CRÍTICO (Aberto &gt;90 dias)","OK"))))))</f>
        <v/>
      </c>
      <c r="Z415" s="90" t="str">
        <f aca="false">IF(B415="","",IF(OR(O415="27 - Instalação concluída",O415="28 - Encerrado"),"OK",IF(NOT(ISNUMBER(X415)),"",IF(X415&gt;365,"MUITO ANTIGO (&gt;1 ano)",IF(X415&gt;180,"ANTIGO (&gt;6 meses)",IF(X415&gt;90,"ATENÇÃO ANTIG. (&gt;3 meses)","OK"))))))</f>
        <v/>
      </c>
      <c r="AA415" s="86"/>
      <c r="AB415" s="69" t="str">
        <f aca="false">IF(AND(B415&lt;&gt;"",OR(T415="Pendente de Vistoria",T415="Não validada")),MAX($AB$1:$AB$414)+1,"")</f>
        <v/>
      </c>
      <c r="AC415" s="69" t="str">
        <f aca="false">IF(AND(B415&lt;&gt;"",OR(ISNUMBER(SEARCH("CTIN",P415)),U415="Alta",O415="07 - Relatório recebido — unidade apta",O415="11 - Orçamentos em análise técnica",O415="22 - Instalação/substituição autorizada")),MAX($AC$1:$AC$414)+1,"")</f>
        <v/>
      </c>
      <c r="AD415" s="69" t="str">
        <f aca="false">IF(AND(B415&lt;&gt;"",OR(ISNUMBER(SEARCH("CTO",P415)),LEFT(O415,2)="22",LEFT(O415,2)="23",LEFT(O415,2)="24",LEFT(O415,2)="25",LEFT(O415,2)="26",LEFT(O415,2)="27")),MAX($AD$1:$AD$414)+1,"")</f>
        <v/>
      </c>
      <c r="AE415" s="69" t="str">
        <f aca="false">IF(AND(B415&lt;&gt;"",D415=CONSULTA_UNIDADE!$B$4),MAX($AE$1:$AE$414)+1,"")</f>
        <v/>
      </c>
      <c r="AF415" s="69" t="str">
        <f aca="false">IF(AND(B415&lt;&gt;"",O415&lt;&gt;"27 - Instalação concluída",O415&lt;&gt;"28 - Encerrado",ISNUMBER(S415)),S415*1000+(1000-ROW()),"")</f>
        <v/>
      </c>
      <c r="AG415" s="69" t="str">
        <f aca="false">IF(AF415="","",RANK(AF415,$AF$2:$AF$500))</f>
        <v/>
      </c>
    </row>
    <row r="416" customFormat="false" ht="16.5" hidden="false" customHeight="true" outlineLevel="0" collapsed="false">
      <c r="A416" s="86"/>
      <c r="B416" s="86"/>
      <c r="C416" s="87" t="str">
        <f aca="false">IF(D416="","",IFERROR(INDEX(CADASTRO_VIVO_3CRE!$B$2:$B$150,MATCH(D416,CADASTRO_VIVO_3CRE!$E$2:$E$150,0)),""))</f>
        <v/>
      </c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8"/>
      <c r="S416" s="89" t="str">
        <f aca="true">IF(R416="","",TODAY()-INT(R416))</f>
        <v/>
      </c>
      <c r="T416" s="86"/>
      <c r="U416" s="86"/>
      <c r="V416" s="86"/>
      <c r="W416" s="88"/>
      <c r="X416" s="89" t="str">
        <f aca="true">IF(W416="","",IF(OR(O416="28 - Encerrado",O416="27 - Instalação concluída"),"Concluído",TODAY()-INT(W416)))</f>
        <v/>
      </c>
      <c r="Y416" s="90" t="str">
        <f aca="false">IF(OR(O416="28 - Encerrado",O416="27 - Instalação concluída"),"OK",IF(AND(B416&lt;&gt;"",S416=""),"ATENÇÃO (Sem data de atualização)",IF(S416="","",IF(S416&gt;30,"CRÍTICO (Sem Atualização &gt;30 dias)",IF(S416&gt;15,"ATENÇÃO (Sem Atualização &gt;15 dias)",IF(X416&gt;90,"CRÍTICO (Aberto &gt;90 dias)","OK"))))))</f>
        <v/>
      </c>
      <c r="Z416" s="90" t="str">
        <f aca="false">IF(B416="","",IF(OR(O416="27 - Instalação concluída",O416="28 - Encerrado"),"OK",IF(NOT(ISNUMBER(X416)),"",IF(X416&gt;365,"MUITO ANTIGO (&gt;1 ano)",IF(X416&gt;180,"ANTIGO (&gt;6 meses)",IF(X416&gt;90,"ATENÇÃO ANTIG. (&gt;3 meses)","OK"))))))</f>
        <v/>
      </c>
      <c r="AA416" s="86"/>
      <c r="AB416" s="69" t="str">
        <f aca="false">IF(AND(B416&lt;&gt;"",OR(T416="Pendente de Vistoria",T416="Não validada")),MAX($AB$1:$AB$415)+1,"")</f>
        <v/>
      </c>
      <c r="AC416" s="69" t="str">
        <f aca="false">IF(AND(B416&lt;&gt;"",OR(ISNUMBER(SEARCH("CTIN",P416)),U416="Alta",O416="07 - Relatório recebido — unidade apta",O416="11 - Orçamentos em análise técnica",O416="22 - Instalação/substituição autorizada")),MAX($AC$1:$AC$415)+1,"")</f>
        <v/>
      </c>
      <c r="AD416" s="69" t="str">
        <f aca="false">IF(AND(B416&lt;&gt;"",OR(ISNUMBER(SEARCH("CTO",P416)),LEFT(O416,2)="22",LEFT(O416,2)="23",LEFT(O416,2)="24",LEFT(O416,2)="25",LEFT(O416,2)="26",LEFT(O416,2)="27")),MAX($AD$1:$AD$415)+1,"")</f>
        <v/>
      </c>
      <c r="AE416" s="69" t="str">
        <f aca="false">IF(AND(B416&lt;&gt;"",D416=CONSULTA_UNIDADE!$B$4),MAX($AE$1:$AE$415)+1,"")</f>
        <v/>
      </c>
      <c r="AF416" s="69" t="str">
        <f aca="false">IF(AND(B416&lt;&gt;"",O416&lt;&gt;"27 - Instalação concluída",O416&lt;&gt;"28 - Encerrado",ISNUMBER(S416)),S416*1000+(1000-ROW()),"")</f>
        <v/>
      </c>
      <c r="AG416" s="69" t="str">
        <f aca="false">IF(AF416="","",RANK(AF416,$AF$2:$AF$500))</f>
        <v/>
      </c>
    </row>
    <row r="417" customFormat="false" ht="16.5" hidden="false" customHeight="true" outlineLevel="0" collapsed="false">
      <c r="A417" s="86"/>
      <c r="B417" s="86"/>
      <c r="C417" s="87" t="str">
        <f aca="false">IF(D417="","",IFERROR(INDEX(CADASTRO_VIVO_3CRE!$B$2:$B$150,MATCH(D417,CADASTRO_VIVO_3CRE!$E$2:$E$150,0)),""))</f>
        <v/>
      </c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8"/>
      <c r="S417" s="89" t="str">
        <f aca="true">IF(R417="","",TODAY()-INT(R417))</f>
        <v/>
      </c>
      <c r="T417" s="86"/>
      <c r="U417" s="86"/>
      <c r="V417" s="86"/>
      <c r="W417" s="88"/>
      <c r="X417" s="89" t="str">
        <f aca="true">IF(W417="","",IF(OR(O417="28 - Encerrado",O417="27 - Instalação concluída"),"Concluído",TODAY()-INT(W417)))</f>
        <v/>
      </c>
      <c r="Y417" s="90" t="str">
        <f aca="false">IF(OR(O417="28 - Encerrado",O417="27 - Instalação concluída"),"OK",IF(AND(B417&lt;&gt;"",S417=""),"ATENÇÃO (Sem data de atualização)",IF(S417="","",IF(S417&gt;30,"CRÍTICO (Sem Atualização &gt;30 dias)",IF(S417&gt;15,"ATENÇÃO (Sem Atualização &gt;15 dias)",IF(X417&gt;90,"CRÍTICO (Aberto &gt;90 dias)","OK"))))))</f>
        <v/>
      </c>
      <c r="Z417" s="90" t="str">
        <f aca="false">IF(B417="","",IF(OR(O417="27 - Instalação concluída",O417="28 - Encerrado"),"OK",IF(NOT(ISNUMBER(X417)),"",IF(X417&gt;365,"MUITO ANTIGO (&gt;1 ano)",IF(X417&gt;180,"ANTIGO (&gt;6 meses)",IF(X417&gt;90,"ATENÇÃO ANTIG. (&gt;3 meses)","OK"))))))</f>
        <v/>
      </c>
      <c r="AA417" s="86"/>
      <c r="AB417" s="69" t="str">
        <f aca="false">IF(AND(B417&lt;&gt;"",OR(T417="Pendente de Vistoria",T417="Não validada")),MAX($AB$1:$AB$416)+1,"")</f>
        <v/>
      </c>
      <c r="AC417" s="69" t="str">
        <f aca="false">IF(AND(B417&lt;&gt;"",OR(ISNUMBER(SEARCH("CTIN",P417)),U417="Alta",O417="07 - Relatório recebido — unidade apta",O417="11 - Orçamentos em análise técnica",O417="22 - Instalação/substituição autorizada")),MAX($AC$1:$AC$416)+1,"")</f>
        <v/>
      </c>
      <c r="AD417" s="69" t="str">
        <f aca="false">IF(AND(B417&lt;&gt;"",OR(ISNUMBER(SEARCH("CTO",P417)),LEFT(O417,2)="22",LEFT(O417,2)="23",LEFT(O417,2)="24",LEFT(O417,2)="25",LEFT(O417,2)="26",LEFT(O417,2)="27")),MAX($AD$1:$AD$416)+1,"")</f>
        <v/>
      </c>
      <c r="AE417" s="69" t="str">
        <f aca="false">IF(AND(B417&lt;&gt;"",D417=CONSULTA_UNIDADE!$B$4),MAX($AE$1:$AE$416)+1,"")</f>
        <v/>
      </c>
      <c r="AF417" s="69" t="str">
        <f aca="false">IF(AND(B417&lt;&gt;"",O417&lt;&gt;"27 - Instalação concluída",O417&lt;&gt;"28 - Encerrado",ISNUMBER(S417)),S417*1000+(1000-ROW()),"")</f>
        <v/>
      </c>
      <c r="AG417" s="69" t="str">
        <f aca="false">IF(AF417="","",RANK(AF417,$AF$2:$AF$500))</f>
        <v/>
      </c>
    </row>
    <row r="418" customFormat="false" ht="16.5" hidden="false" customHeight="true" outlineLevel="0" collapsed="false">
      <c r="A418" s="86"/>
      <c r="B418" s="86"/>
      <c r="C418" s="87" t="str">
        <f aca="false">IF(D418="","",IFERROR(INDEX(CADASTRO_VIVO_3CRE!$B$2:$B$150,MATCH(D418,CADASTRO_VIVO_3CRE!$E$2:$E$150,0)),""))</f>
        <v/>
      </c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8"/>
      <c r="S418" s="89" t="str">
        <f aca="true">IF(R418="","",TODAY()-INT(R418))</f>
        <v/>
      </c>
      <c r="T418" s="86"/>
      <c r="U418" s="86"/>
      <c r="V418" s="86"/>
      <c r="W418" s="88"/>
      <c r="X418" s="89" t="str">
        <f aca="true">IF(W418="","",IF(OR(O418="28 - Encerrado",O418="27 - Instalação concluída"),"Concluído",TODAY()-INT(W418)))</f>
        <v/>
      </c>
      <c r="Y418" s="90" t="str">
        <f aca="false">IF(OR(O418="28 - Encerrado",O418="27 - Instalação concluída"),"OK",IF(AND(B418&lt;&gt;"",S418=""),"ATENÇÃO (Sem data de atualização)",IF(S418="","",IF(S418&gt;30,"CRÍTICO (Sem Atualização &gt;30 dias)",IF(S418&gt;15,"ATENÇÃO (Sem Atualização &gt;15 dias)",IF(X418&gt;90,"CRÍTICO (Aberto &gt;90 dias)","OK"))))))</f>
        <v/>
      </c>
      <c r="Z418" s="90" t="str">
        <f aca="false">IF(B418="","",IF(OR(O418="27 - Instalação concluída",O418="28 - Encerrado"),"OK",IF(NOT(ISNUMBER(X418)),"",IF(X418&gt;365,"MUITO ANTIGO (&gt;1 ano)",IF(X418&gt;180,"ANTIGO (&gt;6 meses)",IF(X418&gt;90,"ATENÇÃO ANTIG. (&gt;3 meses)","OK"))))))</f>
        <v/>
      </c>
      <c r="AA418" s="86"/>
      <c r="AB418" s="69" t="str">
        <f aca="false">IF(AND(B418&lt;&gt;"",OR(T418="Pendente de Vistoria",T418="Não validada")),MAX($AB$1:$AB$417)+1,"")</f>
        <v/>
      </c>
      <c r="AC418" s="69" t="str">
        <f aca="false">IF(AND(B418&lt;&gt;"",OR(ISNUMBER(SEARCH("CTIN",P418)),U418="Alta",O418="07 - Relatório recebido — unidade apta",O418="11 - Orçamentos em análise técnica",O418="22 - Instalação/substituição autorizada")),MAX($AC$1:$AC$417)+1,"")</f>
        <v/>
      </c>
      <c r="AD418" s="69" t="str">
        <f aca="false">IF(AND(B418&lt;&gt;"",OR(ISNUMBER(SEARCH("CTO",P418)),LEFT(O418,2)="22",LEFT(O418,2)="23",LEFT(O418,2)="24",LEFT(O418,2)="25",LEFT(O418,2)="26",LEFT(O418,2)="27")),MAX($AD$1:$AD$417)+1,"")</f>
        <v/>
      </c>
      <c r="AE418" s="69" t="str">
        <f aca="false">IF(AND(B418&lt;&gt;"",D418=CONSULTA_UNIDADE!$B$4),MAX($AE$1:$AE$417)+1,"")</f>
        <v/>
      </c>
      <c r="AF418" s="69" t="str">
        <f aca="false">IF(AND(B418&lt;&gt;"",O418&lt;&gt;"27 - Instalação concluída",O418&lt;&gt;"28 - Encerrado",ISNUMBER(S418)),S418*1000+(1000-ROW()),"")</f>
        <v/>
      </c>
      <c r="AG418" s="69" t="str">
        <f aca="false">IF(AF418="","",RANK(AF418,$AF$2:$AF$500))</f>
        <v/>
      </c>
    </row>
    <row r="419" customFormat="false" ht="16.5" hidden="false" customHeight="true" outlineLevel="0" collapsed="false">
      <c r="A419" s="86"/>
      <c r="B419" s="86"/>
      <c r="C419" s="87" t="str">
        <f aca="false">IF(D419="","",IFERROR(INDEX(CADASTRO_VIVO_3CRE!$B$2:$B$150,MATCH(D419,CADASTRO_VIVO_3CRE!$E$2:$E$150,0)),""))</f>
        <v/>
      </c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8"/>
      <c r="S419" s="89" t="str">
        <f aca="true">IF(R419="","",TODAY()-INT(R419))</f>
        <v/>
      </c>
      <c r="T419" s="86"/>
      <c r="U419" s="86"/>
      <c r="V419" s="86"/>
      <c r="W419" s="88"/>
      <c r="X419" s="89" t="str">
        <f aca="true">IF(W419="","",IF(OR(O419="28 - Encerrado",O419="27 - Instalação concluída"),"Concluído",TODAY()-INT(W419)))</f>
        <v/>
      </c>
      <c r="Y419" s="90" t="str">
        <f aca="false">IF(OR(O419="28 - Encerrado",O419="27 - Instalação concluída"),"OK",IF(AND(B419&lt;&gt;"",S419=""),"ATENÇÃO (Sem data de atualização)",IF(S419="","",IF(S419&gt;30,"CRÍTICO (Sem Atualização &gt;30 dias)",IF(S419&gt;15,"ATENÇÃO (Sem Atualização &gt;15 dias)",IF(X419&gt;90,"CRÍTICO (Aberto &gt;90 dias)","OK"))))))</f>
        <v/>
      </c>
      <c r="Z419" s="90" t="str">
        <f aca="false">IF(B419="","",IF(OR(O419="27 - Instalação concluída",O419="28 - Encerrado"),"OK",IF(NOT(ISNUMBER(X419)),"",IF(X419&gt;365,"MUITO ANTIGO (&gt;1 ano)",IF(X419&gt;180,"ANTIGO (&gt;6 meses)",IF(X419&gt;90,"ATENÇÃO ANTIG. (&gt;3 meses)","OK"))))))</f>
        <v/>
      </c>
      <c r="AA419" s="86"/>
      <c r="AB419" s="69" t="str">
        <f aca="false">IF(AND(B419&lt;&gt;"",OR(T419="Pendente de Vistoria",T419="Não validada")),MAX($AB$1:$AB$418)+1,"")</f>
        <v/>
      </c>
      <c r="AC419" s="69" t="str">
        <f aca="false">IF(AND(B419&lt;&gt;"",OR(ISNUMBER(SEARCH("CTIN",P419)),U419="Alta",O419="07 - Relatório recebido — unidade apta",O419="11 - Orçamentos em análise técnica",O419="22 - Instalação/substituição autorizada")),MAX($AC$1:$AC$418)+1,"")</f>
        <v/>
      </c>
      <c r="AD419" s="69" t="str">
        <f aca="false">IF(AND(B419&lt;&gt;"",OR(ISNUMBER(SEARCH("CTO",P419)),LEFT(O419,2)="22",LEFT(O419,2)="23",LEFT(O419,2)="24",LEFT(O419,2)="25",LEFT(O419,2)="26",LEFT(O419,2)="27")),MAX($AD$1:$AD$418)+1,"")</f>
        <v/>
      </c>
      <c r="AE419" s="69" t="str">
        <f aca="false">IF(AND(B419&lt;&gt;"",D419=CONSULTA_UNIDADE!$B$4),MAX($AE$1:$AE$418)+1,"")</f>
        <v/>
      </c>
      <c r="AF419" s="69" t="str">
        <f aca="false">IF(AND(B419&lt;&gt;"",O419&lt;&gt;"27 - Instalação concluída",O419&lt;&gt;"28 - Encerrado",ISNUMBER(S419)),S419*1000+(1000-ROW()),"")</f>
        <v/>
      </c>
      <c r="AG419" s="69" t="str">
        <f aca="false">IF(AF419="","",RANK(AF419,$AF$2:$AF$500))</f>
        <v/>
      </c>
    </row>
    <row r="420" customFormat="false" ht="16.5" hidden="false" customHeight="true" outlineLevel="0" collapsed="false">
      <c r="A420" s="86"/>
      <c r="B420" s="86"/>
      <c r="C420" s="87" t="str">
        <f aca="false">IF(D420="","",IFERROR(INDEX(CADASTRO_VIVO_3CRE!$B$2:$B$150,MATCH(D420,CADASTRO_VIVO_3CRE!$E$2:$E$150,0)),""))</f>
        <v/>
      </c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8"/>
      <c r="S420" s="89" t="str">
        <f aca="true">IF(R420="","",TODAY()-INT(R420))</f>
        <v/>
      </c>
      <c r="T420" s="86"/>
      <c r="U420" s="86"/>
      <c r="V420" s="86"/>
      <c r="W420" s="88"/>
      <c r="X420" s="89" t="str">
        <f aca="true">IF(W420="","",IF(OR(O420="28 - Encerrado",O420="27 - Instalação concluída"),"Concluído",TODAY()-INT(W420)))</f>
        <v/>
      </c>
      <c r="Y420" s="90" t="str">
        <f aca="false">IF(OR(O420="28 - Encerrado",O420="27 - Instalação concluída"),"OK",IF(AND(B420&lt;&gt;"",S420=""),"ATENÇÃO (Sem data de atualização)",IF(S420="","",IF(S420&gt;30,"CRÍTICO (Sem Atualização &gt;30 dias)",IF(S420&gt;15,"ATENÇÃO (Sem Atualização &gt;15 dias)",IF(X420&gt;90,"CRÍTICO (Aberto &gt;90 dias)","OK"))))))</f>
        <v/>
      </c>
      <c r="Z420" s="90" t="str">
        <f aca="false">IF(B420="","",IF(OR(O420="27 - Instalação concluída",O420="28 - Encerrado"),"OK",IF(NOT(ISNUMBER(X420)),"",IF(X420&gt;365,"MUITO ANTIGO (&gt;1 ano)",IF(X420&gt;180,"ANTIGO (&gt;6 meses)",IF(X420&gt;90,"ATENÇÃO ANTIG. (&gt;3 meses)","OK"))))))</f>
        <v/>
      </c>
      <c r="AA420" s="86"/>
      <c r="AB420" s="69" t="str">
        <f aca="false">IF(AND(B420&lt;&gt;"",OR(T420="Pendente de Vistoria",T420="Não validada")),MAX($AB$1:$AB$419)+1,"")</f>
        <v/>
      </c>
      <c r="AC420" s="69" t="str">
        <f aca="false">IF(AND(B420&lt;&gt;"",OR(ISNUMBER(SEARCH("CTIN",P420)),U420="Alta",O420="07 - Relatório recebido — unidade apta",O420="11 - Orçamentos em análise técnica",O420="22 - Instalação/substituição autorizada")),MAX($AC$1:$AC$419)+1,"")</f>
        <v/>
      </c>
      <c r="AD420" s="69" t="str">
        <f aca="false">IF(AND(B420&lt;&gt;"",OR(ISNUMBER(SEARCH("CTO",P420)),LEFT(O420,2)="22",LEFT(O420,2)="23",LEFT(O420,2)="24",LEFT(O420,2)="25",LEFT(O420,2)="26",LEFT(O420,2)="27")),MAX($AD$1:$AD$419)+1,"")</f>
        <v/>
      </c>
      <c r="AE420" s="69" t="str">
        <f aca="false">IF(AND(B420&lt;&gt;"",D420=CONSULTA_UNIDADE!$B$4),MAX($AE$1:$AE$419)+1,"")</f>
        <v/>
      </c>
      <c r="AF420" s="69" t="str">
        <f aca="false">IF(AND(B420&lt;&gt;"",O420&lt;&gt;"27 - Instalação concluída",O420&lt;&gt;"28 - Encerrado",ISNUMBER(S420)),S420*1000+(1000-ROW()),"")</f>
        <v/>
      </c>
      <c r="AG420" s="69" t="str">
        <f aca="false">IF(AF420="","",RANK(AF420,$AF$2:$AF$500))</f>
        <v/>
      </c>
    </row>
    <row r="421" customFormat="false" ht="16.5" hidden="false" customHeight="true" outlineLevel="0" collapsed="false">
      <c r="A421" s="86"/>
      <c r="B421" s="86"/>
      <c r="C421" s="87" t="str">
        <f aca="false">IF(D421="","",IFERROR(INDEX(CADASTRO_VIVO_3CRE!$B$2:$B$150,MATCH(D421,CADASTRO_VIVO_3CRE!$E$2:$E$150,0)),""))</f>
        <v/>
      </c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8"/>
      <c r="S421" s="89" t="str">
        <f aca="true">IF(R421="","",TODAY()-INT(R421))</f>
        <v/>
      </c>
      <c r="T421" s="86"/>
      <c r="U421" s="86"/>
      <c r="V421" s="86"/>
      <c r="W421" s="88"/>
      <c r="X421" s="89" t="str">
        <f aca="true">IF(W421="","",IF(OR(O421="28 - Encerrado",O421="27 - Instalação concluída"),"Concluído",TODAY()-INT(W421)))</f>
        <v/>
      </c>
      <c r="Y421" s="90" t="str">
        <f aca="false">IF(OR(O421="28 - Encerrado",O421="27 - Instalação concluída"),"OK",IF(AND(B421&lt;&gt;"",S421=""),"ATENÇÃO (Sem data de atualização)",IF(S421="","",IF(S421&gt;30,"CRÍTICO (Sem Atualização &gt;30 dias)",IF(S421&gt;15,"ATENÇÃO (Sem Atualização &gt;15 dias)",IF(X421&gt;90,"CRÍTICO (Aberto &gt;90 dias)","OK"))))))</f>
        <v/>
      </c>
      <c r="Z421" s="90" t="str">
        <f aca="false">IF(B421="","",IF(OR(O421="27 - Instalação concluída",O421="28 - Encerrado"),"OK",IF(NOT(ISNUMBER(X421)),"",IF(X421&gt;365,"MUITO ANTIGO (&gt;1 ano)",IF(X421&gt;180,"ANTIGO (&gt;6 meses)",IF(X421&gt;90,"ATENÇÃO ANTIG. (&gt;3 meses)","OK"))))))</f>
        <v/>
      </c>
      <c r="AA421" s="86"/>
      <c r="AB421" s="69" t="str">
        <f aca="false">IF(AND(B421&lt;&gt;"",OR(T421="Pendente de Vistoria",T421="Não validada")),MAX($AB$1:$AB$420)+1,"")</f>
        <v/>
      </c>
      <c r="AC421" s="69" t="str">
        <f aca="false">IF(AND(B421&lt;&gt;"",OR(ISNUMBER(SEARCH("CTIN",P421)),U421="Alta",O421="07 - Relatório recebido — unidade apta",O421="11 - Orçamentos em análise técnica",O421="22 - Instalação/substituição autorizada")),MAX($AC$1:$AC$420)+1,"")</f>
        <v/>
      </c>
      <c r="AD421" s="69" t="str">
        <f aca="false">IF(AND(B421&lt;&gt;"",OR(ISNUMBER(SEARCH("CTO",P421)),LEFT(O421,2)="22",LEFT(O421,2)="23",LEFT(O421,2)="24",LEFT(O421,2)="25",LEFT(O421,2)="26",LEFT(O421,2)="27")),MAX($AD$1:$AD$420)+1,"")</f>
        <v/>
      </c>
      <c r="AE421" s="69" t="str">
        <f aca="false">IF(AND(B421&lt;&gt;"",D421=CONSULTA_UNIDADE!$B$4),MAX($AE$1:$AE$420)+1,"")</f>
        <v/>
      </c>
      <c r="AF421" s="69" t="str">
        <f aca="false">IF(AND(B421&lt;&gt;"",O421&lt;&gt;"27 - Instalação concluída",O421&lt;&gt;"28 - Encerrado",ISNUMBER(S421)),S421*1000+(1000-ROW()),"")</f>
        <v/>
      </c>
      <c r="AG421" s="69" t="str">
        <f aca="false">IF(AF421="","",RANK(AF421,$AF$2:$AF$500))</f>
        <v/>
      </c>
    </row>
    <row r="422" customFormat="false" ht="16.5" hidden="false" customHeight="true" outlineLevel="0" collapsed="false">
      <c r="A422" s="86"/>
      <c r="B422" s="86"/>
      <c r="C422" s="87" t="str">
        <f aca="false">IF(D422="","",IFERROR(INDEX(CADASTRO_VIVO_3CRE!$B$2:$B$150,MATCH(D422,CADASTRO_VIVO_3CRE!$E$2:$E$150,0)),""))</f>
        <v/>
      </c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8"/>
      <c r="S422" s="89" t="str">
        <f aca="true">IF(R422="","",TODAY()-INT(R422))</f>
        <v/>
      </c>
      <c r="T422" s="86"/>
      <c r="U422" s="86"/>
      <c r="V422" s="86"/>
      <c r="W422" s="88"/>
      <c r="X422" s="89" t="str">
        <f aca="true">IF(W422="","",IF(OR(O422="28 - Encerrado",O422="27 - Instalação concluída"),"Concluído",TODAY()-INT(W422)))</f>
        <v/>
      </c>
      <c r="Y422" s="90" t="str">
        <f aca="false">IF(OR(O422="28 - Encerrado",O422="27 - Instalação concluída"),"OK",IF(AND(B422&lt;&gt;"",S422=""),"ATENÇÃO (Sem data de atualização)",IF(S422="","",IF(S422&gt;30,"CRÍTICO (Sem Atualização &gt;30 dias)",IF(S422&gt;15,"ATENÇÃO (Sem Atualização &gt;15 dias)",IF(X422&gt;90,"CRÍTICO (Aberto &gt;90 dias)","OK"))))))</f>
        <v/>
      </c>
      <c r="Z422" s="90" t="str">
        <f aca="false">IF(B422="","",IF(OR(O422="27 - Instalação concluída",O422="28 - Encerrado"),"OK",IF(NOT(ISNUMBER(X422)),"",IF(X422&gt;365,"MUITO ANTIGO (&gt;1 ano)",IF(X422&gt;180,"ANTIGO (&gt;6 meses)",IF(X422&gt;90,"ATENÇÃO ANTIG. (&gt;3 meses)","OK"))))))</f>
        <v/>
      </c>
      <c r="AA422" s="86"/>
      <c r="AB422" s="69" t="str">
        <f aca="false">IF(AND(B422&lt;&gt;"",OR(T422="Pendente de Vistoria",T422="Não validada")),MAX($AB$1:$AB$421)+1,"")</f>
        <v/>
      </c>
      <c r="AC422" s="69" t="str">
        <f aca="false">IF(AND(B422&lt;&gt;"",OR(ISNUMBER(SEARCH("CTIN",P422)),U422="Alta",O422="07 - Relatório recebido — unidade apta",O422="11 - Orçamentos em análise técnica",O422="22 - Instalação/substituição autorizada")),MAX($AC$1:$AC$421)+1,"")</f>
        <v/>
      </c>
      <c r="AD422" s="69" t="str">
        <f aca="false">IF(AND(B422&lt;&gt;"",OR(ISNUMBER(SEARCH("CTO",P422)),LEFT(O422,2)="22",LEFT(O422,2)="23",LEFT(O422,2)="24",LEFT(O422,2)="25",LEFT(O422,2)="26",LEFT(O422,2)="27")),MAX($AD$1:$AD$421)+1,"")</f>
        <v/>
      </c>
      <c r="AE422" s="69" t="str">
        <f aca="false">IF(AND(B422&lt;&gt;"",D422=CONSULTA_UNIDADE!$B$4),MAX($AE$1:$AE$421)+1,"")</f>
        <v/>
      </c>
      <c r="AF422" s="69" t="str">
        <f aca="false">IF(AND(B422&lt;&gt;"",O422&lt;&gt;"27 - Instalação concluída",O422&lt;&gt;"28 - Encerrado",ISNUMBER(S422)),S422*1000+(1000-ROW()),"")</f>
        <v/>
      </c>
      <c r="AG422" s="69" t="str">
        <f aca="false">IF(AF422="","",RANK(AF422,$AF$2:$AF$500))</f>
        <v/>
      </c>
    </row>
    <row r="423" customFormat="false" ht="16.5" hidden="false" customHeight="true" outlineLevel="0" collapsed="false">
      <c r="A423" s="86"/>
      <c r="B423" s="86"/>
      <c r="C423" s="87" t="str">
        <f aca="false">IF(D423="","",IFERROR(INDEX(CADASTRO_VIVO_3CRE!$B$2:$B$150,MATCH(D423,CADASTRO_VIVO_3CRE!$E$2:$E$150,0)),""))</f>
        <v/>
      </c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8"/>
      <c r="S423" s="89" t="str">
        <f aca="true">IF(R423="","",TODAY()-INT(R423))</f>
        <v/>
      </c>
      <c r="T423" s="86"/>
      <c r="U423" s="86"/>
      <c r="V423" s="86"/>
      <c r="W423" s="88"/>
      <c r="X423" s="89" t="str">
        <f aca="true">IF(W423="","",IF(OR(O423="28 - Encerrado",O423="27 - Instalação concluída"),"Concluído",TODAY()-INT(W423)))</f>
        <v/>
      </c>
      <c r="Y423" s="90" t="str">
        <f aca="false">IF(OR(O423="28 - Encerrado",O423="27 - Instalação concluída"),"OK",IF(AND(B423&lt;&gt;"",S423=""),"ATENÇÃO (Sem data de atualização)",IF(S423="","",IF(S423&gt;30,"CRÍTICO (Sem Atualização &gt;30 dias)",IF(S423&gt;15,"ATENÇÃO (Sem Atualização &gt;15 dias)",IF(X423&gt;90,"CRÍTICO (Aberto &gt;90 dias)","OK"))))))</f>
        <v/>
      </c>
      <c r="Z423" s="90" t="str">
        <f aca="false">IF(B423="","",IF(OR(O423="27 - Instalação concluída",O423="28 - Encerrado"),"OK",IF(NOT(ISNUMBER(X423)),"",IF(X423&gt;365,"MUITO ANTIGO (&gt;1 ano)",IF(X423&gt;180,"ANTIGO (&gt;6 meses)",IF(X423&gt;90,"ATENÇÃO ANTIG. (&gt;3 meses)","OK"))))))</f>
        <v/>
      </c>
      <c r="AA423" s="86"/>
      <c r="AB423" s="69" t="str">
        <f aca="false">IF(AND(B423&lt;&gt;"",OR(T423="Pendente de Vistoria",T423="Não validada")),MAX($AB$1:$AB$422)+1,"")</f>
        <v/>
      </c>
      <c r="AC423" s="69" t="str">
        <f aca="false">IF(AND(B423&lt;&gt;"",OR(ISNUMBER(SEARCH("CTIN",P423)),U423="Alta",O423="07 - Relatório recebido — unidade apta",O423="11 - Orçamentos em análise técnica",O423="22 - Instalação/substituição autorizada")),MAX($AC$1:$AC$422)+1,"")</f>
        <v/>
      </c>
      <c r="AD423" s="69" t="str">
        <f aca="false">IF(AND(B423&lt;&gt;"",OR(ISNUMBER(SEARCH("CTO",P423)),LEFT(O423,2)="22",LEFT(O423,2)="23",LEFT(O423,2)="24",LEFT(O423,2)="25",LEFT(O423,2)="26",LEFT(O423,2)="27")),MAX($AD$1:$AD$422)+1,"")</f>
        <v/>
      </c>
      <c r="AE423" s="69" t="str">
        <f aca="false">IF(AND(B423&lt;&gt;"",D423=CONSULTA_UNIDADE!$B$4),MAX($AE$1:$AE$422)+1,"")</f>
        <v/>
      </c>
      <c r="AF423" s="69" t="str">
        <f aca="false">IF(AND(B423&lt;&gt;"",O423&lt;&gt;"27 - Instalação concluída",O423&lt;&gt;"28 - Encerrado",ISNUMBER(S423)),S423*1000+(1000-ROW()),"")</f>
        <v/>
      </c>
      <c r="AG423" s="69" t="str">
        <f aca="false">IF(AF423="","",RANK(AF423,$AF$2:$AF$500))</f>
        <v/>
      </c>
    </row>
    <row r="424" customFormat="false" ht="16.5" hidden="false" customHeight="true" outlineLevel="0" collapsed="false">
      <c r="A424" s="86"/>
      <c r="B424" s="86"/>
      <c r="C424" s="87" t="str">
        <f aca="false">IF(D424="","",IFERROR(INDEX(CADASTRO_VIVO_3CRE!$B$2:$B$150,MATCH(D424,CADASTRO_VIVO_3CRE!$E$2:$E$150,0)),""))</f>
        <v/>
      </c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8"/>
      <c r="S424" s="89" t="str">
        <f aca="true">IF(R424="","",TODAY()-INT(R424))</f>
        <v/>
      </c>
      <c r="T424" s="86"/>
      <c r="U424" s="86"/>
      <c r="V424" s="86"/>
      <c r="W424" s="88"/>
      <c r="X424" s="89" t="str">
        <f aca="true">IF(W424="","",IF(OR(O424="28 - Encerrado",O424="27 - Instalação concluída"),"Concluído",TODAY()-INT(W424)))</f>
        <v/>
      </c>
      <c r="Y424" s="90" t="str">
        <f aca="false">IF(OR(O424="28 - Encerrado",O424="27 - Instalação concluída"),"OK",IF(AND(B424&lt;&gt;"",S424=""),"ATENÇÃO (Sem data de atualização)",IF(S424="","",IF(S424&gt;30,"CRÍTICO (Sem Atualização &gt;30 dias)",IF(S424&gt;15,"ATENÇÃO (Sem Atualização &gt;15 dias)",IF(X424&gt;90,"CRÍTICO (Aberto &gt;90 dias)","OK"))))))</f>
        <v/>
      </c>
      <c r="Z424" s="90" t="str">
        <f aca="false">IF(B424="","",IF(OR(O424="27 - Instalação concluída",O424="28 - Encerrado"),"OK",IF(NOT(ISNUMBER(X424)),"",IF(X424&gt;365,"MUITO ANTIGO (&gt;1 ano)",IF(X424&gt;180,"ANTIGO (&gt;6 meses)",IF(X424&gt;90,"ATENÇÃO ANTIG. (&gt;3 meses)","OK"))))))</f>
        <v/>
      </c>
      <c r="AA424" s="86"/>
      <c r="AB424" s="69" t="str">
        <f aca="false">IF(AND(B424&lt;&gt;"",OR(T424="Pendente de Vistoria",T424="Não validada")),MAX($AB$1:$AB$423)+1,"")</f>
        <v/>
      </c>
      <c r="AC424" s="69" t="str">
        <f aca="false">IF(AND(B424&lt;&gt;"",OR(ISNUMBER(SEARCH("CTIN",P424)),U424="Alta",O424="07 - Relatório recebido — unidade apta",O424="11 - Orçamentos em análise técnica",O424="22 - Instalação/substituição autorizada")),MAX($AC$1:$AC$423)+1,"")</f>
        <v/>
      </c>
      <c r="AD424" s="69" t="str">
        <f aca="false">IF(AND(B424&lt;&gt;"",OR(ISNUMBER(SEARCH("CTO",P424)),LEFT(O424,2)="22",LEFT(O424,2)="23",LEFT(O424,2)="24",LEFT(O424,2)="25",LEFT(O424,2)="26",LEFT(O424,2)="27")),MAX($AD$1:$AD$423)+1,"")</f>
        <v/>
      </c>
      <c r="AE424" s="69" t="str">
        <f aca="false">IF(AND(B424&lt;&gt;"",D424=CONSULTA_UNIDADE!$B$4),MAX($AE$1:$AE$423)+1,"")</f>
        <v/>
      </c>
      <c r="AF424" s="69" t="str">
        <f aca="false">IF(AND(B424&lt;&gt;"",O424&lt;&gt;"27 - Instalação concluída",O424&lt;&gt;"28 - Encerrado",ISNUMBER(S424)),S424*1000+(1000-ROW()),"")</f>
        <v/>
      </c>
      <c r="AG424" s="69" t="str">
        <f aca="false">IF(AF424="","",RANK(AF424,$AF$2:$AF$500))</f>
        <v/>
      </c>
    </row>
    <row r="425" customFormat="false" ht="16.5" hidden="false" customHeight="true" outlineLevel="0" collapsed="false">
      <c r="A425" s="86"/>
      <c r="B425" s="86"/>
      <c r="C425" s="87" t="str">
        <f aca="false">IF(D425="","",IFERROR(INDEX(CADASTRO_VIVO_3CRE!$B$2:$B$150,MATCH(D425,CADASTRO_VIVO_3CRE!$E$2:$E$150,0)),""))</f>
        <v/>
      </c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8"/>
      <c r="S425" s="89" t="str">
        <f aca="true">IF(R425="","",TODAY()-INT(R425))</f>
        <v/>
      </c>
      <c r="T425" s="86"/>
      <c r="U425" s="86"/>
      <c r="V425" s="86"/>
      <c r="W425" s="88"/>
      <c r="X425" s="89" t="str">
        <f aca="true">IF(W425="","",IF(OR(O425="28 - Encerrado",O425="27 - Instalação concluída"),"Concluído",TODAY()-INT(W425)))</f>
        <v/>
      </c>
      <c r="Y425" s="90" t="str">
        <f aca="false">IF(OR(O425="28 - Encerrado",O425="27 - Instalação concluída"),"OK",IF(AND(B425&lt;&gt;"",S425=""),"ATENÇÃO (Sem data de atualização)",IF(S425="","",IF(S425&gt;30,"CRÍTICO (Sem Atualização &gt;30 dias)",IF(S425&gt;15,"ATENÇÃO (Sem Atualização &gt;15 dias)",IF(X425&gt;90,"CRÍTICO (Aberto &gt;90 dias)","OK"))))))</f>
        <v/>
      </c>
      <c r="Z425" s="90" t="str">
        <f aca="false">IF(B425="","",IF(OR(O425="27 - Instalação concluída",O425="28 - Encerrado"),"OK",IF(NOT(ISNUMBER(X425)),"",IF(X425&gt;365,"MUITO ANTIGO (&gt;1 ano)",IF(X425&gt;180,"ANTIGO (&gt;6 meses)",IF(X425&gt;90,"ATENÇÃO ANTIG. (&gt;3 meses)","OK"))))))</f>
        <v/>
      </c>
      <c r="AA425" s="86"/>
      <c r="AB425" s="69" t="str">
        <f aca="false">IF(AND(B425&lt;&gt;"",OR(T425="Pendente de Vistoria",T425="Não validada")),MAX($AB$1:$AB$424)+1,"")</f>
        <v/>
      </c>
      <c r="AC425" s="69" t="str">
        <f aca="false">IF(AND(B425&lt;&gt;"",OR(ISNUMBER(SEARCH("CTIN",P425)),U425="Alta",O425="07 - Relatório recebido — unidade apta",O425="11 - Orçamentos em análise técnica",O425="22 - Instalação/substituição autorizada")),MAX($AC$1:$AC$424)+1,"")</f>
        <v/>
      </c>
      <c r="AD425" s="69" t="str">
        <f aca="false">IF(AND(B425&lt;&gt;"",OR(ISNUMBER(SEARCH("CTO",P425)),LEFT(O425,2)="22",LEFT(O425,2)="23",LEFT(O425,2)="24",LEFT(O425,2)="25",LEFT(O425,2)="26",LEFT(O425,2)="27")),MAX($AD$1:$AD$424)+1,"")</f>
        <v/>
      </c>
      <c r="AE425" s="69" t="str">
        <f aca="false">IF(AND(B425&lt;&gt;"",D425=CONSULTA_UNIDADE!$B$4),MAX($AE$1:$AE$424)+1,"")</f>
        <v/>
      </c>
      <c r="AF425" s="69" t="str">
        <f aca="false">IF(AND(B425&lt;&gt;"",O425&lt;&gt;"27 - Instalação concluída",O425&lt;&gt;"28 - Encerrado",ISNUMBER(S425)),S425*1000+(1000-ROW()),"")</f>
        <v/>
      </c>
      <c r="AG425" s="69" t="str">
        <f aca="false">IF(AF425="","",RANK(AF425,$AF$2:$AF$500))</f>
        <v/>
      </c>
    </row>
    <row r="426" customFormat="false" ht="16.5" hidden="false" customHeight="true" outlineLevel="0" collapsed="false">
      <c r="A426" s="86"/>
      <c r="B426" s="86"/>
      <c r="C426" s="87" t="str">
        <f aca="false">IF(D426="","",IFERROR(INDEX(CADASTRO_VIVO_3CRE!$B$2:$B$150,MATCH(D426,CADASTRO_VIVO_3CRE!$E$2:$E$150,0)),""))</f>
        <v/>
      </c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8"/>
      <c r="S426" s="89" t="str">
        <f aca="true">IF(R426="","",TODAY()-INT(R426))</f>
        <v/>
      </c>
      <c r="T426" s="86"/>
      <c r="U426" s="86"/>
      <c r="V426" s="86"/>
      <c r="W426" s="88"/>
      <c r="X426" s="89" t="str">
        <f aca="true">IF(W426="","",IF(OR(O426="28 - Encerrado",O426="27 - Instalação concluída"),"Concluído",TODAY()-INT(W426)))</f>
        <v/>
      </c>
      <c r="Y426" s="90" t="str">
        <f aca="false">IF(OR(O426="28 - Encerrado",O426="27 - Instalação concluída"),"OK",IF(AND(B426&lt;&gt;"",S426=""),"ATENÇÃO (Sem data de atualização)",IF(S426="","",IF(S426&gt;30,"CRÍTICO (Sem Atualização &gt;30 dias)",IF(S426&gt;15,"ATENÇÃO (Sem Atualização &gt;15 dias)",IF(X426&gt;90,"CRÍTICO (Aberto &gt;90 dias)","OK"))))))</f>
        <v/>
      </c>
      <c r="Z426" s="90" t="str">
        <f aca="false">IF(B426="","",IF(OR(O426="27 - Instalação concluída",O426="28 - Encerrado"),"OK",IF(NOT(ISNUMBER(X426)),"",IF(X426&gt;365,"MUITO ANTIGO (&gt;1 ano)",IF(X426&gt;180,"ANTIGO (&gt;6 meses)",IF(X426&gt;90,"ATENÇÃO ANTIG. (&gt;3 meses)","OK"))))))</f>
        <v/>
      </c>
      <c r="AA426" s="86"/>
      <c r="AB426" s="69" t="str">
        <f aca="false">IF(AND(B426&lt;&gt;"",OR(T426="Pendente de Vistoria",T426="Não validada")),MAX($AB$1:$AB$425)+1,"")</f>
        <v/>
      </c>
      <c r="AC426" s="69" t="str">
        <f aca="false">IF(AND(B426&lt;&gt;"",OR(ISNUMBER(SEARCH("CTIN",P426)),U426="Alta",O426="07 - Relatório recebido — unidade apta",O426="11 - Orçamentos em análise técnica",O426="22 - Instalação/substituição autorizada")),MAX($AC$1:$AC$425)+1,"")</f>
        <v/>
      </c>
      <c r="AD426" s="69" t="str">
        <f aca="false">IF(AND(B426&lt;&gt;"",OR(ISNUMBER(SEARCH("CTO",P426)),LEFT(O426,2)="22",LEFT(O426,2)="23",LEFT(O426,2)="24",LEFT(O426,2)="25",LEFT(O426,2)="26",LEFT(O426,2)="27")),MAX($AD$1:$AD$425)+1,"")</f>
        <v/>
      </c>
      <c r="AE426" s="69" t="str">
        <f aca="false">IF(AND(B426&lt;&gt;"",D426=CONSULTA_UNIDADE!$B$4),MAX($AE$1:$AE$425)+1,"")</f>
        <v/>
      </c>
      <c r="AF426" s="69" t="str">
        <f aca="false">IF(AND(B426&lt;&gt;"",O426&lt;&gt;"27 - Instalação concluída",O426&lt;&gt;"28 - Encerrado",ISNUMBER(S426)),S426*1000+(1000-ROW()),"")</f>
        <v/>
      </c>
      <c r="AG426" s="69" t="str">
        <f aca="false">IF(AF426="","",RANK(AF426,$AF$2:$AF$500))</f>
        <v/>
      </c>
    </row>
    <row r="427" customFormat="false" ht="16.5" hidden="false" customHeight="true" outlineLevel="0" collapsed="false">
      <c r="A427" s="86"/>
      <c r="B427" s="86"/>
      <c r="C427" s="87" t="str">
        <f aca="false">IF(D427="","",IFERROR(INDEX(CADASTRO_VIVO_3CRE!$B$2:$B$150,MATCH(D427,CADASTRO_VIVO_3CRE!$E$2:$E$150,0)),""))</f>
        <v/>
      </c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8"/>
      <c r="S427" s="89" t="str">
        <f aca="true">IF(R427="","",TODAY()-INT(R427))</f>
        <v/>
      </c>
      <c r="T427" s="86"/>
      <c r="U427" s="86"/>
      <c r="V427" s="86"/>
      <c r="W427" s="88"/>
      <c r="X427" s="89" t="str">
        <f aca="true">IF(W427="","",IF(OR(O427="28 - Encerrado",O427="27 - Instalação concluída"),"Concluído",TODAY()-INT(W427)))</f>
        <v/>
      </c>
      <c r="Y427" s="90" t="str">
        <f aca="false">IF(OR(O427="28 - Encerrado",O427="27 - Instalação concluída"),"OK",IF(AND(B427&lt;&gt;"",S427=""),"ATENÇÃO (Sem data de atualização)",IF(S427="","",IF(S427&gt;30,"CRÍTICO (Sem Atualização &gt;30 dias)",IF(S427&gt;15,"ATENÇÃO (Sem Atualização &gt;15 dias)",IF(X427&gt;90,"CRÍTICO (Aberto &gt;90 dias)","OK"))))))</f>
        <v/>
      </c>
      <c r="Z427" s="90" t="str">
        <f aca="false">IF(B427="","",IF(OR(O427="27 - Instalação concluída",O427="28 - Encerrado"),"OK",IF(NOT(ISNUMBER(X427)),"",IF(X427&gt;365,"MUITO ANTIGO (&gt;1 ano)",IF(X427&gt;180,"ANTIGO (&gt;6 meses)",IF(X427&gt;90,"ATENÇÃO ANTIG. (&gt;3 meses)","OK"))))))</f>
        <v/>
      </c>
      <c r="AA427" s="86"/>
      <c r="AB427" s="69" t="str">
        <f aca="false">IF(AND(B427&lt;&gt;"",OR(T427="Pendente de Vistoria",T427="Não validada")),MAX($AB$1:$AB$426)+1,"")</f>
        <v/>
      </c>
      <c r="AC427" s="69" t="str">
        <f aca="false">IF(AND(B427&lt;&gt;"",OR(ISNUMBER(SEARCH("CTIN",P427)),U427="Alta",O427="07 - Relatório recebido — unidade apta",O427="11 - Orçamentos em análise técnica",O427="22 - Instalação/substituição autorizada")),MAX($AC$1:$AC$426)+1,"")</f>
        <v/>
      </c>
      <c r="AD427" s="69" t="str">
        <f aca="false">IF(AND(B427&lt;&gt;"",OR(ISNUMBER(SEARCH("CTO",P427)),LEFT(O427,2)="22",LEFT(O427,2)="23",LEFT(O427,2)="24",LEFT(O427,2)="25",LEFT(O427,2)="26",LEFT(O427,2)="27")),MAX($AD$1:$AD$426)+1,"")</f>
        <v/>
      </c>
      <c r="AE427" s="69" t="str">
        <f aca="false">IF(AND(B427&lt;&gt;"",D427=CONSULTA_UNIDADE!$B$4),MAX($AE$1:$AE$426)+1,"")</f>
        <v/>
      </c>
      <c r="AF427" s="69" t="str">
        <f aca="false">IF(AND(B427&lt;&gt;"",O427&lt;&gt;"27 - Instalação concluída",O427&lt;&gt;"28 - Encerrado",ISNUMBER(S427)),S427*1000+(1000-ROW()),"")</f>
        <v/>
      </c>
      <c r="AG427" s="69" t="str">
        <f aca="false">IF(AF427="","",RANK(AF427,$AF$2:$AF$500))</f>
        <v/>
      </c>
    </row>
    <row r="428" customFormat="false" ht="16.5" hidden="false" customHeight="true" outlineLevel="0" collapsed="false">
      <c r="A428" s="86"/>
      <c r="B428" s="86"/>
      <c r="C428" s="87" t="str">
        <f aca="false">IF(D428="","",IFERROR(INDEX(CADASTRO_VIVO_3CRE!$B$2:$B$150,MATCH(D428,CADASTRO_VIVO_3CRE!$E$2:$E$150,0)),""))</f>
        <v/>
      </c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8"/>
      <c r="S428" s="89" t="str">
        <f aca="true">IF(R428="","",TODAY()-INT(R428))</f>
        <v/>
      </c>
      <c r="T428" s="86"/>
      <c r="U428" s="86"/>
      <c r="V428" s="86"/>
      <c r="W428" s="88"/>
      <c r="X428" s="89" t="str">
        <f aca="true">IF(W428="","",IF(OR(O428="28 - Encerrado",O428="27 - Instalação concluída"),"Concluído",TODAY()-INT(W428)))</f>
        <v/>
      </c>
      <c r="Y428" s="90" t="str">
        <f aca="false">IF(OR(O428="28 - Encerrado",O428="27 - Instalação concluída"),"OK",IF(AND(B428&lt;&gt;"",S428=""),"ATENÇÃO (Sem data de atualização)",IF(S428="","",IF(S428&gt;30,"CRÍTICO (Sem Atualização &gt;30 dias)",IF(S428&gt;15,"ATENÇÃO (Sem Atualização &gt;15 dias)",IF(X428&gt;90,"CRÍTICO (Aberto &gt;90 dias)","OK"))))))</f>
        <v/>
      </c>
      <c r="Z428" s="90" t="str">
        <f aca="false">IF(B428="","",IF(OR(O428="27 - Instalação concluída",O428="28 - Encerrado"),"OK",IF(NOT(ISNUMBER(X428)),"",IF(X428&gt;365,"MUITO ANTIGO (&gt;1 ano)",IF(X428&gt;180,"ANTIGO (&gt;6 meses)",IF(X428&gt;90,"ATENÇÃO ANTIG. (&gt;3 meses)","OK"))))))</f>
        <v/>
      </c>
      <c r="AA428" s="86"/>
      <c r="AB428" s="69" t="str">
        <f aca="false">IF(AND(B428&lt;&gt;"",OR(T428="Pendente de Vistoria",T428="Não validada")),MAX($AB$1:$AB$427)+1,"")</f>
        <v/>
      </c>
      <c r="AC428" s="69" t="str">
        <f aca="false">IF(AND(B428&lt;&gt;"",OR(ISNUMBER(SEARCH("CTIN",P428)),U428="Alta",O428="07 - Relatório recebido — unidade apta",O428="11 - Orçamentos em análise técnica",O428="22 - Instalação/substituição autorizada")),MAX($AC$1:$AC$427)+1,"")</f>
        <v/>
      </c>
      <c r="AD428" s="69" t="str">
        <f aca="false">IF(AND(B428&lt;&gt;"",OR(ISNUMBER(SEARCH("CTO",P428)),LEFT(O428,2)="22",LEFT(O428,2)="23",LEFT(O428,2)="24",LEFT(O428,2)="25",LEFT(O428,2)="26",LEFT(O428,2)="27")),MAX($AD$1:$AD$427)+1,"")</f>
        <v/>
      </c>
      <c r="AE428" s="69" t="str">
        <f aca="false">IF(AND(B428&lt;&gt;"",D428=CONSULTA_UNIDADE!$B$4),MAX($AE$1:$AE$427)+1,"")</f>
        <v/>
      </c>
      <c r="AF428" s="69" t="str">
        <f aca="false">IF(AND(B428&lt;&gt;"",O428&lt;&gt;"27 - Instalação concluída",O428&lt;&gt;"28 - Encerrado",ISNUMBER(S428)),S428*1000+(1000-ROW()),"")</f>
        <v/>
      </c>
      <c r="AG428" s="69" t="str">
        <f aca="false">IF(AF428="","",RANK(AF428,$AF$2:$AF$500))</f>
        <v/>
      </c>
    </row>
    <row r="429" customFormat="false" ht="16.5" hidden="false" customHeight="true" outlineLevel="0" collapsed="false">
      <c r="A429" s="86"/>
      <c r="B429" s="86"/>
      <c r="C429" s="87" t="str">
        <f aca="false">IF(D429="","",IFERROR(INDEX(CADASTRO_VIVO_3CRE!$B$2:$B$150,MATCH(D429,CADASTRO_VIVO_3CRE!$E$2:$E$150,0)),""))</f>
        <v/>
      </c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8"/>
      <c r="S429" s="89" t="str">
        <f aca="true">IF(R429="","",TODAY()-INT(R429))</f>
        <v/>
      </c>
      <c r="T429" s="86"/>
      <c r="U429" s="86"/>
      <c r="V429" s="86"/>
      <c r="W429" s="88"/>
      <c r="X429" s="89" t="str">
        <f aca="true">IF(W429="","",IF(OR(O429="28 - Encerrado",O429="27 - Instalação concluída"),"Concluído",TODAY()-INT(W429)))</f>
        <v/>
      </c>
      <c r="Y429" s="90" t="str">
        <f aca="false">IF(OR(O429="28 - Encerrado",O429="27 - Instalação concluída"),"OK",IF(AND(B429&lt;&gt;"",S429=""),"ATENÇÃO (Sem data de atualização)",IF(S429="","",IF(S429&gt;30,"CRÍTICO (Sem Atualização &gt;30 dias)",IF(S429&gt;15,"ATENÇÃO (Sem Atualização &gt;15 dias)",IF(X429&gt;90,"CRÍTICO (Aberto &gt;90 dias)","OK"))))))</f>
        <v/>
      </c>
      <c r="Z429" s="90" t="str">
        <f aca="false">IF(B429="","",IF(OR(O429="27 - Instalação concluída",O429="28 - Encerrado"),"OK",IF(NOT(ISNUMBER(X429)),"",IF(X429&gt;365,"MUITO ANTIGO (&gt;1 ano)",IF(X429&gt;180,"ANTIGO (&gt;6 meses)",IF(X429&gt;90,"ATENÇÃO ANTIG. (&gt;3 meses)","OK"))))))</f>
        <v/>
      </c>
      <c r="AA429" s="86"/>
      <c r="AB429" s="69" t="str">
        <f aca="false">IF(AND(B429&lt;&gt;"",OR(T429="Pendente de Vistoria",T429="Não validada")),MAX($AB$1:$AB$428)+1,"")</f>
        <v/>
      </c>
      <c r="AC429" s="69" t="str">
        <f aca="false">IF(AND(B429&lt;&gt;"",OR(ISNUMBER(SEARCH("CTIN",P429)),U429="Alta",O429="07 - Relatório recebido — unidade apta",O429="11 - Orçamentos em análise técnica",O429="22 - Instalação/substituição autorizada")),MAX($AC$1:$AC$428)+1,"")</f>
        <v/>
      </c>
      <c r="AD429" s="69" t="str">
        <f aca="false">IF(AND(B429&lt;&gt;"",OR(ISNUMBER(SEARCH("CTO",P429)),LEFT(O429,2)="22",LEFT(O429,2)="23",LEFT(O429,2)="24",LEFT(O429,2)="25",LEFT(O429,2)="26",LEFT(O429,2)="27")),MAX($AD$1:$AD$428)+1,"")</f>
        <v/>
      </c>
      <c r="AE429" s="69" t="str">
        <f aca="false">IF(AND(B429&lt;&gt;"",D429=CONSULTA_UNIDADE!$B$4),MAX($AE$1:$AE$428)+1,"")</f>
        <v/>
      </c>
      <c r="AF429" s="69" t="str">
        <f aca="false">IF(AND(B429&lt;&gt;"",O429&lt;&gt;"27 - Instalação concluída",O429&lt;&gt;"28 - Encerrado",ISNUMBER(S429)),S429*1000+(1000-ROW()),"")</f>
        <v/>
      </c>
      <c r="AG429" s="69" t="str">
        <f aca="false">IF(AF429="","",RANK(AF429,$AF$2:$AF$500))</f>
        <v/>
      </c>
    </row>
    <row r="430" customFormat="false" ht="16.5" hidden="false" customHeight="true" outlineLevel="0" collapsed="false">
      <c r="A430" s="86"/>
      <c r="B430" s="86"/>
      <c r="C430" s="87" t="str">
        <f aca="false">IF(D430="","",IFERROR(INDEX(CADASTRO_VIVO_3CRE!$B$2:$B$150,MATCH(D430,CADASTRO_VIVO_3CRE!$E$2:$E$150,0)),""))</f>
        <v/>
      </c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8"/>
      <c r="S430" s="89" t="str">
        <f aca="true">IF(R430="","",TODAY()-INT(R430))</f>
        <v/>
      </c>
      <c r="T430" s="86"/>
      <c r="U430" s="86"/>
      <c r="V430" s="86"/>
      <c r="W430" s="88"/>
      <c r="X430" s="89" t="str">
        <f aca="true">IF(W430="","",IF(OR(O430="28 - Encerrado",O430="27 - Instalação concluída"),"Concluído",TODAY()-INT(W430)))</f>
        <v/>
      </c>
      <c r="Y430" s="90" t="str">
        <f aca="false">IF(OR(O430="28 - Encerrado",O430="27 - Instalação concluída"),"OK",IF(AND(B430&lt;&gt;"",S430=""),"ATENÇÃO (Sem data de atualização)",IF(S430="","",IF(S430&gt;30,"CRÍTICO (Sem Atualização &gt;30 dias)",IF(S430&gt;15,"ATENÇÃO (Sem Atualização &gt;15 dias)",IF(X430&gt;90,"CRÍTICO (Aberto &gt;90 dias)","OK"))))))</f>
        <v/>
      </c>
      <c r="Z430" s="90" t="str">
        <f aca="false">IF(B430="","",IF(OR(O430="27 - Instalação concluída",O430="28 - Encerrado"),"OK",IF(NOT(ISNUMBER(X430)),"",IF(X430&gt;365,"MUITO ANTIGO (&gt;1 ano)",IF(X430&gt;180,"ANTIGO (&gt;6 meses)",IF(X430&gt;90,"ATENÇÃO ANTIG. (&gt;3 meses)","OK"))))))</f>
        <v/>
      </c>
      <c r="AA430" s="86"/>
      <c r="AB430" s="69" t="str">
        <f aca="false">IF(AND(B430&lt;&gt;"",OR(T430="Pendente de Vistoria",T430="Não validada")),MAX($AB$1:$AB$429)+1,"")</f>
        <v/>
      </c>
      <c r="AC430" s="69" t="str">
        <f aca="false">IF(AND(B430&lt;&gt;"",OR(ISNUMBER(SEARCH("CTIN",P430)),U430="Alta",O430="07 - Relatório recebido — unidade apta",O430="11 - Orçamentos em análise técnica",O430="22 - Instalação/substituição autorizada")),MAX($AC$1:$AC$429)+1,"")</f>
        <v/>
      </c>
      <c r="AD430" s="69" t="str">
        <f aca="false">IF(AND(B430&lt;&gt;"",OR(ISNUMBER(SEARCH("CTO",P430)),LEFT(O430,2)="22",LEFT(O430,2)="23",LEFT(O430,2)="24",LEFT(O430,2)="25",LEFT(O430,2)="26",LEFT(O430,2)="27")),MAX($AD$1:$AD$429)+1,"")</f>
        <v/>
      </c>
      <c r="AE430" s="69" t="str">
        <f aca="false">IF(AND(B430&lt;&gt;"",D430=CONSULTA_UNIDADE!$B$4),MAX($AE$1:$AE$429)+1,"")</f>
        <v/>
      </c>
      <c r="AF430" s="69" t="str">
        <f aca="false">IF(AND(B430&lt;&gt;"",O430&lt;&gt;"27 - Instalação concluída",O430&lt;&gt;"28 - Encerrado",ISNUMBER(S430)),S430*1000+(1000-ROW()),"")</f>
        <v/>
      </c>
      <c r="AG430" s="69" t="str">
        <f aca="false">IF(AF430="","",RANK(AF430,$AF$2:$AF$500))</f>
        <v/>
      </c>
    </row>
    <row r="431" customFormat="false" ht="16.5" hidden="false" customHeight="true" outlineLevel="0" collapsed="false">
      <c r="A431" s="86"/>
      <c r="B431" s="86"/>
      <c r="C431" s="87" t="str">
        <f aca="false">IF(D431="","",IFERROR(INDEX(CADASTRO_VIVO_3CRE!$B$2:$B$150,MATCH(D431,CADASTRO_VIVO_3CRE!$E$2:$E$150,0)),""))</f>
        <v/>
      </c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8"/>
      <c r="S431" s="89" t="str">
        <f aca="true">IF(R431="","",TODAY()-INT(R431))</f>
        <v/>
      </c>
      <c r="T431" s="86"/>
      <c r="U431" s="86"/>
      <c r="V431" s="86"/>
      <c r="W431" s="88"/>
      <c r="X431" s="89" t="str">
        <f aca="true">IF(W431="","",IF(OR(O431="28 - Encerrado",O431="27 - Instalação concluída"),"Concluído",TODAY()-INT(W431)))</f>
        <v/>
      </c>
      <c r="Y431" s="90" t="str">
        <f aca="false">IF(OR(O431="28 - Encerrado",O431="27 - Instalação concluída"),"OK",IF(AND(B431&lt;&gt;"",S431=""),"ATENÇÃO (Sem data de atualização)",IF(S431="","",IF(S431&gt;30,"CRÍTICO (Sem Atualização &gt;30 dias)",IF(S431&gt;15,"ATENÇÃO (Sem Atualização &gt;15 dias)",IF(X431&gt;90,"CRÍTICO (Aberto &gt;90 dias)","OK"))))))</f>
        <v/>
      </c>
      <c r="Z431" s="90" t="str">
        <f aca="false">IF(B431="","",IF(OR(O431="27 - Instalação concluída",O431="28 - Encerrado"),"OK",IF(NOT(ISNUMBER(X431)),"",IF(X431&gt;365,"MUITO ANTIGO (&gt;1 ano)",IF(X431&gt;180,"ANTIGO (&gt;6 meses)",IF(X431&gt;90,"ATENÇÃO ANTIG. (&gt;3 meses)","OK"))))))</f>
        <v/>
      </c>
      <c r="AA431" s="86"/>
      <c r="AB431" s="69" t="str">
        <f aca="false">IF(AND(B431&lt;&gt;"",OR(T431="Pendente de Vistoria",T431="Não validada")),MAX($AB$1:$AB$430)+1,"")</f>
        <v/>
      </c>
      <c r="AC431" s="69" t="str">
        <f aca="false">IF(AND(B431&lt;&gt;"",OR(ISNUMBER(SEARCH("CTIN",P431)),U431="Alta",O431="07 - Relatório recebido — unidade apta",O431="11 - Orçamentos em análise técnica",O431="22 - Instalação/substituição autorizada")),MAX($AC$1:$AC$430)+1,"")</f>
        <v/>
      </c>
      <c r="AD431" s="69" t="str">
        <f aca="false">IF(AND(B431&lt;&gt;"",OR(ISNUMBER(SEARCH("CTO",P431)),LEFT(O431,2)="22",LEFT(O431,2)="23",LEFT(O431,2)="24",LEFT(O431,2)="25",LEFT(O431,2)="26",LEFT(O431,2)="27")),MAX($AD$1:$AD$430)+1,"")</f>
        <v/>
      </c>
      <c r="AE431" s="69" t="str">
        <f aca="false">IF(AND(B431&lt;&gt;"",D431=CONSULTA_UNIDADE!$B$4),MAX($AE$1:$AE$430)+1,"")</f>
        <v/>
      </c>
      <c r="AF431" s="69" t="str">
        <f aca="false">IF(AND(B431&lt;&gt;"",O431&lt;&gt;"27 - Instalação concluída",O431&lt;&gt;"28 - Encerrado",ISNUMBER(S431)),S431*1000+(1000-ROW()),"")</f>
        <v/>
      </c>
      <c r="AG431" s="69" t="str">
        <f aca="false">IF(AF431="","",RANK(AF431,$AF$2:$AF$500))</f>
        <v/>
      </c>
    </row>
    <row r="432" customFormat="false" ht="16.5" hidden="false" customHeight="true" outlineLevel="0" collapsed="false">
      <c r="A432" s="86"/>
      <c r="B432" s="86"/>
      <c r="C432" s="87" t="str">
        <f aca="false">IF(D432="","",IFERROR(INDEX(CADASTRO_VIVO_3CRE!$B$2:$B$150,MATCH(D432,CADASTRO_VIVO_3CRE!$E$2:$E$150,0)),""))</f>
        <v/>
      </c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8"/>
      <c r="S432" s="89" t="str">
        <f aca="true">IF(R432="","",TODAY()-INT(R432))</f>
        <v/>
      </c>
      <c r="T432" s="86"/>
      <c r="U432" s="86"/>
      <c r="V432" s="86"/>
      <c r="W432" s="88"/>
      <c r="X432" s="89" t="str">
        <f aca="true">IF(W432="","",IF(OR(O432="28 - Encerrado",O432="27 - Instalação concluída"),"Concluído",TODAY()-INT(W432)))</f>
        <v/>
      </c>
      <c r="Y432" s="90" t="str">
        <f aca="false">IF(OR(O432="28 - Encerrado",O432="27 - Instalação concluída"),"OK",IF(AND(B432&lt;&gt;"",S432=""),"ATENÇÃO (Sem data de atualização)",IF(S432="","",IF(S432&gt;30,"CRÍTICO (Sem Atualização &gt;30 dias)",IF(S432&gt;15,"ATENÇÃO (Sem Atualização &gt;15 dias)",IF(X432&gt;90,"CRÍTICO (Aberto &gt;90 dias)","OK"))))))</f>
        <v/>
      </c>
      <c r="Z432" s="90" t="str">
        <f aca="false">IF(B432="","",IF(OR(O432="27 - Instalação concluída",O432="28 - Encerrado"),"OK",IF(NOT(ISNUMBER(X432)),"",IF(X432&gt;365,"MUITO ANTIGO (&gt;1 ano)",IF(X432&gt;180,"ANTIGO (&gt;6 meses)",IF(X432&gt;90,"ATENÇÃO ANTIG. (&gt;3 meses)","OK"))))))</f>
        <v/>
      </c>
      <c r="AA432" s="86"/>
      <c r="AB432" s="69" t="str">
        <f aca="false">IF(AND(B432&lt;&gt;"",OR(T432="Pendente de Vistoria",T432="Não validada")),MAX($AB$1:$AB$431)+1,"")</f>
        <v/>
      </c>
      <c r="AC432" s="69" t="str">
        <f aca="false">IF(AND(B432&lt;&gt;"",OR(ISNUMBER(SEARCH("CTIN",P432)),U432="Alta",O432="07 - Relatório recebido — unidade apta",O432="11 - Orçamentos em análise técnica",O432="22 - Instalação/substituição autorizada")),MAX($AC$1:$AC$431)+1,"")</f>
        <v/>
      </c>
      <c r="AD432" s="69" t="str">
        <f aca="false">IF(AND(B432&lt;&gt;"",OR(ISNUMBER(SEARCH("CTO",P432)),LEFT(O432,2)="22",LEFT(O432,2)="23",LEFT(O432,2)="24",LEFT(O432,2)="25",LEFT(O432,2)="26",LEFT(O432,2)="27")),MAX($AD$1:$AD$431)+1,"")</f>
        <v/>
      </c>
      <c r="AE432" s="69" t="str">
        <f aca="false">IF(AND(B432&lt;&gt;"",D432=CONSULTA_UNIDADE!$B$4),MAX($AE$1:$AE$431)+1,"")</f>
        <v/>
      </c>
      <c r="AF432" s="69" t="str">
        <f aca="false">IF(AND(B432&lt;&gt;"",O432&lt;&gt;"27 - Instalação concluída",O432&lt;&gt;"28 - Encerrado",ISNUMBER(S432)),S432*1000+(1000-ROW()),"")</f>
        <v/>
      </c>
      <c r="AG432" s="69" t="str">
        <f aca="false">IF(AF432="","",RANK(AF432,$AF$2:$AF$500))</f>
        <v/>
      </c>
    </row>
    <row r="433" customFormat="false" ht="16.5" hidden="false" customHeight="true" outlineLevel="0" collapsed="false">
      <c r="A433" s="86"/>
      <c r="B433" s="86"/>
      <c r="C433" s="87" t="str">
        <f aca="false">IF(D433="","",IFERROR(INDEX(CADASTRO_VIVO_3CRE!$B$2:$B$150,MATCH(D433,CADASTRO_VIVO_3CRE!$E$2:$E$150,0)),""))</f>
        <v/>
      </c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8"/>
      <c r="S433" s="89" t="str">
        <f aca="true">IF(R433="","",TODAY()-INT(R433))</f>
        <v/>
      </c>
      <c r="T433" s="86"/>
      <c r="U433" s="86"/>
      <c r="V433" s="86"/>
      <c r="W433" s="88"/>
      <c r="X433" s="89" t="str">
        <f aca="true">IF(W433="","",IF(OR(O433="28 - Encerrado",O433="27 - Instalação concluída"),"Concluído",TODAY()-INT(W433)))</f>
        <v/>
      </c>
      <c r="Y433" s="90" t="str">
        <f aca="false">IF(OR(O433="28 - Encerrado",O433="27 - Instalação concluída"),"OK",IF(AND(B433&lt;&gt;"",S433=""),"ATENÇÃO (Sem data de atualização)",IF(S433="","",IF(S433&gt;30,"CRÍTICO (Sem Atualização &gt;30 dias)",IF(S433&gt;15,"ATENÇÃO (Sem Atualização &gt;15 dias)",IF(X433&gt;90,"CRÍTICO (Aberto &gt;90 dias)","OK"))))))</f>
        <v/>
      </c>
      <c r="Z433" s="90" t="str">
        <f aca="false">IF(B433="","",IF(OR(O433="27 - Instalação concluída",O433="28 - Encerrado"),"OK",IF(NOT(ISNUMBER(X433)),"",IF(X433&gt;365,"MUITO ANTIGO (&gt;1 ano)",IF(X433&gt;180,"ANTIGO (&gt;6 meses)",IF(X433&gt;90,"ATENÇÃO ANTIG. (&gt;3 meses)","OK"))))))</f>
        <v/>
      </c>
      <c r="AA433" s="86"/>
      <c r="AB433" s="69" t="str">
        <f aca="false">IF(AND(B433&lt;&gt;"",OR(T433="Pendente de Vistoria",T433="Não validada")),MAX($AB$1:$AB$432)+1,"")</f>
        <v/>
      </c>
      <c r="AC433" s="69" t="str">
        <f aca="false">IF(AND(B433&lt;&gt;"",OR(ISNUMBER(SEARCH("CTIN",P433)),U433="Alta",O433="07 - Relatório recebido — unidade apta",O433="11 - Orçamentos em análise técnica",O433="22 - Instalação/substituição autorizada")),MAX($AC$1:$AC$432)+1,"")</f>
        <v/>
      </c>
      <c r="AD433" s="69" t="str">
        <f aca="false">IF(AND(B433&lt;&gt;"",OR(ISNUMBER(SEARCH("CTO",P433)),LEFT(O433,2)="22",LEFT(O433,2)="23",LEFT(O433,2)="24",LEFT(O433,2)="25",LEFT(O433,2)="26",LEFT(O433,2)="27")),MAX($AD$1:$AD$432)+1,"")</f>
        <v/>
      </c>
      <c r="AE433" s="69" t="str">
        <f aca="false">IF(AND(B433&lt;&gt;"",D433=CONSULTA_UNIDADE!$B$4),MAX($AE$1:$AE$432)+1,"")</f>
        <v/>
      </c>
      <c r="AF433" s="69" t="str">
        <f aca="false">IF(AND(B433&lt;&gt;"",O433&lt;&gt;"27 - Instalação concluída",O433&lt;&gt;"28 - Encerrado",ISNUMBER(S433)),S433*1000+(1000-ROW()),"")</f>
        <v/>
      </c>
      <c r="AG433" s="69" t="str">
        <f aca="false">IF(AF433="","",RANK(AF433,$AF$2:$AF$500))</f>
        <v/>
      </c>
    </row>
    <row r="434" customFormat="false" ht="16.5" hidden="false" customHeight="true" outlineLevel="0" collapsed="false">
      <c r="A434" s="86"/>
      <c r="B434" s="86"/>
      <c r="C434" s="87" t="str">
        <f aca="false">IF(D434="","",IFERROR(INDEX(CADASTRO_VIVO_3CRE!$B$2:$B$150,MATCH(D434,CADASTRO_VIVO_3CRE!$E$2:$E$150,0)),""))</f>
        <v/>
      </c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8"/>
      <c r="S434" s="89" t="str">
        <f aca="true">IF(R434="","",TODAY()-INT(R434))</f>
        <v/>
      </c>
      <c r="T434" s="86"/>
      <c r="U434" s="86"/>
      <c r="V434" s="86"/>
      <c r="W434" s="88"/>
      <c r="X434" s="89" t="str">
        <f aca="true">IF(W434="","",IF(OR(O434="28 - Encerrado",O434="27 - Instalação concluída"),"Concluído",TODAY()-INT(W434)))</f>
        <v/>
      </c>
      <c r="Y434" s="90" t="str">
        <f aca="false">IF(OR(O434="28 - Encerrado",O434="27 - Instalação concluída"),"OK",IF(AND(B434&lt;&gt;"",S434=""),"ATENÇÃO (Sem data de atualização)",IF(S434="","",IF(S434&gt;30,"CRÍTICO (Sem Atualização &gt;30 dias)",IF(S434&gt;15,"ATENÇÃO (Sem Atualização &gt;15 dias)",IF(X434&gt;90,"CRÍTICO (Aberto &gt;90 dias)","OK"))))))</f>
        <v/>
      </c>
      <c r="Z434" s="90" t="str">
        <f aca="false">IF(B434="","",IF(OR(O434="27 - Instalação concluída",O434="28 - Encerrado"),"OK",IF(NOT(ISNUMBER(X434)),"",IF(X434&gt;365,"MUITO ANTIGO (&gt;1 ano)",IF(X434&gt;180,"ANTIGO (&gt;6 meses)",IF(X434&gt;90,"ATENÇÃO ANTIG. (&gt;3 meses)","OK"))))))</f>
        <v/>
      </c>
      <c r="AA434" s="86"/>
      <c r="AB434" s="69" t="str">
        <f aca="false">IF(AND(B434&lt;&gt;"",OR(T434="Pendente de Vistoria",T434="Não validada")),MAX($AB$1:$AB$433)+1,"")</f>
        <v/>
      </c>
      <c r="AC434" s="69" t="str">
        <f aca="false">IF(AND(B434&lt;&gt;"",OR(ISNUMBER(SEARCH("CTIN",P434)),U434="Alta",O434="07 - Relatório recebido — unidade apta",O434="11 - Orçamentos em análise técnica",O434="22 - Instalação/substituição autorizada")),MAX($AC$1:$AC$433)+1,"")</f>
        <v/>
      </c>
      <c r="AD434" s="69" t="str">
        <f aca="false">IF(AND(B434&lt;&gt;"",OR(ISNUMBER(SEARCH("CTO",P434)),LEFT(O434,2)="22",LEFT(O434,2)="23",LEFT(O434,2)="24",LEFT(O434,2)="25",LEFT(O434,2)="26",LEFT(O434,2)="27")),MAX($AD$1:$AD$433)+1,"")</f>
        <v/>
      </c>
      <c r="AE434" s="69" t="str">
        <f aca="false">IF(AND(B434&lt;&gt;"",D434=CONSULTA_UNIDADE!$B$4),MAX($AE$1:$AE$433)+1,"")</f>
        <v/>
      </c>
      <c r="AF434" s="69" t="str">
        <f aca="false">IF(AND(B434&lt;&gt;"",O434&lt;&gt;"27 - Instalação concluída",O434&lt;&gt;"28 - Encerrado",ISNUMBER(S434)),S434*1000+(1000-ROW()),"")</f>
        <v/>
      </c>
      <c r="AG434" s="69" t="str">
        <f aca="false">IF(AF434="","",RANK(AF434,$AF$2:$AF$500))</f>
        <v/>
      </c>
    </row>
    <row r="435" customFormat="false" ht="16.5" hidden="false" customHeight="true" outlineLevel="0" collapsed="false">
      <c r="A435" s="86"/>
      <c r="B435" s="86"/>
      <c r="C435" s="87" t="str">
        <f aca="false">IF(D435="","",IFERROR(INDEX(CADASTRO_VIVO_3CRE!$B$2:$B$150,MATCH(D435,CADASTRO_VIVO_3CRE!$E$2:$E$150,0)),""))</f>
        <v/>
      </c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8"/>
      <c r="S435" s="89" t="str">
        <f aca="true">IF(R435="","",TODAY()-INT(R435))</f>
        <v/>
      </c>
      <c r="T435" s="86"/>
      <c r="U435" s="86"/>
      <c r="V435" s="86"/>
      <c r="W435" s="88"/>
      <c r="X435" s="89" t="str">
        <f aca="true">IF(W435="","",IF(OR(O435="28 - Encerrado",O435="27 - Instalação concluída"),"Concluído",TODAY()-INT(W435)))</f>
        <v/>
      </c>
      <c r="Y435" s="90" t="str">
        <f aca="false">IF(OR(O435="28 - Encerrado",O435="27 - Instalação concluída"),"OK",IF(AND(B435&lt;&gt;"",S435=""),"ATENÇÃO (Sem data de atualização)",IF(S435="","",IF(S435&gt;30,"CRÍTICO (Sem Atualização &gt;30 dias)",IF(S435&gt;15,"ATENÇÃO (Sem Atualização &gt;15 dias)",IF(X435&gt;90,"CRÍTICO (Aberto &gt;90 dias)","OK"))))))</f>
        <v/>
      </c>
      <c r="Z435" s="90" t="str">
        <f aca="false">IF(B435="","",IF(OR(O435="27 - Instalação concluída",O435="28 - Encerrado"),"OK",IF(NOT(ISNUMBER(X435)),"",IF(X435&gt;365,"MUITO ANTIGO (&gt;1 ano)",IF(X435&gt;180,"ANTIGO (&gt;6 meses)",IF(X435&gt;90,"ATENÇÃO ANTIG. (&gt;3 meses)","OK"))))))</f>
        <v/>
      </c>
      <c r="AA435" s="86"/>
      <c r="AB435" s="69" t="str">
        <f aca="false">IF(AND(B435&lt;&gt;"",OR(T435="Pendente de Vistoria",T435="Não validada")),MAX($AB$1:$AB$434)+1,"")</f>
        <v/>
      </c>
      <c r="AC435" s="69" t="str">
        <f aca="false">IF(AND(B435&lt;&gt;"",OR(ISNUMBER(SEARCH("CTIN",P435)),U435="Alta",O435="07 - Relatório recebido — unidade apta",O435="11 - Orçamentos em análise técnica",O435="22 - Instalação/substituição autorizada")),MAX($AC$1:$AC$434)+1,"")</f>
        <v/>
      </c>
      <c r="AD435" s="69" t="str">
        <f aca="false">IF(AND(B435&lt;&gt;"",OR(ISNUMBER(SEARCH("CTO",P435)),LEFT(O435,2)="22",LEFT(O435,2)="23",LEFT(O435,2)="24",LEFT(O435,2)="25",LEFT(O435,2)="26",LEFT(O435,2)="27")),MAX($AD$1:$AD$434)+1,"")</f>
        <v/>
      </c>
      <c r="AE435" s="69" t="str">
        <f aca="false">IF(AND(B435&lt;&gt;"",D435=CONSULTA_UNIDADE!$B$4),MAX($AE$1:$AE$434)+1,"")</f>
        <v/>
      </c>
      <c r="AF435" s="69" t="str">
        <f aca="false">IF(AND(B435&lt;&gt;"",O435&lt;&gt;"27 - Instalação concluída",O435&lt;&gt;"28 - Encerrado",ISNUMBER(S435)),S435*1000+(1000-ROW()),"")</f>
        <v/>
      </c>
      <c r="AG435" s="69" t="str">
        <f aca="false">IF(AF435="","",RANK(AF435,$AF$2:$AF$500))</f>
        <v/>
      </c>
    </row>
    <row r="436" customFormat="false" ht="16.5" hidden="false" customHeight="true" outlineLevel="0" collapsed="false">
      <c r="A436" s="86"/>
      <c r="B436" s="86"/>
      <c r="C436" s="87" t="str">
        <f aca="false">IF(D436="","",IFERROR(INDEX(CADASTRO_VIVO_3CRE!$B$2:$B$150,MATCH(D436,CADASTRO_VIVO_3CRE!$E$2:$E$150,0)),""))</f>
        <v/>
      </c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8"/>
      <c r="S436" s="89" t="str">
        <f aca="true">IF(R436="","",TODAY()-INT(R436))</f>
        <v/>
      </c>
      <c r="T436" s="86"/>
      <c r="U436" s="86"/>
      <c r="V436" s="86"/>
      <c r="W436" s="88"/>
      <c r="X436" s="89" t="str">
        <f aca="true">IF(W436="","",IF(OR(O436="28 - Encerrado",O436="27 - Instalação concluída"),"Concluído",TODAY()-INT(W436)))</f>
        <v/>
      </c>
      <c r="Y436" s="90" t="str">
        <f aca="false">IF(OR(O436="28 - Encerrado",O436="27 - Instalação concluída"),"OK",IF(AND(B436&lt;&gt;"",S436=""),"ATENÇÃO (Sem data de atualização)",IF(S436="","",IF(S436&gt;30,"CRÍTICO (Sem Atualização &gt;30 dias)",IF(S436&gt;15,"ATENÇÃO (Sem Atualização &gt;15 dias)",IF(X436&gt;90,"CRÍTICO (Aberto &gt;90 dias)","OK"))))))</f>
        <v/>
      </c>
      <c r="Z436" s="90" t="str">
        <f aca="false">IF(B436="","",IF(OR(O436="27 - Instalação concluída",O436="28 - Encerrado"),"OK",IF(NOT(ISNUMBER(X436)),"",IF(X436&gt;365,"MUITO ANTIGO (&gt;1 ano)",IF(X436&gt;180,"ANTIGO (&gt;6 meses)",IF(X436&gt;90,"ATENÇÃO ANTIG. (&gt;3 meses)","OK"))))))</f>
        <v/>
      </c>
      <c r="AA436" s="86"/>
      <c r="AB436" s="69" t="str">
        <f aca="false">IF(AND(B436&lt;&gt;"",OR(T436="Pendente de Vistoria",T436="Não validada")),MAX($AB$1:$AB$435)+1,"")</f>
        <v/>
      </c>
      <c r="AC436" s="69" t="str">
        <f aca="false">IF(AND(B436&lt;&gt;"",OR(ISNUMBER(SEARCH("CTIN",P436)),U436="Alta",O436="07 - Relatório recebido — unidade apta",O436="11 - Orçamentos em análise técnica",O436="22 - Instalação/substituição autorizada")),MAX($AC$1:$AC$435)+1,"")</f>
        <v/>
      </c>
      <c r="AD436" s="69" t="str">
        <f aca="false">IF(AND(B436&lt;&gt;"",OR(ISNUMBER(SEARCH("CTO",P436)),LEFT(O436,2)="22",LEFT(O436,2)="23",LEFT(O436,2)="24",LEFT(O436,2)="25",LEFT(O436,2)="26",LEFT(O436,2)="27")),MAX($AD$1:$AD$435)+1,"")</f>
        <v/>
      </c>
      <c r="AE436" s="69" t="str">
        <f aca="false">IF(AND(B436&lt;&gt;"",D436=CONSULTA_UNIDADE!$B$4),MAX($AE$1:$AE$435)+1,"")</f>
        <v/>
      </c>
      <c r="AF436" s="69" t="str">
        <f aca="false">IF(AND(B436&lt;&gt;"",O436&lt;&gt;"27 - Instalação concluída",O436&lt;&gt;"28 - Encerrado",ISNUMBER(S436)),S436*1000+(1000-ROW()),"")</f>
        <v/>
      </c>
      <c r="AG436" s="69" t="str">
        <f aca="false">IF(AF436="","",RANK(AF436,$AF$2:$AF$500))</f>
        <v/>
      </c>
    </row>
    <row r="437" customFormat="false" ht="16.5" hidden="false" customHeight="true" outlineLevel="0" collapsed="false">
      <c r="A437" s="86"/>
      <c r="B437" s="86"/>
      <c r="C437" s="87" t="str">
        <f aca="false">IF(D437="","",IFERROR(INDEX(CADASTRO_VIVO_3CRE!$B$2:$B$150,MATCH(D437,CADASTRO_VIVO_3CRE!$E$2:$E$150,0)),""))</f>
        <v/>
      </c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8"/>
      <c r="S437" s="89" t="str">
        <f aca="true">IF(R437="","",TODAY()-INT(R437))</f>
        <v/>
      </c>
      <c r="T437" s="86"/>
      <c r="U437" s="86"/>
      <c r="V437" s="86"/>
      <c r="W437" s="88"/>
      <c r="X437" s="89" t="str">
        <f aca="true">IF(W437="","",IF(OR(O437="28 - Encerrado",O437="27 - Instalação concluída"),"Concluído",TODAY()-INT(W437)))</f>
        <v/>
      </c>
      <c r="Y437" s="90" t="str">
        <f aca="false">IF(OR(O437="28 - Encerrado",O437="27 - Instalação concluída"),"OK",IF(AND(B437&lt;&gt;"",S437=""),"ATENÇÃO (Sem data de atualização)",IF(S437="","",IF(S437&gt;30,"CRÍTICO (Sem Atualização &gt;30 dias)",IF(S437&gt;15,"ATENÇÃO (Sem Atualização &gt;15 dias)",IF(X437&gt;90,"CRÍTICO (Aberto &gt;90 dias)","OK"))))))</f>
        <v/>
      </c>
      <c r="Z437" s="90" t="str">
        <f aca="false">IF(B437="","",IF(OR(O437="27 - Instalação concluída",O437="28 - Encerrado"),"OK",IF(NOT(ISNUMBER(X437)),"",IF(X437&gt;365,"MUITO ANTIGO (&gt;1 ano)",IF(X437&gt;180,"ANTIGO (&gt;6 meses)",IF(X437&gt;90,"ATENÇÃO ANTIG. (&gt;3 meses)","OK"))))))</f>
        <v/>
      </c>
      <c r="AA437" s="86"/>
      <c r="AB437" s="69" t="str">
        <f aca="false">IF(AND(B437&lt;&gt;"",OR(T437="Pendente de Vistoria",T437="Não validada")),MAX($AB$1:$AB$436)+1,"")</f>
        <v/>
      </c>
      <c r="AC437" s="69" t="str">
        <f aca="false">IF(AND(B437&lt;&gt;"",OR(ISNUMBER(SEARCH("CTIN",P437)),U437="Alta",O437="07 - Relatório recebido — unidade apta",O437="11 - Orçamentos em análise técnica",O437="22 - Instalação/substituição autorizada")),MAX($AC$1:$AC$436)+1,"")</f>
        <v/>
      </c>
      <c r="AD437" s="69" t="str">
        <f aca="false">IF(AND(B437&lt;&gt;"",OR(ISNUMBER(SEARCH("CTO",P437)),LEFT(O437,2)="22",LEFT(O437,2)="23",LEFT(O437,2)="24",LEFT(O437,2)="25",LEFT(O437,2)="26",LEFT(O437,2)="27")),MAX($AD$1:$AD$436)+1,"")</f>
        <v/>
      </c>
      <c r="AE437" s="69" t="str">
        <f aca="false">IF(AND(B437&lt;&gt;"",D437=CONSULTA_UNIDADE!$B$4),MAX($AE$1:$AE$436)+1,"")</f>
        <v/>
      </c>
      <c r="AF437" s="69" t="str">
        <f aca="false">IF(AND(B437&lt;&gt;"",O437&lt;&gt;"27 - Instalação concluída",O437&lt;&gt;"28 - Encerrado",ISNUMBER(S437)),S437*1000+(1000-ROW()),"")</f>
        <v/>
      </c>
      <c r="AG437" s="69" t="str">
        <f aca="false">IF(AF437="","",RANK(AF437,$AF$2:$AF$500))</f>
        <v/>
      </c>
    </row>
    <row r="438" customFormat="false" ht="16.5" hidden="false" customHeight="true" outlineLevel="0" collapsed="false">
      <c r="A438" s="86"/>
      <c r="B438" s="86"/>
      <c r="C438" s="87" t="str">
        <f aca="false">IF(D438="","",IFERROR(INDEX(CADASTRO_VIVO_3CRE!$B$2:$B$150,MATCH(D438,CADASTRO_VIVO_3CRE!$E$2:$E$150,0)),""))</f>
        <v/>
      </c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8"/>
      <c r="S438" s="89" t="str">
        <f aca="true">IF(R438="","",TODAY()-INT(R438))</f>
        <v/>
      </c>
      <c r="T438" s="86"/>
      <c r="U438" s="86"/>
      <c r="V438" s="86"/>
      <c r="W438" s="88"/>
      <c r="X438" s="89" t="str">
        <f aca="true">IF(W438="","",IF(OR(O438="28 - Encerrado",O438="27 - Instalação concluída"),"Concluído",TODAY()-INT(W438)))</f>
        <v/>
      </c>
      <c r="Y438" s="90" t="str">
        <f aca="false">IF(OR(O438="28 - Encerrado",O438="27 - Instalação concluída"),"OK",IF(AND(B438&lt;&gt;"",S438=""),"ATENÇÃO (Sem data de atualização)",IF(S438="","",IF(S438&gt;30,"CRÍTICO (Sem Atualização &gt;30 dias)",IF(S438&gt;15,"ATENÇÃO (Sem Atualização &gt;15 dias)",IF(X438&gt;90,"CRÍTICO (Aberto &gt;90 dias)","OK"))))))</f>
        <v/>
      </c>
      <c r="Z438" s="90" t="str">
        <f aca="false">IF(B438="","",IF(OR(O438="27 - Instalação concluída",O438="28 - Encerrado"),"OK",IF(NOT(ISNUMBER(X438)),"",IF(X438&gt;365,"MUITO ANTIGO (&gt;1 ano)",IF(X438&gt;180,"ANTIGO (&gt;6 meses)",IF(X438&gt;90,"ATENÇÃO ANTIG. (&gt;3 meses)","OK"))))))</f>
        <v/>
      </c>
      <c r="AA438" s="86"/>
      <c r="AB438" s="69" t="str">
        <f aca="false">IF(AND(B438&lt;&gt;"",OR(T438="Pendente de Vistoria",T438="Não validada")),MAX($AB$1:$AB$437)+1,"")</f>
        <v/>
      </c>
      <c r="AC438" s="69" t="str">
        <f aca="false">IF(AND(B438&lt;&gt;"",OR(ISNUMBER(SEARCH("CTIN",P438)),U438="Alta",O438="07 - Relatório recebido — unidade apta",O438="11 - Orçamentos em análise técnica",O438="22 - Instalação/substituição autorizada")),MAX($AC$1:$AC$437)+1,"")</f>
        <v/>
      </c>
      <c r="AD438" s="69" t="str">
        <f aca="false">IF(AND(B438&lt;&gt;"",OR(ISNUMBER(SEARCH("CTO",P438)),LEFT(O438,2)="22",LEFT(O438,2)="23",LEFT(O438,2)="24",LEFT(O438,2)="25",LEFT(O438,2)="26",LEFT(O438,2)="27")),MAX($AD$1:$AD$437)+1,"")</f>
        <v/>
      </c>
      <c r="AE438" s="69" t="str">
        <f aca="false">IF(AND(B438&lt;&gt;"",D438=CONSULTA_UNIDADE!$B$4),MAX($AE$1:$AE$437)+1,"")</f>
        <v/>
      </c>
      <c r="AF438" s="69" t="str">
        <f aca="false">IF(AND(B438&lt;&gt;"",O438&lt;&gt;"27 - Instalação concluída",O438&lt;&gt;"28 - Encerrado",ISNUMBER(S438)),S438*1000+(1000-ROW()),"")</f>
        <v/>
      </c>
      <c r="AG438" s="69" t="str">
        <f aca="false">IF(AF438="","",RANK(AF438,$AF$2:$AF$500))</f>
        <v/>
      </c>
    </row>
    <row r="439" customFormat="false" ht="16.5" hidden="false" customHeight="true" outlineLevel="0" collapsed="false">
      <c r="A439" s="86"/>
      <c r="B439" s="86"/>
      <c r="C439" s="87" t="str">
        <f aca="false">IF(D439="","",IFERROR(INDEX(CADASTRO_VIVO_3CRE!$B$2:$B$150,MATCH(D439,CADASTRO_VIVO_3CRE!$E$2:$E$150,0)),""))</f>
        <v/>
      </c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8"/>
      <c r="S439" s="89" t="str">
        <f aca="true">IF(R439="","",TODAY()-INT(R439))</f>
        <v/>
      </c>
      <c r="T439" s="86"/>
      <c r="U439" s="86"/>
      <c r="V439" s="86"/>
      <c r="W439" s="88"/>
      <c r="X439" s="89" t="str">
        <f aca="true">IF(W439="","",IF(OR(O439="28 - Encerrado",O439="27 - Instalação concluída"),"Concluído",TODAY()-INT(W439)))</f>
        <v/>
      </c>
      <c r="Y439" s="90" t="str">
        <f aca="false">IF(OR(O439="28 - Encerrado",O439="27 - Instalação concluída"),"OK",IF(AND(B439&lt;&gt;"",S439=""),"ATENÇÃO (Sem data de atualização)",IF(S439="","",IF(S439&gt;30,"CRÍTICO (Sem Atualização &gt;30 dias)",IF(S439&gt;15,"ATENÇÃO (Sem Atualização &gt;15 dias)",IF(X439&gt;90,"CRÍTICO (Aberto &gt;90 dias)","OK"))))))</f>
        <v/>
      </c>
      <c r="Z439" s="90" t="str">
        <f aca="false">IF(B439="","",IF(OR(O439="27 - Instalação concluída",O439="28 - Encerrado"),"OK",IF(NOT(ISNUMBER(X439)),"",IF(X439&gt;365,"MUITO ANTIGO (&gt;1 ano)",IF(X439&gt;180,"ANTIGO (&gt;6 meses)",IF(X439&gt;90,"ATENÇÃO ANTIG. (&gt;3 meses)","OK"))))))</f>
        <v/>
      </c>
      <c r="AA439" s="86"/>
      <c r="AB439" s="69" t="str">
        <f aca="false">IF(AND(B439&lt;&gt;"",OR(T439="Pendente de Vistoria",T439="Não validada")),MAX($AB$1:$AB$438)+1,"")</f>
        <v/>
      </c>
      <c r="AC439" s="69" t="str">
        <f aca="false">IF(AND(B439&lt;&gt;"",OR(ISNUMBER(SEARCH("CTIN",P439)),U439="Alta",O439="07 - Relatório recebido — unidade apta",O439="11 - Orçamentos em análise técnica",O439="22 - Instalação/substituição autorizada")),MAX($AC$1:$AC$438)+1,"")</f>
        <v/>
      </c>
      <c r="AD439" s="69" t="str">
        <f aca="false">IF(AND(B439&lt;&gt;"",OR(ISNUMBER(SEARCH("CTO",P439)),LEFT(O439,2)="22",LEFT(O439,2)="23",LEFT(O439,2)="24",LEFT(O439,2)="25",LEFT(O439,2)="26",LEFT(O439,2)="27")),MAX($AD$1:$AD$438)+1,"")</f>
        <v/>
      </c>
      <c r="AE439" s="69" t="str">
        <f aca="false">IF(AND(B439&lt;&gt;"",D439=CONSULTA_UNIDADE!$B$4),MAX($AE$1:$AE$438)+1,"")</f>
        <v/>
      </c>
      <c r="AF439" s="69" t="str">
        <f aca="false">IF(AND(B439&lt;&gt;"",O439&lt;&gt;"27 - Instalação concluída",O439&lt;&gt;"28 - Encerrado",ISNUMBER(S439)),S439*1000+(1000-ROW()),"")</f>
        <v/>
      </c>
      <c r="AG439" s="69" t="str">
        <f aca="false">IF(AF439="","",RANK(AF439,$AF$2:$AF$500))</f>
        <v/>
      </c>
    </row>
    <row r="440" customFormat="false" ht="16.5" hidden="false" customHeight="true" outlineLevel="0" collapsed="false">
      <c r="A440" s="86"/>
      <c r="B440" s="86"/>
      <c r="C440" s="87" t="str">
        <f aca="false">IF(D440="","",IFERROR(INDEX(CADASTRO_VIVO_3CRE!$B$2:$B$150,MATCH(D440,CADASTRO_VIVO_3CRE!$E$2:$E$150,0)),""))</f>
        <v/>
      </c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8"/>
      <c r="S440" s="89" t="str">
        <f aca="true">IF(R440="","",TODAY()-INT(R440))</f>
        <v/>
      </c>
      <c r="T440" s="86"/>
      <c r="U440" s="86"/>
      <c r="V440" s="86"/>
      <c r="W440" s="88"/>
      <c r="X440" s="89" t="str">
        <f aca="true">IF(W440="","",IF(OR(O440="28 - Encerrado",O440="27 - Instalação concluída"),"Concluído",TODAY()-INT(W440)))</f>
        <v/>
      </c>
      <c r="Y440" s="90" t="str">
        <f aca="false">IF(OR(O440="28 - Encerrado",O440="27 - Instalação concluída"),"OK",IF(AND(B440&lt;&gt;"",S440=""),"ATENÇÃO (Sem data de atualização)",IF(S440="","",IF(S440&gt;30,"CRÍTICO (Sem Atualização &gt;30 dias)",IF(S440&gt;15,"ATENÇÃO (Sem Atualização &gt;15 dias)",IF(X440&gt;90,"CRÍTICO (Aberto &gt;90 dias)","OK"))))))</f>
        <v/>
      </c>
      <c r="Z440" s="90" t="str">
        <f aca="false">IF(B440="","",IF(OR(O440="27 - Instalação concluída",O440="28 - Encerrado"),"OK",IF(NOT(ISNUMBER(X440)),"",IF(X440&gt;365,"MUITO ANTIGO (&gt;1 ano)",IF(X440&gt;180,"ANTIGO (&gt;6 meses)",IF(X440&gt;90,"ATENÇÃO ANTIG. (&gt;3 meses)","OK"))))))</f>
        <v/>
      </c>
      <c r="AA440" s="86"/>
      <c r="AB440" s="69" t="str">
        <f aca="false">IF(AND(B440&lt;&gt;"",OR(T440="Pendente de Vistoria",T440="Não validada")),MAX($AB$1:$AB$439)+1,"")</f>
        <v/>
      </c>
      <c r="AC440" s="69" t="str">
        <f aca="false">IF(AND(B440&lt;&gt;"",OR(ISNUMBER(SEARCH("CTIN",P440)),U440="Alta",O440="07 - Relatório recebido — unidade apta",O440="11 - Orçamentos em análise técnica",O440="22 - Instalação/substituição autorizada")),MAX($AC$1:$AC$439)+1,"")</f>
        <v/>
      </c>
      <c r="AD440" s="69" t="str">
        <f aca="false">IF(AND(B440&lt;&gt;"",OR(ISNUMBER(SEARCH("CTO",P440)),LEFT(O440,2)="22",LEFT(O440,2)="23",LEFT(O440,2)="24",LEFT(O440,2)="25",LEFT(O440,2)="26",LEFT(O440,2)="27")),MAX($AD$1:$AD$439)+1,"")</f>
        <v/>
      </c>
      <c r="AE440" s="69" t="str">
        <f aca="false">IF(AND(B440&lt;&gt;"",D440=CONSULTA_UNIDADE!$B$4),MAX($AE$1:$AE$439)+1,"")</f>
        <v/>
      </c>
      <c r="AF440" s="69" t="str">
        <f aca="false">IF(AND(B440&lt;&gt;"",O440&lt;&gt;"27 - Instalação concluída",O440&lt;&gt;"28 - Encerrado",ISNUMBER(S440)),S440*1000+(1000-ROW()),"")</f>
        <v/>
      </c>
      <c r="AG440" s="69" t="str">
        <f aca="false">IF(AF440="","",RANK(AF440,$AF$2:$AF$500))</f>
        <v/>
      </c>
    </row>
    <row r="441" customFormat="false" ht="16.5" hidden="false" customHeight="true" outlineLevel="0" collapsed="false">
      <c r="A441" s="86"/>
      <c r="B441" s="86"/>
      <c r="C441" s="87" t="str">
        <f aca="false">IF(D441="","",IFERROR(INDEX(CADASTRO_VIVO_3CRE!$B$2:$B$150,MATCH(D441,CADASTRO_VIVO_3CRE!$E$2:$E$150,0)),""))</f>
        <v/>
      </c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8"/>
      <c r="S441" s="89" t="str">
        <f aca="true">IF(R441="","",TODAY()-INT(R441))</f>
        <v/>
      </c>
      <c r="T441" s="86"/>
      <c r="U441" s="86"/>
      <c r="V441" s="86"/>
      <c r="W441" s="88"/>
      <c r="X441" s="89" t="str">
        <f aca="true">IF(W441="","",IF(OR(O441="28 - Encerrado",O441="27 - Instalação concluída"),"Concluído",TODAY()-INT(W441)))</f>
        <v/>
      </c>
      <c r="Y441" s="90" t="str">
        <f aca="false">IF(OR(O441="28 - Encerrado",O441="27 - Instalação concluída"),"OK",IF(AND(B441&lt;&gt;"",S441=""),"ATENÇÃO (Sem data de atualização)",IF(S441="","",IF(S441&gt;30,"CRÍTICO (Sem Atualização &gt;30 dias)",IF(S441&gt;15,"ATENÇÃO (Sem Atualização &gt;15 dias)",IF(X441&gt;90,"CRÍTICO (Aberto &gt;90 dias)","OK"))))))</f>
        <v/>
      </c>
      <c r="Z441" s="90" t="str">
        <f aca="false">IF(B441="","",IF(OR(O441="27 - Instalação concluída",O441="28 - Encerrado"),"OK",IF(NOT(ISNUMBER(X441)),"",IF(X441&gt;365,"MUITO ANTIGO (&gt;1 ano)",IF(X441&gt;180,"ANTIGO (&gt;6 meses)",IF(X441&gt;90,"ATENÇÃO ANTIG. (&gt;3 meses)","OK"))))))</f>
        <v/>
      </c>
      <c r="AA441" s="86"/>
      <c r="AB441" s="69" t="str">
        <f aca="false">IF(AND(B441&lt;&gt;"",OR(T441="Pendente de Vistoria",T441="Não validada")),MAX($AB$1:$AB$440)+1,"")</f>
        <v/>
      </c>
      <c r="AC441" s="69" t="str">
        <f aca="false">IF(AND(B441&lt;&gt;"",OR(ISNUMBER(SEARCH("CTIN",P441)),U441="Alta",O441="07 - Relatório recebido — unidade apta",O441="11 - Orçamentos em análise técnica",O441="22 - Instalação/substituição autorizada")),MAX($AC$1:$AC$440)+1,"")</f>
        <v/>
      </c>
      <c r="AD441" s="69" t="str">
        <f aca="false">IF(AND(B441&lt;&gt;"",OR(ISNUMBER(SEARCH("CTO",P441)),LEFT(O441,2)="22",LEFT(O441,2)="23",LEFT(O441,2)="24",LEFT(O441,2)="25",LEFT(O441,2)="26",LEFT(O441,2)="27")),MAX($AD$1:$AD$440)+1,"")</f>
        <v/>
      </c>
      <c r="AE441" s="69" t="str">
        <f aca="false">IF(AND(B441&lt;&gt;"",D441=CONSULTA_UNIDADE!$B$4),MAX($AE$1:$AE$440)+1,"")</f>
        <v/>
      </c>
      <c r="AF441" s="69" t="str">
        <f aca="false">IF(AND(B441&lt;&gt;"",O441&lt;&gt;"27 - Instalação concluída",O441&lt;&gt;"28 - Encerrado",ISNUMBER(S441)),S441*1000+(1000-ROW()),"")</f>
        <v/>
      </c>
      <c r="AG441" s="69" t="str">
        <f aca="false">IF(AF441="","",RANK(AF441,$AF$2:$AF$500))</f>
        <v/>
      </c>
    </row>
    <row r="442" customFormat="false" ht="16.5" hidden="false" customHeight="true" outlineLevel="0" collapsed="false">
      <c r="A442" s="86"/>
      <c r="B442" s="86"/>
      <c r="C442" s="87" t="str">
        <f aca="false">IF(D442="","",IFERROR(INDEX(CADASTRO_VIVO_3CRE!$B$2:$B$150,MATCH(D442,CADASTRO_VIVO_3CRE!$E$2:$E$150,0)),""))</f>
        <v/>
      </c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8"/>
      <c r="S442" s="89" t="str">
        <f aca="true">IF(R442="","",TODAY()-INT(R442))</f>
        <v/>
      </c>
      <c r="T442" s="86"/>
      <c r="U442" s="86"/>
      <c r="V442" s="86"/>
      <c r="W442" s="88"/>
      <c r="X442" s="89" t="str">
        <f aca="true">IF(W442="","",IF(OR(O442="28 - Encerrado",O442="27 - Instalação concluída"),"Concluído",TODAY()-INT(W442)))</f>
        <v/>
      </c>
      <c r="Y442" s="90" t="str">
        <f aca="false">IF(OR(O442="28 - Encerrado",O442="27 - Instalação concluída"),"OK",IF(AND(B442&lt;&gt;"",S442=""),"ATENÇÃO (Sem data de atualização)",IF(S442="","",IF(S442&gt;30,"CRÍTICO (Sem Atualização &gt;30 dias)",IF(S442&gt;15,"ATENÇÃO (Sem Atualização &gt;15 dias)",IF(X442&gt;90,"CRÍTICO (Aberto &gt;90 dias)","OK"))))))</f>
        <v/>
      </c>
      <c r="Z442" s="90" t="str">
        <f aca="false">IF(B442="","",IF(OR(O442="27 - Instalação concluída",O442="28 - Encerrado"),"OK",IF(NOT(ISNUMBER(X442)),"",IF(X442&gt;365,"MUITO ANTIGO (&gt;1 ano)",IF(X442&gt;180,"ANTIGO (&gt;6 meses)",IF(X442&gt;90,"ATENÇÃO ANTIG. (&gt;3 meses)","OK"))))))</f>
        <v/>
      </c>
      <c r="AA442" s="86"/>
      <c r="AB442" s="69" t="str">
        <f aca="false">IF(AND(B442&lt;&gt;"",OR(T442="Pendente de Vistoria",T442="Não validada")),MAX($AB$1:$AB$441)+1,"")</f>
        <v/>
      </c>
      <c r="AC442" s="69" t="str">
        <f aca="false">IF(AND(B442&lt;&gt;"",OR(ISNUMBER(SEARCH("CTIN",P442)),U442="Alta",O442="07 - Relatório recebido — unidade apta",O442="11 - Orçamentos em análise técnica",O442="22 - Instalação/substituição autorizada")),MAX($AC$1:$AC$441)+1,"")</f>
        <v/>
      </c>
      <c r="AD442" s="69" t="str">
        <f aca="false">IF(AND(B442&lt;&gt;"",OR(ISNUMBER(SEARCH("CTO",P442)),LEFT(O442,2)="22",LEFT(O442,2)="23",LEFT(O442,2)="24",LEFT(O442,2)="25",LEFT(O442,2)="26",LEFT(O442,2)="27")),MAX($AD$1:$AD$441)+1,"")</f>
        <v/>
      </c>
      <c r="AE442" s="69" t="str">
        <f aca="false">IF(AND(B442&lt;&gt;"",D442=CONSULTA_UNIDADE!$B$4),MAX($AE$1:$AE$441)+1,"")</f>
        <v/>
      </c>
      <c r="AF442" s="69" t="str">
        <f aca="false">IF(AND(B442&lt;&gt;"",O442&lt;&gt;"27 - Instalação concluída",O442&lt;&gt;"28 - Encerrado",ISNUMBER(S442)),S442*1000+(1000-ROW()),"")</f>
        <v/>
      </c>
      <c r="AG442" s="69" t="str">
        <f aca="false">IF(AF442="","",RANK(AF442,$AF$2:$AF$500))</f>
        <v/>
      </c>
    </row>
    <row r="443" customFormat="false" ht="16.5" hidden="false" customHeight="true" outlineLevel="0" collapsed="false">
      <c r="A443" s="86"/>
      <c r="B443" s="86"/>
      <c r="C443" s="87" t="str">
        <f aca="false">IF(D443="","",IFERROR(INDEX(CADASTRO_VIVO_3CRE!$B$2:$B$150,MATCH(D443,CADASTRO_VIVO_3CRE!$E$2:$E$150,0)),""))</f>
        <v/>
      </c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8"/>
      <c r="S443" s="89" t="str">
        <f aca="true">IF(R443="","",TODAY()-INT(R443))</f>
        <v/>
      </c>
      <c r="T443" s="86"/>
      <c r="U443" s="86"/>
      <c r="V443" s="86"/>
      <c r="W443" s="88"/>
      <c r="X443" s="89" t="str">
        <f aca="true">IF(W443="","",IF(OR(O443="28 - Encerrado",O443="27 - Instalação concluída"),"Concluído",TODAY()-INT(W443)))</f>
        <v/>
      </c>
      <c r="Y443" s="90" t="str">
        <f aca="false">IF(OR(O443="28 - Encerrado",O443="27 - Instalação concluída"),"OK",IF(AND(B443&lt;&gt;"",S443=""),"ATENÇÃO (Sem data de atualização)",IF(S443="","",IF(S443&gt;30,"CRÍTICO (Sem Atualização &gt;30 dias)",IF(S443&gt;15,"ATENÇÃO (Sem Atualização &gt;15 dias)",IF(X443&gt;90,"CRÍTICO (Aberto &gt;90 dias)","OK"))))))</f>
        <v/>
      </c>
      <c r="Z443" s="90" t="str">
        <f aca="false">IF(B443="","",IF(OR(O443="27 - Instalação concluída",O443="28 - Encerrado"),"OK",IF(NOT(ISNUMBER(X443)),"",IF(X443&gt;365,"MUITO ANTIGO (&gt;1 ano)",IF(X443&gt;180,"ANTIGO (&gt;6 meses)",IF(X443&gt;90,"ATENÇÃO ANTIG. (&gt;3 meses)","OK"))))))</f>
        <v/>
      </c>
      <c r="AA443" s="86"/>
      <c r="AB443" s="69" t="str">
        <f aca="false">IF(AND(B443&lt;&gt;"",OR(T443="Pendente de Vistoria",T443="Não validada")),MAX($AB$1:$AB$442)+1,"")</f>
        <v/>
      </c>
      <c r="AC443" s="69" t="str">
        <f aca="false">IF(AND(B443&lt;&gt;"",OR(ISNUMBER(SEARCH("CTIN",P443)),U443="Alta",O443="07 - Relatório recebido — unidade apta",O443="11 - Orçamentos em análise técnica",O443="22 - Instalação/substituição autorizada")),MAX($AC$1:$AC$442)+1,"")</f>
        <v/>
      </c>
      <c r="AD443" s="69" t="str">
        <f aca="false">IF(AND(B443&lt;&gt;"",OR(ISNUMBER(SEARCH("CTO",P443)),LEFT(O443,2)="22",LEFT(O443,2)="23",LEFT(O443,2)="24",LEFT(O443,2)="25",LEFT(O443,2)="26",LEFT(O443,2)="27")),MAX($AD$1:$AD$442)+1,"")</f>
        <v/>
      </c>
      <c r="AE443" s="69" t="str">
        <f aca="false">IF(AND(B443&lt;&gt;"",D443=CONSULTA_UNIDADE!$B$4),MAX($AE$1:$AE$442)+1,"")</f>
        <v/>
      </c>
      <c r="AF443" s="69" t="str">
        <f aca="false">IF(AND(B443&lt;&gt;"",O443&lt;&gt;"27 - Instalação concluída",O443&lt;&gt;"28 - Encerrado",ISNUMBER(S443)),S443*1000+(1000-ROW()),"")</f>
        <v/>
      </c>
      <c r="AG443" s="69" t="str">
        <f aca="false">IF(AF443="","",RANK(AF443,$AF$2:$AF$500))</f>
        <v/>
      </c>
    </row>
    <row r="444" customFormat="false" ht="16.5" hidden="false" customHeight="true" outlineLevel="0" collapsed="false">
      <c r="A444" s="86"/>
      <c r="B444" s="86"/>
      <c r="C444" s="87" t="str">
        <f aca="false">IF(D444="","",IFERROR(INDEX(CADASTRO_VIVO_3CRE!$B$2:$B$150,MATCH(D444,CADASTRO_VIVO_3CRE!$E$2:$E$150,0)),""))</f>
        <v/>
      </c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8"/>
      <c r="S444" s="89" t="str">
        <f aca="true">IF(R444="","",TODAY()-INT(R444))</f>
        <v/>
      </c>
      <c r="T444" s="86"/>
      <c r="U444" s="86"/>
      <c r="V444" s="86"/>
      <c r="W444" s="88"/>
      <c r="X444" s="89" t="str">
        <f aca="true">IF(W444="","",IF(OR(O444="28 - Encerrado",O444="27 - Instalação concluída"),"Concluído",TODAY()-INT(W444)))</f>
        <v/>
      </c>
      <c r="Y444" s="90" t="str">
        <f aca="false">IF(OR(O444="28 - Encerrado",O444="27 - Instalação concluída"),"OK",IF(AND(B444&lt;&gt;"",S444=""),"ATENÇÃO (Sem data de atualização)",IF(S444="","",IF(S444&gt;30,"CRÍTICO (Sem Atualização &gt;30 dias)",IF(S444&gt;15,"ATENÇÃO (Sem Atualização &gt;15 dias)",IF(X444&gt;90,"CRÍTICO (Aberto &gt;90 dias)","OK"))))))</f>
        <v/>
      </c>
      <c r="Z444" s="90" t="str">
        <f aca="false">IF(B444="","",IF(OR(O444="27 - Instalação concluída",O444="28 - Encerrado"),"OK",IF(NOT(ISNUMBER(X444)),"",IF(X444&gt;365,"MUITO ANTIGO (&gt;1 ano)",IF(X444&gt;180,"ANTIGO (&gt;6 meses)",IF(X444&gt;90,"ATENÇÃO ANTIG. (&gt;3 meses)","OK"))))))</f>
        <v/>
      </c>
      <c r="AA444" s="86"/>
      <c r="AB444" s="69" t="str">
        <f aca="false">IF(AND(B444&lt;&gt;"",OR(T444="Pendente de Vistoria",T444="Não validada")),MAX($AB$1:$AB$443)+1,"")</f>
        <v/>
      </c>
      <c r="AC444" s="69" t="str">
        <f aca="false">IF(AND(B444&lt;&gt;"",OR(ISNUMBER(SEARCH("CTIN",P444)),U444="Alta",O444="07 - Relatório recebido — unidade apta",O444="11 - Orçamentos em análise técnica",O444="22 - Instalação/substituição autorizada")),MAX($AC$1:$AC$443)+1,"")</f>
        <v/>
      </c>
      <c r="AD444" s="69" t="str">
        <f aca="false">IF(AND(B444&lt;&gt;"",OR(ISNUMBER(SEARCH("CTO",P444)),LEFT(O444,2)="22",LEFT(O444,2)="23",LEFT(O444,2)="24",LEFT(O444,2)="25",LEFT(O444,2)="26",LEFT(O444,2)="27")),MAX($AD$1:$AD$443)+1,"")</f>
        <v/>
      </c>
      <c r="AE444" s="69" t="str">
        <f aca="false">IF(AND(B444&lt;&gt;"",D444=CONSULTA_UNIDADE!$B$4),MAX($AE$1:$AE$443)+1,"")</f>
        <v/>
      </c>
      <c r="AF444" s="69" t="str">
        <f aca="false">IF(AND(B444&lt;&gt;"",O444&lt;&gt;"27 - Instalação concluída",O444&lt;&gt;"28 - Encerrado",ISNUMBER(S444)),S444*1000+(1000-ROW()),"")</f>
        <v/>
      </c>
      <c r="AG444" s="69" t="str">
        <f aca="false">IF(AF444="","",RANK(AF444,$AF$2:$AF$500))</f>
        <v/>
      </c>
    </row>
    <row r="445" customFormat="false" ht="16.5" hidden="false" customHeight="true" outlineLevel="0" collapsed="false">
      <c r="A445" s="86"/>
      <c r="B445" s="86"/>
      <c r="C445" s="87" t="str">
        <f aca="false">IF(D445="","",IFERROR(INDEX(CADASTRO_VIVO_3CRE!$B$2:$B$150,MATCH(D445,CADASTRO_VIVO_3CRE!$E$2:$E$150,0)),""))</f>
        <v/>
      </c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8"/>
      <c r="S445" s="89" t="str">
        <f aca="true">IF(R445="","",TODAY()-INT(R445))</f>
        <v/>
      </c>
      <c r="T445" s="86"/>
      <c r="U445" s="86"/>
      <c r="V445" s="86"/>
      <c r="W445" s="88"/>
      <c r="X445" s="89" t="str">
        <f aca="true">IF(W445="","",IF(OR(O445="28 - Encerrado",O445="27 - Instalação concluída"),"Concluído",TODAY()-INT(W445)))</f>
        <v/>
      </c>
      <c r="Y445" s="90" t="str">
        <f aca="false">IF(OR(O445="28 - Encerrado",O445="27 - Instalação concluída"),"OK",IF(AND(B445&lt;&gt;"",S445=""),"ATENÇÃO (Sem data de atualização)",IF(S445="","",IF(S445&gt;30,"CRÍTICO (Sem Atualização &gt;30 dias)",IF(S445&gt;15,"ATENÇÃO (Sem Atualização &gt;15 dias)",IF(X445&gt;90,"CRÍTICO (Aberto &gt;90 dias)","OK"))))))</f>
        <v/>
      </c>
      <c r="Z445" s="90" t="str">
        <f aca="false">IF(B445="","",IF(OR(O445="27 - Instalação concluída",O445="28 - Encerrado"),"OK",IF(NOT(ISNUMBER(X445)),"",IF(X445&gt;365,"MUITO ANTIGO (&gt;1 ano)",IF(X445&gt;180,"ANTIGO (&gt;6 meses)",IF(X445&gt;90,"ATENÇÃO ANTIG. (&gt;3 meses)","OK"))))))</f>
        <v/>
      </c>
      <c r="AA445" s="86"/>
      <c r="AB445" s="69" t="str">
        <f aca="false">IF(AND(B445&lt;&gt;"",OR(T445="Pendente de Vistoria",T445="Não validada")),MAX($AB$1:$AB$444)+1,"")</f>
        <v/>
      </c>
      <c r="AC445" s="69" t="str">
        <f aca="false">IF(AND(B445&lt;&gt;"",OR(ISNUMBER(SEARCH("CTIN",P445)),U445="Alta",O445="07 - Relatório recebido — unidade apta",O445="11 - Orçamentos em análise técnica",O445="22 - Instalação/substituição autorizada")),MAX($AC$1:$AC$444)+1,"")</f>
        <v/>
      </c>
      <c r="AD445" s="69" t="str">
        <f aca="false">IF(AND(B445&lt;&gt;"",OR(ISNUMBER(SEARCH("CTO",P445)),LEFT(O445,2)="22",LEFT(O445,2)="23",LEFT(O445,2)="24",LEFT(O445,2)="25",LEFT(O445,2)="26",LEFT(O445,2)="27")),MAX($AD$1:$AD$444)+1,"")</f>
        <v/>
      </c>
      <c r="AE445" s="69" t="str">
        <f aca="false">IF(AND(B445&lt;&gt;"",D445=CONSULTA_UNIDADE!$B$4),MAX($AE$1:$AE$444)+1,"")</f>
        <v/>
      </c>
      <c r="AF445" s="69" t="str">
        <f aca="false">IF(AND(B445&lt;&gt;"",O445&lt;&gt;"27 - Instalação concluída",O445&lt;&gt;"28 - Encerrado",ISNUMBER(S445)),S445*1000+(1000-ROW()),"")</f>
        <v/>
      </c>
      <c r="AG445" s="69" t="str">
        <f aca="false">IF(AF445="","",RANK(AF445,$AF$2:$AF$500))</f>
        <v/>
      </c>
    </row>
    <row r="446" customFormat="false" ht="16.5" hidden="false" customHeight="true" outlineLevel="0" collapsed="false">
      <c r="A446" s="86"/>
      <c r="B446" s="86"/>
      <c r="C446" s="87" t="str">
        <f aca="false">IF(D446="","",IFERROR(INDEX(CADASTRO_VIVO_3CRE!$B$2:$B$150,MATCH(D446,CADASTRO_VIVO_3CRE!$E$2:$E$150,0)),""))</f>
        <v/>
      </c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8"/>
      <c r="S446" s="89" t="str">
        <f aca="true">IF(R446="","",TODAY()-INT(R446))</f>
        <v/>
      </c>
      <c r="T446" s="86"/>
      <c r="U446" s="86"/>
      <c r="V446" s="86"/>
      <c r="W446" s="88"/>
      <c r="X446" s="89" t="str">
        <f aca="true">IF(W446="","",IF(OR(O446="28 - Encerrado",O446="27 - Instalação concluída"),"Concluído",TODAY()-INT(W446)))</f>
        <v/>
      </c>
      <c r="Y446" s="90" t="str">
        <f aca="false">IF(OR(O446="28 - Encerrado",O446="27 - Instalação concluída"),"OK",IF(AND(B446&lt;&gt;"",S446=""),"ATENÇÃO (Sem data de atualização)",IF(S446="","",IF(S446&gt;30,"CRÍTICO (Sem Atualização &gt;30 dias)",IF(S446&gt;15,"ATENÇÃO (Sem Atualização &gt;15 dias)",IF(X446&gt;90,"CRÍTICO (Aberto &gt;90 dias)","OK"))))))</f>
        <v/>
      </c>
      <c r="Z446" s="90" t="str">
        <f aca="false">IF(B446="","",IF(OR(O446="27 - Instalação concluída",O446="28 - Encerrado"),"OK",IF(NOT(ISNUMBER(X446)),"",IF(X446&gt;365,"MUITO ANTIGO (&gt;1 ano)",IF(X446&gt;180,"ANTIGO (&gt;6 meses)",IF(X446&gt;90,"ATENÇÃO ANTIG. (&gt;3 meses)","OK"))))))</f>
        <v/>
      </c>
      <c r="AA446" s="86"/>
      <c r="AB446" s="69" t="str">
        <f aca="false">IF(AND(B446&lt;&gt;"",OR(T446="Pendente de Vistoria",T446="Não validada")),MAX($AB$1:$AB$445)+1,"")</f>
        <v/>
      </c>
      <c r="AC446" s="69" t="str">
        <f aca="false">IF(AND(B446&lt;&gt;"",OR(ISNUMBER(SEARCH("CTIN",P446)),U446="Alta",O446="07 - Relatório recebido — unidade apta",O446="11 - Orçamentos em análise técnica",O446="22 - Instalação/substituição autorizada")),MAX($AC$1:$AC$445)+1,"")</f>
        <v/>
      </c>
      <c r="AD446" s="69" t="str">
        <f aca="false">IF(AND(B446&lt;&gt;"",OR(ISNUMBER(SEARCH("CTO",P446)),LEFT(O446,2)="22",LEFT(O446,2)="23",LEFT(O446,2)="24",LEFT(O446,2)="25",LEFT(O446,2)="26",LEFT(O446,2)="27")),MAX($AD$1:$AD$445)+1,"")</f>
        <v/>
      </c>
      <c r="AE446" s="69" t="str">
        <f aca="false">IF(AND(B446&lt;&gt;"",D446=CONSULTA_UNIDADE!$B$4),MAX($AE$1:$AE$445)+1,"")</f>
        <v/>
      </c>
      <c r="AF446" s="69" t="str">
        <f aca="false">IF(AND(B446&lt;&gt;"",O446&lt;&gt;"27 - Instalação concluída",O446&lt;&gt;"28 - Encerrado",ISNUMBER(S446)),S446*1000+(1000-ROW()),"")</f>
        <v/>
      </c>
      <c r="AG446" s="69" t="str">
        <f aca="false">IF(AF446="","",RANK(AF446,$AF$2:$AF$500))</f>
        <v/>
      </c>
    </row>
    <row r="447" customFormat="false" ht="16.5" hidden="false" customHeight="true" outlineLevel="0" collapsed="false">
      <c r="A447" s="86"/>
      <c r="B447" s="86"/>
      <c r="C447" s="87" t="str">
        <f aca="false">IF(D447="","",IFERROR(INDEX(CADASTRO_VIVO_3CRE!$B$2:$B$150,MATCH(D447,CADASTRO_VIVO_3CRE!$E$2:$E$150,0)),""))</f>
        <v/>
      </c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8"/>
      <c r="S447" s="89" t="str">
        <f aca="true">IF(R447="","",TODAY()-INT(R447))</f>
        <v/>
      </c>
      <c r="T447" s="86"/>
      <c r="U447" s="86"/>
      <c r="V447" s="86"/>
      <c r="W447" s="88"/>
      <c r="X447" s="89" t="str">
        <f aca="true">IF(W447="","",IF(OR(O447="28 - Encerrado",O447="27 - Instalação concluída"),"Concluído",TODAY()-INT(W447)))</f>
        <v/>
      </c>
      <c r="Y447" s="90" t="str">
        <f aca="false">IF(OR(O447="28 - Encerrado",O447="27 - Instalação concluída"),"OK",IF(AND(B447&lt;&gt;"",S447=""),"ATENÇÃO (Sem data de atualização)",IF(S447="","",IF(S447&gt;30,"CRÍTICO (Sem Atualização &gt;30 dias)",IF(S447&gt;15,"ATENÇÃO (Sem Atualização &gt;15 dias)",IF(X447&gt;90,"CRÍTICO (Aberto &gt;90 dias)","OK"))))))</f>
        <v/>
      </c>
      <c r="Z447" s="90" t="str">
        <f aca="false">IF(B447="","",IF(OR(O447="27 - Instalação concluída",O447="28 - Encerrado"),"OK",IF(NOT(ISNUMBER(X447)),"",IF(X447&gt;365,"MUITO ANTIGO (&gt;1 ano)",IF(X447&gt;180,"ANTIGO (&gt;6 meses)",IF(X447&gt;90,"ATENÇÃO ANTIG. (&gt;3 meses)","OK"))))))</f>
        <v/>
      </c>
      <c r="AA447" s="86"/>
      <c r="AB447" s="69" t="str">
        <f aca="false">IF(AND(B447&lt;&gt;"",OR(T447="Pendente de Vistoria",T447="Não validada")),MAX($AB$1:$AB$446)+1,"")</f>
        <v/>
      </c>
      <c r="AC447" s="69" t="str">
        <f aca="false">IF(AND(B447&lt;&gt;"",OR(ISNUMBER(SEARCH("CTIN",P447)),U447="Alta",O447="07 - Relatório recebido — unidade apta",O447="11 - Orçamentos em análise técnica",O447="22 - Instalação/substituição autorizada")),MAX($AC$1:$AC$446)+1,"")</f>
        <v/>
      </c>
      <c r="AD447" s="69" t="str">
        <f aca="false">IF(AND(B447&lt;&gt;"",OR(ISNUMBER(SEARCH("CTO",P447)),LEFT(O447,2)="22",LEFT(O447,2)="23",LEFT(O447,2)="24",LEFT(O447,2)="25",LEFT(O447,2)="26",LEFT(O447,2)="27")),MAX($AD$1:$AD$446)+1,"")</f>
        <v/>
      </c>
      <c r="AE447" s="69" t="str">
        <f aca="false">IF(AND(B447&lt;&gt;"",D447=CONSULTA_UNIDADE!$B$4),MAX($AE$1:$AE$446)+1,"")</f>
        <v/>
      </c>
      <c r="AF447" s="69" t="str">
        <f aca="false">IF(AND(B447&lt;&gt;"",O447&lt;&gt;"27 - Instalação concluída",O447&lt;&gt;"28 - Encerrado",ISNUMBER(S447)),S447*1000+(1000-ROW()),"")</f>
        <v/>
      </c>
      <c r="AG447" s="69" t="str">
        <f aca="false">IF(AF447="","",RANK(AF447,$AF$2:$AF$500))</f>
        <v/>
      </c>
    </row>
    <row r="448" customFormat="false" ht="16.5" hidden="false" customHeight="true" outlineLevel="0" collapsed="false">
      <c r="A448" s="86"/>
      <c r="B448" s="86"/>
      <c r="C448" s="87" t="str">
        <f aca="false">IF(D448="","",IFERROR(INDEX(CADASTRO_VIVO_3CRE!$B$2:$B$150,MATCH(D448,CADASTRO_VIVO_3CRE!$E$2:$E$150,0)),""))</f>
        <v/>
      </c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8"/>
      <c r="S448" s="89" t="str">
        <f aca="true">IF(R448="","",TODAY()-INT(R448))</f>
        <v/>
      </c>
      <c r="T448" s="86"/>
      <c r="U448" s="86"/>
      <c r="V448" s="86"/>
      <c r="W448" s="88"/>
      <c r="X448" s="89" t="str">
        <f aca="true">IF(W448="","",IF(OR(O448="28 - Encerrado",O448="27 - Instalação concluída"),"Concluído",TODAY()-INT(W448)))</f>
        <v/>
      </c>
      <c r="Y448" s="90" t="str">
        <f aca="false">IF(OR(O448="28 - Encerrado",O448="27 - Instalação concluída"),"OK",IF(AND(B448&lt;&gt;"",S448=""),"ATENÇÃO (Sem data de atualização)",IF(S448="","",IF(S448&gt;30,"CRÍTICO (Sem Atualização &gt;30 dias)",IF(S448&gt;15,"ATENÇÃO (Sem Atualização &gt;15 dias)",IF(X448&gt;90,"CRÍTICO (Aberto &gt;90 dias)","OK"))))))</f>
        <v/>
      </c>
      <c r="Z448" s="90" t="str">
        <f aca="false">IF(B448="","",IF(OR(O448="27 - Instalação concluída",O448="28 - Encerrado"),"OK",IF(NOT(ISNUMBER(X448)),"",IF(X448&gt;365,"MUITO ANTIGO (&gt;1 ano)",IF(X448&gt;180,"ANTIGO (&gt;6 meses)",IF(X448&gt;90,"ATENÇÃO ANTIG. (&gt;3 meses)","OK"))))))</f>
        <v/>
      </c>
      <c r="AA448" s="86"/>
      <c r="AB448" s="69" t="str">
        <f aca="false">IF(AND(B448&lt;&gt;"",OR(T448="Pendente de Vistoria",T448="Não validada")),MAX($AB$1:$AB$447)+1,"")</f>
        <v/>
      </c>
      <c r="AC448" s="69" t="str">
        <f aca="false">IF(AND(B448&lt;&gt;"",OR(ISNUMBER(SEARCH("CTIN",P448)),U448="Alta",O448="07 - Relatório recebido — unidade apta",O448="11 - Orçamentos em análise técnica",O448="22 - Instalação/substituição autorizada")),MAX($AC$1:$AC$447)+1,"")</f>
        <v/>
      </c>
      <c r="AD448" s="69" t="str">
        <f aca="false">IF(AND(B448&lt;&gt;"",OR(ISNUMBER(SEARCH("CTO",P448)),LEFT(O448,2)="22",LEFT(O448,2)="23",LEFT(O448,2)="24",LEFT(O448,2)="25",LEFT(O448,2)="26",LEFT(O448,2)="27")),MAX($AD$1:$AD$447)+1,"")</f>
        <v/>
      </c>
      <c r="AE448" s="69" t="str">
        <f aca="false">IF(AND(B448&lt;&gt;"",D448=CONSULTA_UNIDADE!$B$4),MAX($AE$1:$AE$447)+1,"")</f>
        <v/>
      </c>
      <c r="AF448" s="69" t="str">
        <f aca="false">IF(AND(B448&lt;&gt;"",O448&lt;&gt;"27 - Instalação concluída",O448&lt;&gt;"28 - Encerrado",ISNUMBER(S448)),S448*1000+(1000-ROW()),"")</f>
        <v/>
      </c>
      <c r="AG448" s="69" t="str">
        <f aca="false">IF(AF448="","",RANK(AF448,$AF$2:$AF$500))</f>
        <v/>
      </c>
    </row>
    <row r="449" customFormat="false" ht="16.5" hidden="false" customHeight="true" outlineLevel="0" collapsed="false">
      <c r="A449" s="86"/>
      <c r="B449" s="86"/>
      <c r="C449" s="87" t="str">
        <f aca="false">IF(D449="","",IFERROR(INDEX(CADASTRO_VIVO_3CRE!$B$2:$B$150,MATCH(D449,CADASTRO_VIVO_3CRE!$E$2:$E$150,0)),""))</f>
        <v/>
      </c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8"/>
      <c r="S449" s="89" t="str">
        <f aca="true">IF(R449="","",TODAY()-INT(R449))</f>
        <v/>
      </c>
      <c r="T449" s="86"/>
      <c r="U449" s="86"/>
      <c r="V449" s="86"/>
      <c r="W449" s="88"/>
      <c r="X449" s="89" t="str">
        <f aca="true">IF(W449="","",IF(OR(O449="28 - Encerrado",O449="27 - Instalação concluída"),"Concluído",TODAY()-INT(W449)))</f>
        <v/>
      </c>
      <c r="Y449" s="90" t="str">
        <f aca="false">IF(OR(O449="28 - Encerrado",O449="27 - Instalação concluída"),"OK",IF(AND(B449&lt;&gt;"",S449=""),"ATENÇÃO (Sem data de atualização)",IF(S449="","",IF(S449&gt;30,"CRÍTICO (Sem Atualização &gt;30 dias)",IF(S449&gt;15,"ATENÇÃO (Sem Atualização &gt;15 dias)",IF(X449&gt;90,"CRÍTICO (Aberto &gt;90 dias)","OK"))))))</f>
        <v/>
      </c>
      <c r="Z449" s="90" t="str">
        <f aca="false">IF(B449="","",IF(OR(O449="27 - Instalação concluída",O449="28 - Encerrado"),"OK",IF(NOT(ISNUMBER(X449)),"",IF(X449&gt;365,"MUITO ANTIGO (&gt;1 ano)",IF(X449&gt;180,"ANTIGO (&gt;6 meses)",IF(X449&gt;90,"ATENÇÃO ANTIG. (&gt;3 meses)","OK"))))))</f>
        <v/>
      </c>
      <c r="AA449" s="86"/>
      <c r="AB449" s="69" t="str">
        <f aca="false">IF(AND(B449&lt;&gt;"",OR(T449="Pendente de Vistoria",T449="Não validada")),MAX($AB$1:$AB$448)+1,"")</f>
        <v/>
      </c>
      <c r="AC449" s="69" t="str">
        <f aca="false">IF(AND(B449&lt;&gt;"",OR(ISNUMBER(SEARCH("CTIN",P449)),U449="Alta",O449="07 - Relatório recebido — unidade apta",O449="11 - Orçamentos em análise técnica",O449="22 - Instalação/substituição autorizada")),MAX($AC$1:$AC$448)+1,"")</f>
        <v/>
      </c>
      <c r="AD449" s="69" t="str">
        <f aca="false">IF(AND(B449&lt;&gt;"",OR(ISNUMBER(SEARCH("CTO",P449)),LEFT(O449,2)="22",LEFT(O449,2)="23",LEFT(O449,2)="24",LEFT(O449,2)="25",LEFT(O449,2)="26",LEFT(O449,2)="27")),MAX($AD$1:$AD$448)+1,"")</f>
        <v/>
      </c>
      <c r="AE449" s="69" t="str">
        <f aca="false">IF(AND(B449&lt;&gt;"",D449=CONSULTA_UNIDADE!$B$4),MAX($AE$1:$AE$448)+1,"")</f>
        <v/>
      </c>
      <c r="AF449" s="69" t="str">
        <f aca="false">IF(AND(B449&lt;&gt;"",O449&lt;&gt;"27 - Instalação concluída",O449&lt;&gt;"28 - Encerrado",ISNUMBER(S449)),S449*1000+(1000-ROW()),"")</f>
        <v/>
      </c>
      <c r="AG449" s="69" t="str">
        <f aca="false">IF(AF449="","",RANK(AF449,$AF$2:$AF$500))</f>
        <v/>
      </c>
    </row>
    <row r="450" customFormat="false" ht="16.5" hidden="false" customHeight="true" outlineLevel="0" collapsed="false">
      <c r="A450" s="86"/>
      <c r="B450" s="86"/>
      <c r="C450" s="87" t="str">
        <f aca="false">IF(D450="","",IFERROR(INDEX(CADASTRO_VIVO_3CRE!$B$2:$B$150,MATCH(D450,CADASTRO_VIVO_3CRE!$E$2:$E$150,0)),""))</f>
        <v/>
      </c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8"/>
      <c r="S450" s="89" t="str">
        <f aca="true">IF(R450="","",TODAY()-INT(R450))</f>
        <v/>
      </c>
      <c r="T450" s="86"/>
      <c r="U450" s="86"/>
      <c r="V450" s="86"/>
      <c r="W450" s="88"/>
      <c r="X450" s="89" t="str">
        <f aca="true">IF(W450="","",IF(OR(O450="28 - Encerrado",O450="27 - Instalação concluída"),"Concluído",TODAY()-INT(W450)))</f>
        <v/>
      </c>
      <c r="Y450" s="90" t="str">
        <f aca="false">IF(OR(O450="28 - Encerrado",O450="27 - Instalação concluída"),"OK",IF(AND(B450&lt;&gt;"",S450=""),"ATENÇÃO (Sem data de atualização)",IF(S450="","",IF(S450&gt;30,"CRÍTICO (Sem Atualização &gt;30 dias)",IF(S450&gt;15,"ATENÇÃO (Sem Atualização &gt;15 dias)",IF(X450&gt;90,"CRÍTICO (Aberto &gt;90 dias)","OK"))))))</f>
        <v/>
      </c>
      <c r="Z450" s="90" t="str">
        <f aca="false">IF(B450="","",IF(OR(O450="27 - Instalação concluída",O450="28 - Encerrado"),"OK",IF(NOT(ISNUMBER(X450)),"",IF(X450&gt;365,"MUITO ANTIGO (&gt;1 ano)",IF(X450&gt;180,"ANTIGO (&gt;6 meses)",IF(X450&gt;90,"ATENÇÃO ANTIG. (&gt;3 meses)","OK"))))))</f>
        <v/>
      </c>
      <c r="AA450" s="86"/>
      <c r="AB450" s="69" t="str">
        <f aca="false">IF(AND(B450&lt;&gt;"",OR(T450="Pendente de Vistoria",T450="Não validada")),MAX($AB$1:$AB$449)+1,"")</f>
        <v/>
      </c>
      <c r="AC450" s="69" t="str">
        <f aca="false">IF(AND(B450&lt;&gt;"",OR(ISNUMBER(SEARCH("CTIN",P450)),U450="Alta",O450="07 - Relatório recebido — unidade apta",O450="11 - Orçamentos em análise técnica",O450="22 - Instalação/substituição autorizada")),MAX($AC$1:$AC$449)+1,"")</f>
        <v/>
      </c>
      <c r="AD450" s="69" t="str">
        <f aca="false">IF(AND(B450&lt;&gt;"",OR(ISNUMBER(SEARCH("CTO",P450)),LEFT(O450,2)="22",LEFT(O450,2)="23",LEFT(O450,2)="24",LEFT(O450,2)="25",LEFT(O450,2)="26",LEFT(O450,2)="27")),MAX($AD$1:$AD$449)+1,"")</f>
        <v/>
      </c>
      <c r="AE450" s="69" t="str">
        <f aca="false">IF(AND(B450&lt;&gt;"",D450=CONSULTA_UNIDADE!$B$4),MAX($AE$1:$AE$449)+1,"")</f>
        <v/>
      </c>
      <c r="AF450" s="69" t="str">
        <f aca="false">IF(AND(B450&lt;&gt;"",O450&lt;&gt;"27 - Instalação concluída",O450&lt;&gt;"28 - Encerrado",ISNUMBER(S450)),S450*1000+(1000-ROW()),"")</f>
        <v/>
      </c>
      <c r="AG450" s="69" t="str">
        <f aca="false">IF(AF450="","",RANK(AF450,$AF$2:$AF$500))</f>
        <v/>
      </c>
    </row>
    <row r="451" customFormat="false" ht="16.5" hidden="false" customHeight="true" outlineLevel="0" collapsed="false">
      <c r="A451" s="86"/>
      <c r="B451" s="86"/>
      <c r="C451" s="87" t="str">
        <f aca="false">IF(D451="","",IFERROR(INDEX(CADASTRO_VIVO_3CRE!$B$2:$B$150,MATCH(D451,CADASTRO_VIVO_3CRE!$E$2:$E$150,0)),""))</f>
        <v/>
      </c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8"/>
      <c r="S451" s="89" t="str">
        <f aca="true">IF(R451="","",TODAY()-INT(R451))</f>
        <v/>
      </c>
      <c r="T451" s="86"/>
      <c r="U451" s="86"/>
      <c r="V451" s="86"/>
      <c r="W451" s="88"/>
      <c r="X451" s="89" t="str">
        <f aca="true">IF(W451="","",IF(OR(O451="28 - Encerrado",O451="27 - Instalação concluída"),"Concluído",TODAY()-INT(W451)))</f>
        <v/>
      </c>
      <c r="Y451" s="90" t="str">
        <f aca="false">IF(OR(O451="28 - Encerrado",O451="27 - Instalação concluída"),"OK",IF(AND(B451&lt;&gt;"",S451=""),"ATENÇÃO (Sem data de atualização)",IF(S451="","",IF(S451&gt;30,"CRÍTICO (Sem Atualização &gt;30 dias)",IF(S451&gt;15,"ATENÇÃO (Sem Atualização &gt;15 dias)",IF(X451&gt;90,"CRÍTICO (Aberto &gt;90 dias)","OK"))))))</f>
        <v/>
      </c>
      <c r="Z451" s="90" t="str">
        <f aca="false">IF(B451="","",IF(OR(O451="27 - Instalação concluída",O451="28 - Encerrado"),"OK",IF(NOT(ISNUMBER(X451)),"",IF(X451&gt;365,"MUITO ANTIGO (&gt;1 ano)",IF(X451&gt;180,"ANTIGO (&gt;6 meses)",IF(X451&gt;90,"ATENÇÃO ANTIG. (&gt;3 meses)","OK"))))))</f>
        <v/>
      </c>
      <c r="AA451" s="86"/>
      <c r="AB451" s="69" t="str">
        <f aca="false">IF(AND(B451&lt;&gt;"",OR(T451="Pendente de Vistoria",T451="Não validada")),MAX($AB$1:$AB$450)+1,"")</f>
        <v/>
      </c>
      <c r="AC451" s="69" t="str">
        <f aca="false">IF(AND(B451&lt;&gt;"",OR(ISNUMBER(SEARCH("CTIN",P451)),U451="Alta",O451="07 - Relatório recebido — unidade apta",O451="11 - Orçamentos em análise técnica",O451="22 - Instalação/substituição autorizada")),MAX($AC$1:$AC$450)+1,"")</f>
        <v/>
      </c>
      <c r="AD451" s="69" t="str">
        <f aca="false">IF(AND(B451&lt;&gt;"",OR(ISNUMBER(SEARCH("CTO",P451)),LEFT(O451,2)="22",LEFT(O451,2)="23",LEFT(O451,2)="24",LEFT(O451,2)="25",LEFT(O451,2)="26",LEFT(O451,2)="27")),MAX($AD$1:$AD$450)+1,"")</f>
        <v/>
      </c>
      <c r="AE451" s="69" t="str">
        <f aca="false">IF(AND(B451&lt;&gt;"",D451=CONSULTA_UNIDADE!$B$4),MAX($AE$1:$AE$450)+1,"")</f>
        <v/>
      </c>
      <c r="AF451" s="69" t="str">
        <f aca="false">IF(AND(B451&lt;&gt;"",O451&lt;&gt;"27 - Instalação concluída",O451&lt;&gt;"28 - Encerrado",ISNUMBER(S451)),S451*1000+(1000-ROW()),"")</f>
        <v/>
      </c>
      <c r="AG451" s="69" t="str">
        <f aca="false">IF(AF451="","",RANK(AF451,$AF$2:$AF$500))</f>
        <v/>
      </c>
    </row>
    <row r="452" customFormat="false" ht="16.5" hidden="false" customHeight="true" outlineLevel="0" collapsed="false">
      <c r="A452" s="86"/>
      <c r="B452" s="86"/>
      <c r="C452" s="87" t="str">
        <f aca="false">IF(D452="","",IFERROR(INDEX(CADASTRO_VIVO_3CRE!$B$2:$B$150,MATCH(D452,CADASTRO_VIVO_3CRE!$E$2:$E$150,0)),""))</f>
        <v/>
      </c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8"/>
      <c r="S452" s="89" t="str">
        <f aca="true">IF(R452="","",TODAY()-INT(R452))</f>
        <v/>
      </c>
      <c r="T452" s="86"/>
      <c r="U452" s="86"/>
      <c r="V452" s="86"/>
      <c r="W452" s="88"/>
      <c r="X452" s="89" t="str">
        <f aca="true">IF(W452="","",IF(OR(O452="28 - Encerrado",O452="27 - Instalação concluída"),"Concluído",TODAY()-INT(W452)))</f>
        <v/>
      </c>
      <c r="Y452" s="90" t="str">
        <f aca="false">IF(OR(O452="28 - Encerrado",O452="27 - Instalação concluída"),"OK",IF(AND(B452&lt;&gt;"",S452=""),"ATENÇÃO (Sem data de atualização)",IF(S452="","",IF(S452&gt;30,"CRÍTICO (Sem Atualização &gt;30 dias)",IF(S452&gt;15,"ATENÇÃO (Sem Atualização &gt;15 dias)",IF(X452&gt;90,"CRÍTICO (Aberto &gt;90 dias)","OK"))))))</f>
        <v/>
      </c>
      <c r="Z452" s="90" t="str">
        <f aca="false">IF(B452="","",IF(OR(O452="27 - Instalação concluída",O452="28 - Encerrado"),"OK",IF(NOT(ISNUMBER(X452)),"",IF(X452&gt;365,"MUITO ANTIGO (&gt;1 ano)",IF(X452&gt;180,"ANTIGO (&gt;6 meses)",IF(X452&gt;90,"ATENÇÃO ANTIG. (&gt;3 meses)","OK"))))))</f>
        <v/>
      </c>
      <c r="AA452" s="86"/>
      <c r="AB452" s="69" t="str">
        <f aca="false">IF(AND(B452&lt;&gt;"",OR(T452="Pendente de Vistoria",T452="Não validada")),MAX($AB$1:$AB$451)+1,"")</f>
        <v/>
      </c>
      <c r="AC452" s="69" t="str">
        <f aca="false">IF(AND(B452&lt;&gt;"",OR(ISNUMBER(SEARCH("CTIN",P452)),U452="Alta",O452="07 - Relatório recebido — unidade apta",O452="11 - Orçamentos em análise técnica",O452="22 - Instalação/substituição autorizada")),MAX($AC$1:$AC$451)+1,"")</f>
        <v/>
      </c>
      <c r="AD452" s="69" t="str">
        <f aca="false">IF(AND(B452&lt;&gt;"",OR(ISNUMBER(SEARCH("CTO",P452)),LEFT(O452,2)="22",LEFT(O452,2)="23",LEFT(O452,2)="24",LEFT(O452,2)="25",LEFT(O452,2)="26",LEFT(O452,2)="27")),MAX($AD$1:$AD$451)+1,"")</f>
        <v/>
      </c>
      <c r="AE452" s="69" t="str">
        <f aca="false">IF(AND(B452&lt;&gt;"",D452=CONSULTA_UNIDADE!$B$4),MAX($AE$1:$AE$451)+1,"")</f>
        <v/>
      </c>
      <c r="AF452" s="69" t="str">
        <f aca="false">IF(AND(B452&lt;&gt;"",O452&lt;&gt;"27 - Instalação concluída",O452&lt;&gt;"28 - Encerrado",ISNUMBER(S452)),S452*1000+(1000-ROW()),"")</f>
        <v/>
      </c>
      <c r="AG452" s="69" t="str">
        <f aca="false">IF(AF452="","",RANK(AF452,$AF$2:$AF$500))</f>
        <v/>
      </c>
    </row>
    <row r="453" customFormat="false" ht="16.5" hidden="false" customHeight="true" outlineLevel="0" collapsed="false">
      <c r="A453" s="86"/>
      <c r="B453" s="86"/>
      <c r="C453" s="87" t="str">
        <f aca="false">IF(D453="","",IFERROR(INDEX(CADASTRO_VIVO_3CRE!$B$2:$B$150,MATCH(D453,CADASTRO_VIVO_3CRE!$E$2:$E$150,0)),""))</f>
        <v/>
      </c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8"/>
      <c r="S453" s="89" t="str">
        <f aca="true">IF(R453="","",TODAY()-INT(R453))</f>
        <v/>
      </c>
      <c r="T453" s="86"/>
      <c r="U453" s="86"/>
      <c r="V453" s="86"/>
      <c r="W453" s="88"/>
      <c r="X453" s="89" t="str">
        <f aca="true">IF(W453="","",IF(OR(O453="28 - Encerrado",O453="27 - Instalação concluída"),"Concluído",TODAY()-INT(W453)))</f>
        <v/>
      </c>
      <c r="Y453" s="90" t="str">
        <f aca="false">IF(OR(O453="28 - Encerrado",O453="27 - Instalação concluída"),"OK",IF(AND(B453&lt;&gt;"",S453=""),"ATENÇÃO (Sem data de atualização)",IF(S453="","",IF(S453&gt;30,"CRÍTICO (Sem Atualização &gt;30 dias)",IF(S453&gt;15,"ATENÇÃO (Sem Atualização &gt;15 dias)",IF(X453&gt;90,"CRÍTICO (Aberto &gt;90 dias)","OK"))))))</f>
        <v/>
      </c>
      <c r="Z453" s="90" t="str">
        <f aca="false">IF(B453="","",IF(OR(O453="27 - Instalação concluída",O453="28 - Encerrado"),"OK",IF(NOT(ISNUMBER(X453)),"",IF(X453&gt;365,"MUITO ANTIGO (&gt;1 ano)",IF(X453&gt;180,"ANTIGO (&gt;6 meses)",IF(X453&gt;90,"ATENÇÃO ANTIG. (&gt;3 meses)","OK"))))))</f>
        <v/>
      </c>
      <c r="AA453" s="86"/>
      <c r="AB453" s="69" t="str">
        <f aca="false">IF(AND(B453&lt;&gt;"",OR(T453="Pendente de Vistoria",T453="Não validada")),MAX($AB$1:$AB$452)+1,"")</f>
        <v/>
      </c>
      <c r="AC453" s="69" t="str">
        <f aca="false">IF(AND(B453&lt;&gt;"",OR(ISNUMBER(SEARCH("CTIN",P453)),U453="Alta",O453="07 - Relatório recebido — unidade apta",O453="11 - Orçamentos em análise técnica",O453="22 - Instalação/substituição autorizada")),MAX($AC$1:$AC$452)+1,"")</f>
        <v/>
      </c>
      <c r="AD453" s="69" t="str">
        <f aca="false">IF(AND(B453&lt;&gt;"",OR(ISNUMBER(SEARCH("CTO",P453)),LEFT(O453,2)="22",LEFT(O453,2)="23",LEFT(O453,2)="24",LEFT(O453,2)="25",LEFT(O453,2)="26",LEFT(O453,2)="27")),MAX($AD$1:$AD$452)+1,"")</f>
        <v/>
      </c>
      <c r="AE453" s="69" t="str">
        <f aca="false">IF(AND(B453&lt;&gt;"",D453=CONSULTA_UNIDADE!$B$4),MAX($AE$1:$AE$452)+1,"")</f>
        <v/>
      </c>
      <c r="AF453" s="69" t="str">
        <f aca="false">IF(AND(B453&lt;&gt;"",O453&lt;&gt;"27 - Instalação concluída",O453&lt;&gt;"28 - Encerrado",ISNUMBER(S453)),S453*1000+(1000-ROW()),"")</f>
        <v/>
      </c>
      <c r="AG453" s="69" t="str">
        <f aca="false">IF(AF453="","",RANK(AF453,$AF$2:$AF$500))</f>
        <v/>
      </c>
    </row>
    <row r="454" customFormat="false" ht="16.5" hidden="false" customHeight="true" outlineLevel="0" collapsed="false">
      <c r="A454" s="86"/>
      <c r="B454" s="86"/>
      <c r="C454" s="87" t="str">
        <f aca="false">IF(D454="","",IFERROR(INDEX(CADASTRO_VIVO_3CRE!$B$2:$B$150,MATCH(D454,CADASTRO_VIVO_3CRE!$E$2:$E$150,0)),""))</f>
        <v/>
      </c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8"/>
      <c r="S454" s="89" t="str">
        <f aca="true">IF(R454="","",TODAY()-INT(R454))</f>
        <v/>
      </c>
      <c r="T454" s="86"/>
      <c r="U454" s="86"/>
      <c r="V454" s="86"/>
      <c r="W454" s="88"/>
      <c r="X454" s="89" t="str">
        <f aca="true">IF(W454="","",IF(OR(O454="28 - Encerrado",O454="27 - Instalação concluída"),"Concluído",TODAY()-INT(W454)))</f>
        <v/>
      </c>
      <c r="Y454" s="90" t="str">
        <f aca="false">IF(OR(O454="28 - Encerrado",O454="27 - Instalação concluída"),"OK",IF(AND(B454&lt;&gt;"",S454=""),"ATENÇÃO (Sem data de atualização)",IF(S454="","",IF(S454&gt;30,"CRÍTICO (Sem Atualização &gt;30 dias)",IF(S454&gt;15,"ATENÇÃO (Sem Atualização &gt;15 dias)",IF(X454&gt;90,"CRÍTICO (Aberto &gt;90 dias)","OK"))))))</f>
        <v/>
      </c>
      <c r="Z454" s="90" t="str">
        <f aca="false">IF(B454="","",IF(OR(O454="27 - Instalação concluída",O454="28 - Encerrado"),"OK",IF(NOT(ISNUMBER(X454)),"",IF(X454&gt;365,"MUITO ANTIGO (&gt;1 ano)",IF(X454&gt;180,"ANTIGO (&gt;6 meses)",IF(X454&gt;90,"ATENÇÃO ANTIG. (&gt;3 meses)","OK"))))))</f>
        <v/>
      </c>
      <c r="AA454" s="86"/>
      <c r="AB454" s="69" t="str">
        <f aca="false">IF(AND(B454&lt;&gt;"",OR(T454="Pendente de Vistoria",T454="Não validada")),MAX($AB$1:$AB$453)+1,"")</f>
        <v/>
      </c>
      <c r="AC454" s="69" t="str">
        <f aca="false">IF(AND(B454&lt;&gt;"",OR(ISNUMBER(SEARCH("CTIN",P454)),U454="Alta",O454="07 - Relatório recebido — unidade apta",O454="11 - Orçamentos em análise técnica",O454="22 - Instalação/substituição autorizada")),MAX($AC$1:$AC$453)+1,"")</f>
        <v/>
      </c>
      <c r="AD454" s="69" t="str">
        <f aca="false">IF(AND(B454&lt;&gt;"",OR(ISNUMBER(SEARCH("CTO",P454)),LEFT(O454,2)="22",LEFT(O454,2)="23",LEFT(O454,2)="24",LEFT(O454,2)="25",LEFT(O454,2)="26",LEFT(O454,2)="27")),MAX($AD$1:$AD$453)+1,"")</f>
        <v/>
      </c>
      <c r="AE454" s="69" t="str">
        <f aca="false">IF(AND(B454&lt;&gt;"",D454=CONSULTA_UNIDADE!$B$4),MAX($AE$1:$AE$453)+1,"")</f>
        <v/>
      </c>
      <c r="AF454" s="69" t="str">
        <f aca="false">IF(AND(B454&lt;&gt;"",O454&lt;&gt;"27 - Instalação concluída",O454&lt;&gt;"28 - Encerrado",ISNUMBER(S454)),S454*1000+(1000-ROW()),"")</f>
        <v/>
      </c>
      <c r="AG454" s="69" t="str">
        <f aca="false">IF(AF454="","",RANK(AF454,$AF$2:$AF$500))</f>
        <v/>
      </c>
    </row>
    <row r="455" customFormat="false" ht="16.5" hidden="false" customHeight="true" outlineLevel="0" collapsed="false">
      <c r="A455" s="86"/>
      <c r="B455" s="86"/>
      <c r="C455" s="87" t="str">
        <f aca="false">IF(D455="","",IFERROR(INDEX(CADASTRO_VIVO_3CRE!$B$2:$B$150,MATCH(D455,CADASTRO_VIVO_3CRE!$E$2:$E$150,0)),""))</f>
        <v/>
      </c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8"/>
      <c r="S455" s="89" t="str">
        <f aca="true">IF(R455="","",TODAY()-INT(R455))</f>
        <v/>
      </c>
      <c r="T455" s="86"/>
      <c r="U455" s="86"/>
      <c r="V455" s="86"/>
      <c r="W455" s="88"/>
      <c r="X455" s="89" t="str">
        <f aca="true">IF(W455="","",IF(OR(O455="28 - Encerrado",O455="27 - Instalação concluída"),"Concluído",TODAY()-INT(W455)))</f>
        <v/>
      </c>
      <c r="Y455" s="90" t="str">
        <f aca="false">IF(OR(O455="28 - Encerrado",O455="27 - Instalação concluída"),"OK",IF(AND(B455&lt;&gt;"",S455=""),"ATENÇÃO (Sem data de atualização)",IF(S455="","",IF(S455&gt;30,"CRÍTICO (Sem Atualização &gt;30 dias)",IF(S455&gt;15,"ATENÇÃO (Sem Atualização &gt;15 dias)",IF(X455&gt;90,"CRÍTICO (Aberto &gt;90 dias)","OK"))))))</f>
        <v/>
      </c>
      <c r="Z455" s="90" t="str">
        <f aca="false">IF(B455="","",IF(OR(O455="27 - Instalação concluída",O455="28 - Encerrado"),"OK",IF(NOT(ISNUMBER(X455)),"",IF(X455&gt;365,"MUITO ANTIGO (&gt;1 ano)",IF(X455&gt;180,"ANTIGO (&gt;6 meses)",IF(X455&gt;90,"ATENÇÃO ANTIG. (&gt;3 meses)","OK"))))))</f>
        <v/>
      </c>
      <c r="AA455" s="86"/>
      <c r="AB455" s="69" t="str">
        <f aca="false">IF(AND(B455&lt;&gt;"",OR(T455="Pendente de Vistoria",T455="Não validada")),MAX($AB$1:$AB$454)+1,"")</f>
        <v/>
      </c>
      <c r="AC455" s="69" t="str">
        <f aca="false">IF(AND(B455&lt;&gt;"",OR(ISNUMBER(SEARCH("CTIN",P455)),U455="Alta",O455="07 - Relatório recebido — unidade apta",O455="11 - Orçamentos em análise técnica",O455="22 - Instalação/substituição autorizada")),MAX($AC$1:$AC$454)+1,"")</f>
        <v/>
      </c>
      <c r="AD455" s="69" t="str">
        <f aca="false">IF(AND(B455&lt;&gt;"",OR(ISNUMBER(SEARCH("CTO",P455)),LEFT(O455,2)="22",LEFT(O455,2)="23",LEFT(O455,2)="24",LEFT(O455,2)="25",LEFT(O455,2)="26",LEFT(O455,2)="27")),MAX($AD$1:$AD$454)+1,"")</f>
        <v/>
      </c>
      <c r="AE455" s="69" t="str">
        <f aca="false">IF(AND(B455&lt;&gt;"",D455=CONSULTA_UNIDADE!$B$4),MAX($AE$1:$AE$454)+1,"")</f>
        <v/>
      </c>
      <c r="AF455" s="69" t="str">
        <f aca="false">IF(AND(B455&lt;&gt;"",O455&lt;&gt;"27 - Instalação concluída",O455&lt;&gt;"28 - Encerrado",ISNUMBER(S455)),S455*1000+(1000-ROW()),"")</f>
        <v/>
      </c>
      <c r="AG455" s="69" t="str">
        <f aca="false">IF(AF455="","",RANK(AF455,$AF$2:$AF$500))</f>
        <v/>
      </c>
    </row>
    <row r="456" customFormat="false" ht="16.5" hidden="false" customHeight="true" outlineLevel="0" collapsed="false">
      <c r="A456" s="86"/>
      <c r="B456" s="86"/>
      <c r="C456" s="87" t="str">
        <f aca="false">IF(D456="","",IFERROR(INDEX(CADASTRO_VIVO_3CRE!$B$2:$B$150,MATCH(D456,CADASTRO_VIVO_3CRE!$E$2:$E$150,0)),""))</f>
        <v/>
      </c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8"/>
      <c r="S456" s="89" t="str">
        <f aca="true">IF(R456="","",TODAY()-INT(R456))</f>
        <v/>
      </c>
      <c r="T456" s="86"/>
      <c r="U456" s="86"/>
      <c r="V456" s="86"/>
      <c r="W456" s="88"/>
      <c r="X456" s="89" t="str">
        <f aca="true">IF(W456="","",IF(OR(O456="28 - Encerrado",O456="27 - Instalação concluída"),"Concluído",TODAY()-INT(W456)))</f>
        <v/>
      </c>
      <c r="Y456" s="90" t="str">
        <f aca="false">IF(OR(O456="28 - Encerrado",O456="27 - Instalação concluída"),"OK",IF(AND(B456&lt;&gt;"",S456=""),"ATENÇÃO (Sem data de atualização)",IF(S456="","",IF(S456&gt;30,"CRÍTICO (Sem Atualização &gt;30 dias)",IF(S456&gt;15,"ATENÇÃO (Sem Atualização &gt;15 dias)",IF(X456&gt;90,"CRÍTICO (Aberto &gt;90 dias)","OK"))))))</f>
        <v/>
      </c>
      <c r="Z456" s="90" t="str">
        <f aca="false">IF(B456="","",IF(OR(O456="27 - Instalação concluída",O456="28 - Encerrado"),"OK",IF(NOT(ISNUMBER(X456)),"",IF(X456&gt;365,"MUITO ANTIGO (&gt;1 ano)",IF(X456&gt;180,"ANTIGO (&gt;6 meses)",IF(X456&gt;90,"ATENÇÃO ANTIG. (&gt;3 meses)","OK"))))))</f>
        <v/>
      </c>
      <c r="AA456" s="86"/>
      <c r="AB456" s="69" t="str">
        <f aca="false">IF(AND(B456&lt;&gt;"",OR(T456="Pendente de Vistoria",T456="Não validada")),MAX($AB$1:$AB$455)+1,"")</f>
        <v/>
      </c>
      <c r="AC456" s="69" t="str">
        <f aca="false">IF(AND(B456&lt;&gt;"",OR(ISNUMBER(SEARCH("CTIN",P456)),U456="Alta",O456="07 - Relatório recebido — unidade apta",O456="11 - Orçamentos em análise técnica",O456="22 - Instalação/substituição autorizada")),MAX($AC$1:$AC$455)+1,"")</f>
        <v/>
      </c>
      <c r="AD456" s="69" t="str">
        <f aca="false">IF(AND(B456&lt;&gt;"",OR(ISNUMBER(SEARCH("CTO",P456)),LEFT(O456,2)="22",LEFT(O456,2)="23",LEFT(O456,2)="24",LEFT(O456,2)="25",LEFT(O456,2)="26",LEFT(O456,2)="27")),MAX($AD$1:$AD$455)+1,"")</f>
        <v/>
      </c>
      <c r="AE456" s="69" t="str">
        <f aca="false">IF(AND(B456&lt;&gt;"",D456=CONSULTA_UNIDADE!$B$4),MAX($AE$1:$AE$455)+1,"")</f>
        <v/>
      </c>
      <c r="AF456" s="69" t="str">
        <f aca="false">IF(AND(B456&lt;&gt;"",O456&lt;&gt;"27 - Instalação concluída",O456&lt;&gt;"28 - Encerrado",ISNUMBER(S456)),S456*1000+(1000-ROW()),"")</f>
        <v/>
      </c>
      <c r="AG456" s="69" t="str">
        <f aca="false">IF(AF456="","",RANK(AF456,$AF$2:$AF$500))</f>
        <v/>
      </c>
    </row>
    <row r="457" customFormat="false" ht="16.5" hidden="false" customHeight="true" outlineLevel="0" collapsed="false">
      <c r="A457" s="86"/>
      <c r="B457" s="86"/>
      <c r="C457" s="87" t="str">
        <f aca="false">IF(D457="","",IFERROR(INDEX(CADASTRO_VIVO_3CRE!$B$2:$B$150,MATCH(D457,CADASTRO_VIVO_3CRE!$E$2:$E$150,0)),""))</f>
        <v/>
      </c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8"/>
      <c r="S457" s="89" t="str">
        <f aca="true">IF(R457="","",TODAY()-INT(R457))</f>
        <v/>
      </c>
      <c r="T457" s="86"/>
      <c r="U457" s="86"/>
      <c r="V457" s="86"/>
      <c r="W457" s="88"/>
      <c r="X457" s="89" t="str">
        <f aca="true">IF(W457="","",IF(OR(O457="28 - Encerrado",O457="27 - Instalação concluída"),"Concluído",TODAY()-INT(W457)))</f>
        <v/>
      </c>
      <c r="Y457" s="90" t="str">
        <f aca="false">IF(OR(O457="28 - Encerrado",O457="27 - Instalação concluída"),"OK",IF(AND(B457&lt;&gt;"",S457=""),"ATENÇÃO (Sem data de atualização)",IF(S457="","",IF(S457&gt;30,"CRÍTICO (Sem Atualização &gt;30 dias)",IF(S457&gt;15,"ATENÇÃO (Sem Atualização &gt;15 dias)",IF(X457&gt;90,"CRÍTICO (Aberto &gt;90 dias)","OK"))))))</f>
        <v/>
      </c>
      <c r="Z457" s="90" t="str">
        <f aca="false">IF(B457="","",IF(OR(O457="27 - Instalação concluída",O457="28 - Encerrado"),"OK",IF(NOT(ISNUMBER(X457)),"",IF(X457&gt;365,"MUITO ANTIGO (&gt;1 ano)",IF(X457&gt;180,"ANTIGO (&gt;6 meses)",IF(X457&gt;90,"ATENÇÃO ANTIG. (&gt;3 meses)","OK"))))))</f>
        <v/>
      </c>
      <c r="AA457" s="86"/>
      <c r="AB457" s="69" t="str">
        <f aca="false">IF(AND(B457&lt;&gt;"",OR(T457="Pendente de Vistoria",T457="Não validada")),MAX($AB$1:$AB$456)+1,"")</f>
        <v/>
      </c>
      <c r="AC457" s="69" t="str">
        <f aca="false">IF(AND(B457&lt;&gt;"",OR(ISNUMBER(SEARCH("CTIN",P457)),U457="Alta",O457="07 - Relatório recebido — unidade apta",O457="11 - Orçamentos em análise técnica",O457="22 - Instalação/substituição autorizada")),MAX($AC$1:$AC$456)+1,"")</f>
        <v/>
      </c>
      <c r="AD457" s="69" t="str">
        <f aca="false">IF(AND(B457&lt;&gt;"",OR(ISNUMBER(SEARCH("CTO",P457)),LEFT(O457,2)="22",LEFT(O457,2)="23",LEFT(O457,2)="24",LEFT(O457,2)="25",LEFT(O457,2)="26",LEFT(O457,2)="27")),MAX($AD$1:$AD$456)+1,"")</f>
        <v/>
      </c>
      <c r="AE457" s="69" t="str">
        <f aca="false">IF(AND(B457&lt;&gt;"",D457=CONSULTA_UNIDADE!$B$4),MAX($AE$1:$AE$456)+1,"")</f>
        <v/>
      </c>
      <c r="AF457" s="69" t="str">
        <f aca="false">IF(AND(B457&lt;&gt;"",O457&lt;&gt;"27 - Instalação concluída",O457&lt;&gt;"28 - Encerrado",ISNUMBER(S457)),S457*1000+(1000-ROW()),"")</f>
        <v/>
      </c>
      <c r="AG457" s="69" t="str">
        <f aca="false">IF(AF457="","",RANK(AF457,$AF$2:$AF$500))</f>
        <v/>
      </c>
    </row>
    <row r="458" customFormat="false" ht="16.5" hidden="false" customHeight="true" outlineLevel="0" collapsed="false">
      <c r="A458" s="86"/>
      <c r="B458" s="86"/>
      <c r="C458" s="87" t="str">
        <f aca="false">IF(D458="","",IFERROR(INDEX(CADASTRO_VIVO_3CRE!$B$2:$B$150,MATCH(D458,CADASTRO_VIVO_3CRE!$E$2:$E$150,0)),""))</f>
        <v/>
      </c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8"/>
      <c r="S458" s="89" t="str">
        <f aca="true">IF(R458="","",TODAY()-INT(R458))</f>
        <v/>
      </c>
      <c r="T458" s="86"/>
      <c r="U458" s="86"/>
      <c r="V458" s="86"/>
      <c r="W458" s="88"/>
      <c r="X458" s="89" t="str">
        <f aca="true">IF(W458="","",IF(OR(O458="28 - Encerrado",O458="27 - Instalação concluída"),"Concluído",TODAY()-INT(W458)))</f>
        <v/>
      </c>
      <c r="Y458" s="90" t="str">
        <f aca="false">IF(OR(O458="28 - Encerrado",O458="27 - Instalação concluída"),"OK",IF(AND(B458&lt;&gt;"",S458=""),"ATENÇÃO (Sem data de atualização)",IF(S458="","",IF(S458&gt;30,"CRÍTICO (Sem Atualização &gt;30 dias)",IF(S458&gt;15,"ATENÇÃO (Sem Atualização &gt;15 dias)",IF(X458&gt;90,"CRÍTICO (Aberto &gt;90 dias)","OK"))))))</f>
        <v/>
      </c>
      <c r="Z458" s="90" t="str">
        <f aca="false">IF(B458="","",IF(OR(O458="27 - Instalação concluída",O458="28 - Encerrado"),"OK",IF(NOT(ISNUMBER(X458)),"",IF(X458&gt;365,"MUITO ANTIGO (&gt;1 ano)",IF(X458&gt;180,"ANTIGO (&gt;6 meses)",IF(X458&gt;90,"ATENÇÃO ANTIG. (&gt;3 meses)","OK"))))))</f>
        <v/>
      </c>
      <c r="AA458" s="86"/>
      <c r="AB458" s="69" t="str">
        <f aca="false">IF(AND(B458&lt;&gt;"",OR(T458="Pendente de Vistoria",T458="Não validada")),MAX($AB$1:$AB$457)+1,"")</f>
        <v/>
      </c>
      <c r="AC458" s="69" t="str">
        <f aca="false">IF(AND(B458&lt;&gt;"",OR(ISNUMBER(SEARCH("CTIN",P458)),U458="Alta",O458="07 - Relatório recebido — unidade apta",O458="11 - Orçamentos em análise técnica",O458="22 - Instalação/substituição autorizada")),MAX($AC$1:$AC$457)+1,"")</f>
        <v/>
      </c>
      <c r="AD458" s="69" t="str">
        <f aca="false">IF(AND(B458&lt;&gt;"",OR(ISNUMBER(SEARCH("CTO",P458)),LEFT(O458,2)="22",LEFT(O458,2)="23",LEFT(O458,2)="24",LEFT(O458,2)="25",LEFT(O458,2)="26",LEFT(O458,2)="27")),MAX($AD$1:$AD$457)+1,"")</f>
        <v/>
      </c>
      <c r="AE458" s="69" t="str">
        <f aca="false">IF(AND(B458&lt;&gt;"",D458=CONSULTA_UNIDADE!$B$4),MAX($AE$1:$AE$457)+1,"")</f>
        <v/>
      </c>
      <c r="AF458" s="69" t="str">
        <f aca="false">IF(AND(B458&lt;&gt;"",O458&lt;&gt;"27 - Instalação concluída",O458&lt;&gt;"28 - Encerrado",ISNUMBER(S458)),S458*1000+(1000-ROW()),"")</f>
        <v/>
      </c>
      <c r="AG458" s="69" t="str">
        <f aca="false">IF(AF458="","",RANK(AF458,$AF$2:$AF$500))</f>
        <v/>
      </c>
    </row>
    <row r="459" customFormat="false" ht="16.5" hidden="false" customHeight="true" outlineLevel="0" collapsed="false">
      <c r="A459" s="86"/>
      <c r="B459" s="86"/>
      <c r="C459" s="87" t="str">
        <f aca="false">IF(D459="","",IFERROR(INDEX(CADASTRO_VIVO_3CRE!$B$2:$B$150,MATCH(D459,CADASTRO_VIVO_3CRE!$E$2:$E$150,0)),""))</f>
        <v/>
      </c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8"/>
      <c r="S459" s="89" t="str">
        <f aca="true">IF(R459="","",TODAY()-INT(R459))</f>
        <v/>
      </c>
      <c r="T459" s="86"/>
      <c r="U459" s="86"/>
      <c r="V459" s="86"/>
      <c r="W459" s="88"/>
      <c r="X459" s="89" t="str">
        <f aca="true">IF(W459="","",IF(OR(O459="28 - Encerrado",O459="27 - Instalação concluída"),"Concluído",TODAY()-INT(W459)))</f>
        <v/>
      </c>
      <c r="Y459" s="90" t="str">
        <f aca="false">IF(OR(O459="28 - Encerrado",O459="27 - Instalação concluída"),"OK",IF(AND(B459&lt;&gt;"",S459=""),"ATENÇÃO (Sem data de atualização)",IF(S459="","",IF(S459&gt;30,"CRÍTICO (Sem Atualização &gt;30 dias)",IF(S459&gt;15,"ATENÇÃO (Sem Atualização &gt;15 dias)",IF(X459&gt;90,"CRÍTICO (Aberto &gt;90 dias)","OK"))))))</f>
        <v/>
      </c>
      <c r="Z459" s="90" t="str">
        <f aca="false">IF(B459="","",IF(OR(O459="27 - Instalação concluída",O459="28 - Encerrado"),"OK",IF(NOT(ISNUMBER(X459)),"",IF(X459&gt;365,"MUITO ANTIGO (&gt;1 ano)",IF(X459&gt;180,"ANTIGO (&gt;6 meses)",IF(X459&gt;90,"ATENÇÃO ANTIG. (&gt;3 meses)","OK"))))))</f>
        <v/>
      </c>
      <c r="AA459" s="86"/>
      <c r="AB459" s="69" t="str">
        <f aca="false">IF(AND(B459&lt;&gt;"",OR(T459="Pendente de Vistoria",T459="Não validada")),MAX($AB$1:$AB$458)+1,"")</f>
        <v/>
      </c>
      <c r="AC459" s="69" t="str">
        <f aca="false">IF(AND(B459&lt;&gt;"",OR(ISNUMBER(SEARCH("CTIN",P459)),U459="Alta",O459="07 - Relatório recebido — unidade apta",O459="11 - Orçamentos em análise técnica",O459="22 - Instalação/substituição autorizada")),MAX($AC$1:$AC$458)+1,"")</f>
        <v/>
      </c>
      <c r="AD459" s="69" t="str">
        <f aca="false">IF(AND(B459&lt;&gt;"",OR(ISNUMBER(SEARCH("CTO",P459)),LEFT(O459,2)="22",LEFT(O459,2)="23",LEFT(O459,2)="24",LEFT(O459,2)="25",LEFT(O459,2)="26",LEFT(O459,2)="27")),MAX($AD$1:$AD$458)+1,"")</f>
        <v/>
      </c>
      <c r="AE459" s="69" t="str">
        <f aca="false">IF(AND(B459&lt;&gt;"",D459=CONSULTA_UNIDADE!$B$4),MAX($AE$1:$AE$458)+1,"")</f>
        <v/>
      </c>
      <c r="AF459" s="69" t="str">
        <f aca="false">IF(AND(B459&lt;&gt;"",O459&lt;&gt;"27 - Instalação concluída",O459&lt;&gt;"28 - Encerrado",ISNUMBER(S459)),S459*1000+(1000-ROW()),"")</f>
        <v/>
      </c>
      <c r="AG459" s="69" t="str">
        <f aca="false">IF(AF459="","",RANK(AF459,$AF$2:$AF$500))</f>
        <v/>
      </c>
    </row>
    <row r="460" customFormat="false" ht="16.5" hidden="false" customHeight="true" outlineLevel="0" collapsed="false">
      <c r="A460" s="86"/>
      <c r="B460" s="86"/>
      <c r="C460" s="87" t="str">
        <f aca="false">IF(D460="","",IFERROR(INDEX(CADASTRO_VIVO_3CRE!$B$2:$B$150,MATCH(D460,CADASTRO_VIVO_3CRE!$E$2:$E$150,0)),""))</f>
        <v/>
      </c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8"/>
      <c r="S460" s="89" t="str">
        <f aca="true">IF(R460="","",TODAY()-INT(R460))</f>
        <v/>
      </c>
      <c r="T460" s="86"/>
      <c r="U460" s="86"/>
      <c r="V460" s="86"/>
      <c r="W460" s="88"/>
      <c r="X460" s="89" t="str">
        <f aca="true">IF(W460="","",IF(OR(O460="28 - Encerrado",O460="27 - Instalação concluída"),"Concluído",TODAY()-INT(W460)))</f>
        <v/>
      </c>
      <c r="Y460" s="90" t="str">
        <f aca="false">IF(OR(O460="28 - Encerrado",O460="27 - Instalação concluída"),"OK",IF(AND(B460&lt;&gt;"",S460=""),"ATENÇÃO (Sem data de atualização)",IF(S460="","",IF(S460&gt;30,"CRÍTICO (Sem Atualização &gt;30 dias)",IF(S460&gt;15,"ATENÇÃO (Sem Atualização &gt;15 dias)",IF(X460&gt;90,"CRÍTICO (Aberto &gt;90 dias)","OK"))))))</f>
        <v/>
      </c>
      <c r="Z460" s="90" t="str">
        <f aca="false">IF(B460="","",IF(OR(O460="27 - Instalação concluída",O460="28 - Encerrado"),"OK",IF(NOT(ISNUMBER(X460)),"",IF(X460&gt;365,"MUITO ANTIGO (&gt;1 ano)",IF(X460&gt;180,"ANTIGO (&gt;6 meses)",IF(X460&gt;90,"ATENÇÃO ANTIG. (&gt;3 meses)","OK"))))))</f>
        <v/>
      </c>
      <c r="AA460" s="86"/>
      <c r="AB460" s="69" t="str">
        <f aca="false">IF(AND(B460&lt;&gt;"",OR(T460="Pendente de Vistoria",T460="Não validada")),MAX($AB$1:$AB$459)+1,"")</f>
        <v/>
      </c>
      <c r="AC460" s="69" t="str">
        <f aca="false">IF(AND(B460&lt;&gt;"",OR(ISNUMBER(SEARCH("CTIN",P460)),U460="Alta",O460="07 - Relatório recebido — unidade apta",O460="11 - Orçamentos em análise técnica",O460="22 - Instalação/substituição autorizada")),MAX($AC$1:$AC$459)+1,"")</f>
        <v/>
      </c>
      <c r="AD460" s="69" t="str">
        <f aca="false">IF(AND(B460&lt;&gt;"",OR(ISNUMBER(SEARCH("CTO",P460)),LEFT(O460,2)="22",LEFT(O460,2)="23",LEFT(O460,2)="24",LEFT(O460,2)="25",LEFT(O460,2)="26",LEFT(O460,2)="27")),MAX($AD$1:$AD$459)+1,"")</f>
        <v/>
      </c>
      <c r="AE460" s="69" t="str">
        <f aca="false">IF(AND(B460&lt;&gt;"",D460=CONSULTA_UNIDADE!$B$4),MAX($AE$1:$AE$459)+1,"")</f>
        <v/>
      </c>
      <c r="AF460" s="69" t="str">
        <f aca="false">IF(AND(B460&lt;&gt;"",O460&lt;&gt;"27 - Instalação concluída",O460&lt;&gt;"28 - Encerrado",ISNUMBER(S460)),S460*1000+(1000-ROW()),"")</f>
        <v/>
      </c>
      <c r="AG460" s="69" t="str">
        <f aca="false">IF(AF460="","",RANK(AF460,$AF$2:$AF$500))</f>
        <v/>
      </c>
    </row>
    <row r="461" customFormat="false" ht="16.5" hidden="false" customHeight="true" outlineLevel="0" collapsed="false">
      <c r="A461" s="86"/>
      <c r="B461" s="86"/>
      <c r="C461" s="87" t="str">
        <f aca="false">IF(D461="","",IFERROR(INDEX(CADASTRO_VIVO_3CRE!$B$2:$B$150,MATCH(D461,CADASTRO_VIVO_3CRE!$E$2:$E$150,0)),""))</f>
        <v/>
      </c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8"/>
      <c r="S461" s="89" t="str">
        <f aca="true">IF(R461="","",TODAY()-INT(R461))</f>
        <v/>
      </c>
      <c r="T461" s="86"/>
      <c r="U461" s="86"/>
      <c r="V461" s="86"/>
      <c r="W461" s="88"/>
      <c r="X461" s="89" t="str">
        <f aca="true">IF(W461="","",IF(OR(O461="28 - Encerrado",O461="27 - Instalação concluída"),"Concluído",TODAY()-INT(W461)))</f>
        <v/>
      </c>
      <c r="Y461" s="90" t="str">
        <f aca="false">IF(OR(O461="28 - Encerrado",O461="27 - Instalação concluída"),"OK",IF(AND(B461&lt;&gt;"",S461=""),"ATENÇÃO (Sem data de atualização)",IF(S461="","",IF(S461&gt;30,"CRÍTICO (Sem Atualização &gt;30 dias)",IF(S461&gt;15,"ATENÇÃO (Sem Atualização &gt;15 dias)",IF(X461&gt;90,"CRÍTICO (Aberto &gt;90 dias)","OK"))))))</f>
        <v/>
      </c>
      <c r="Z461" s="90" t="str">
        <f aca="false">IF(B461="","",IF(OR(O461="27 - Instalação concluída",O461="28 - Encerrado"),"OK",IF(NOT(ISNUMBER(X461)),"",IF(X461&gt;365,"MUITO ANTIGO (&gt;1 ano)",IF(X461&gt;180,"ANTIGO (&gt;6 meses)",IF(X461&gt;90,"ATENÇÃO ANTIG. (&gt;3 meses)","OK"))))))</f>
        <v/>
      </c>
      <c r="AA461" s="86"/>
      <c r="AB461" s="69" t="str">
        <f aca="false">IF(AND(B461&lt;&gt;"",OR(T461="Pendente de Vistoria",T461="Não validada")),MAX($AB$1:$AB$460)+1,"")</f>
        <v/>
      </c>
      <c r="AC461" s="69" t="str">
        <f aca="false">IF(AND(B461&lt;&gt;"",OR(ISNUMBER(SEARCH("CTIN",P461)),U461="Alta",O461="07 - Relatório recebido — unidade apta",O461="11 - Orçamentos em análise técnica",O461="22 - Instalação/substituição autorizada")),MAX($AC$1:$AC$460)+1,"")</f>
        <v/>
      </c>
      <c r="AD461" s="69" t="str">
        <f aca="false">IF(AND(B461&lt;&gt;"",OR(ISNUMBER(SEARCH("CTO",P461)),LEFT(O461,2)="22",LEFT(O461,2)="23",LEFT(O461,2)="24",LEFT(O461,2)="25",LEFT(O461,2)="26",LEFT(O461,2)="27")),MAX($AD$1:$AD$460)+1,"")</f>
        <v/>
      </c>
      <c r="AE461" s="69" t="str">
        <f aca="false">IF(AND(B461&lt;&gt;"",D461=CONSULTA_UNIDADE!$B$4),MAX($AE$1:$AE$460)+1,"")</f>
        <v/>
      </c>
      <c r="AF461" s="69" t="str">
        <f aca="false">IF(AND(B461&lt;&gt;"",O461&lt;&gt;"27 - Instalação concluída",O461&lt;&gt;"28 - Encerrado",ISNUMBER(S461)),S461*1000+(1000-ROW()),"")</f>
        <v/>
      </c>
      <c r="AG461" s="69" t="str">
        <f aca="false">IF(AF461="","",RANK(AF461,$AF$2:$AF$500))</f>
        <v/>
      </c>
    </row>
    <row r="462" customFormat="false" ht="16.5" hidden="false" customHeight="true" outlineLevel="0" collapsed="false">
      <c r="A462" s="86"/>
      <c r="B462" s="86"/>
      <c r="C462" s="87" t="str">
        <f aca="false">IF(D462="","",IFERROR(INDEX(CADASTRO_VIVO_3CRE!$B$2:$B$150,MATCH(D462,CADASTRO_VIVO_3CRE!$E$2:$E$150,0)),""))</f>
        <v/>
      </c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8"/>
      <c r="S462" s="89" t="str">
        <f aca="true">IF(R462="","",TODAY()-INT(R462))</f>
        <v/>
      </c>
      <c r="T462" s="86"/>
      <c r="U462" s="86"/>
      <c r="V462" s="86"/>
      <c r="W462" s="88"/>
      <c r="X462" s="89" t="str">
        <f aca="true">IF(W462="","",IF(OR(O462="28 - Encerrado",O462="27 - Instalação concluída"),"Concluído",TODAY()-INT(W462)))</f>
        <v/>
      </c>
      <c r="Y462" s="90" t="str">
        <f aca="false">IF(OR(O462="28 - Encerrado",O462="27 - Instalação concluída"),"OK",IF(AND(B462&lt;&gt;"",S462=""),"ATENÇÃO (Sem data de atualização)",IF(S462="","",IF(S462&gt;30,"CRÍTICO (Sem Atualização &gt;30 dias)",IF(S462&gt;15,"ATENÇÃO (Sem Atualização &gt;15 dias)",IF(X462&gt;90,"CRÍTICO (Aberto &gt;90 dias)","OK"))))))</f>
        <v/>
      </c>
      <c r="Z462" s="90" t="str">
        <f aca="false">IF(B462="","",IF(OR(O462="27 - Instalação concluída",O462="28 - Encerrado"),"OK",IF(NOT(ISNUMBER(X462)),"",IF(X462&gt;365,"MUITO ANTIGO (&gt;1 ano)",IF(X462&gt;180,"ANTIGO (&gt;6 meses)",IF(X462&gt;90,"ATENÇÃO ANTIG. (&gt;3 meses)","OK"))))))</f>
        <v/>
      </c>
      <c r="AA462" s="86"/>
      <c r="AB462" s="69" t="str">
        <f aca="false">IF(AND(B462&lt;&gt;"",OR(T462="Pendente de Vistoria",T462="Não validada")),MAX($AB$1:$AB$461)+1,"")</f>
        <v/>
      </c>
      <c r="AC462" s="69" t="str">
        <f aca="false">IF(AND(B462&lt;&gt;"",OR(ISNUMBER(SEARCH("CTIN",P462)),U462="Alta",O462="07 - Relatório recebido — unidade apta",O462="11 - Orçamentos em análise técnica",O462="22 - Instalação/substituição autorizada")),MAX($AC$1:$AC$461)+1,"")</f>
        <v/>
      </c>
      <c r="AD462" s="69" t="str">
        <f aca="false">IF(AND(B462&lt;&gt;"",OR(ISNUMBER(SEARCH("CTO",P462)),LEFT(O462,2)="22",LEFT(O462,2)="23",LEFT(O462,2)="24",LEFT(O462,2)="25",LEFT(O462,2)="26",LEFT(O462,2)="27")),MAX($AD$1:$AD$461)+1,"")</f>
        <v/>
      </c>
      <c r="AE462" s="69" t="str">
        <f aca="false">IF(AND(B462&lt;&gt;"",D462=CONSULTA_UNIDADE!$B$4),MAX($AE$1:$AE$461)+1,"")</f>
        <v/>
      </c>
      <c r="AF462" s="69" t="str">
        <f aca="false">IF(AND(B462&lt;&gt;"",O462&lt;&gt;"27 - Instalação concluída",O462&lt;&gt;"28 - Encerrado",ISNUMBER(S462)),S462*1000+(1000-ROW()),"")</f>
        <v/>
      </c>
      <c r="AG462" s="69" t="str">
        <f aca="false">IF(AF462="","",RANK(AF462,$AF$2:$AF$500))</f>
        <v/>
      </c>
    </row>
    <row r="463" customFormat="false" ht="16.5" hidden="false" customHeight="true" outlineLevel="0" collapsed="false">
      <c r="A463" s="86"/>
      <c r="B463" s="86"/>
      <c r="C463" s="87" t="str">
        <f aca="false">IF(D463="","",IFERROR(INDEX(CADASTRO_VIVO_3CRE!$B$2:$B$150,MATCH(D463,CADASTRO_VIVO_3CRE!$E$2:$E$150,0)),""))</f>
        <v/>
      </c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8"/>
      <c r="S463" s="89" t="str">
        <f aca="true">IF(R463="","",TODAY()-INT(R463))</f>
        <v/>
      </c>
      <c r="T463" s="86"/>
      <c r="U463" s="86"/>
      <c r="V463" s="86"/>
      <c r="W463" s="88"/>
      <c r="X463" s="89" t="str">
        <f aca="true">IF(W463="","",IF(OR(O463="28 - Encerrado",O463="27 - Instalação concluída"),"Concluído",TODAY()-INT(W463)))</f>
        <v/>
      </c>
      <c r="Y463" s="90" t="str">
        <f aca="false">IF(OR(O463="28 - Encerrado",O463="27 - Instalação concluída"),"OK",IF(AND(B463&lt;&gt;"",S463=""),"ATENÇÃO (Sem data de atualização)",IF(S463="","",IF(S463&gt;30,"CRÍTICO (Sem Atualização &gt;30 dias)",IF(S463&gt;15,"ATENÇÃO (Sem Atualização &gt;15 dias)",IF(X463&gt;90,"CRÍTICO (Aberto &gt;90 dias)","OK"))))))</f>
        <v/>
      </c>
      <c r="Z463" s="90" t="str">
        <f aca="false">IF(B463="","",IF(OR(O463="27 - Instalação concluída",O463="28 - Encerrado"),"OK",IF(NOT(ISNUMBER(X463)),"",IF(X463&gt;365,"MUITO ANTIGO (&gt;1 ano)",IF(X463&gt;180,"ANTIGO (&gt;6 meses)",IF(X463&gt;90,"ATENÇÃO ANTIG. (&gt;3 meses)","OK"))))))</f>
        <v/>
      </c>
      <c r="AA463" s="86"/>
      <c r="AB463" s="69" t="str">
        <f aca="false">IF(AND(B463&lt;&gt;"",OR(T463="Pendente de Vistoria",T463="Não validada")),MAX($AB$1:$AB$462)+1,"")</f>
        <v/>
      </c>
      <c r="AC463" s="69" t="str">
        <f aca="false">IF(AND(B463&lt;&gt;"",OR(ISNUMBER(SEARCH("CTIN",P463)),U463="Alta",O463="07 - Relatório recebido — unidade apta",O463="11 - Orçamentos em análise técnica",O463="22 - Instalação/substituição autorizada")),MAX($AC$1:$AC$462)+1,"")</f>
        <v/>
      </c>
      <c r="AD463" s="69" t="str">
        <f aca="false">IF(AND(B463&lt;&gt;"",OR(ISNUMBER(SEARCH("CTO",P463)),LEFT(O463,2)="22",LEFT(O463,2)="23",LEFT(O463,2)="24",LEFT(O463,2)="25",LEFT(O463,2)="26",LEFT(O463,2)="27")),MAX($AD$1:$AD$462)+1,"")</f>
        <v/>
      </c>
      <c r="AE463" s="69" t="str">
        <f aca="false">IF(AND(B463&lt;&gt;"",D463=CONSULTA_UNIDADE!$B$4),MAX($AE$1:$AE$462)+1,"")</f>
        <v/>
      </c>
      <c r="AF463" s="69" t="str">
        <f aca="false">IF(AND(B463&lt;&gt;"",O463&lt;&gt;"27 - Instalação concluída",O463&lt;&gt;"28 - Encerrado",ISNUMBER(S463)),S463*1000+(1000-ROW()),"")</f>
        <v/>
      </c>
      <c r="AG463" s="69" t="str">
        <f aca="false">IF(AF463="","",RANK(AF463,$AF$2:$AF$500))</f>
        <v/>
      </c>
    </row>
    <row r="464" customFormat="false" ht="16.5" hidden="false" customHeight="true" outlineLevel="0" collapsed="false">
      <c r="A464" s="86"/>
      <c r="B464" s="86"/>
      <c r="C464" s="87" t="str">
        <f aca="false">IF(D464="","",IFERROR(INDEX(CADASTRO_VIVO_3CRE!$B$2:$B$150,MATCH(D464,CADASTRO_VIVO_3CRE!$E$2:$E$150,0)),""))</f>
        <v/>
      </c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8"/>
      <c r="S464" s="89" t="str">
        <f aca="true">IF(R464="","",TODAY()-INT(R464))</f>
        <v/>
      </c>
      <c r="T464" s="86"/>
      <c r="U464" s="86"/>
      <c r="V464" s="86"/>
      <c r="W464" s="88"/>
      <c r="X464" s="89" t="str">
        <f aca="true">IF(W464="","",IF(OR(O464="28 - Encerrado",O464="27 - Instalação concluída"),"Concluído",TODAY()-INT(W464)))</f>
        <v/>
      </c>
      <c r="Y464" s="90" t="str">
        <f aca="false">IF(OR(O464="28 - Encerrado",O464="27 - Instalação concluída"),"OK",IF(AND(B464&lt;&gt;"",S464=""),"ATENÇÃO (Sem data de atualização)",IF(S464="","",IF(S464&gt;30,"CRÍTICO (Sem Atualização &gt;30 dias)",IF(S464&gt;15,"ATENÇÃO (Sem Atualização &gt;15 dias)",IF(X464&gt;90,"CRÍTICO (Aberto &gt;90 dias)","OK"))))))</f>
        <v/>
      </c>
      <c r="Z464" s="90" t="str">
        <f aca="false">IF(B464="","",IF(OR(O464="27 - Instalação concluída",O464="28 - Encerrado"),"OK",IF(NOT(ISNUMBER(X464)),"",IF(X464&gt;365,"MUITO ANTIGO (&gt;1 ano)",IF(X464&gt;180,"ANTIGO (&gt;6 meses)",IF(X464&gt;90,"ATENÇÃO ANTIG. (&gt;3 meses)","OK"))))))</f>
        <v/>
      </c>
      <c r="AA464" s="86"/>
      <c r="AB464" s="69" t="str">
        <f aca="false">IF(AND(B464&lt;&gt;"",OR(T464="Pendente de Vistoria",T464="Não validada")),MAX($AB$1:$AB$463)+1,"")</f>
        <v/>
      </c>
      <c r="AC464" s="69" t="str">
        <f aca="false">IF(AND(B464&lt;&gt;"",OR(ISNUMBER(SEARCH("CTIN",P464)),U464="Alta",O464="07 - Relatório recebido — unidade apta",O464="11 - Orçamentos em análise técnica",O464="22 - Instalação/substituição autorizada")),MAX($AC$1:$AC$463)+1,"")</f>
        <v/>
      </c>
      <c r="AD464" s="69" t="str">
        <f aca="false">IF(AND(B464&lt;&gt;"",OR(ISNUMBER(SEARCH("CTO",P464)),LEFT(O464,2)="22",LEFT(O464,2)="23",LEFT(O464,2)="24",LEFT(O464,2)="25",LEFT(O464,2)="26",LEFT(O464,2)="27")),MAX($AD$1:$AD$463)+1,"")</f>
        <v/>
      </c>
      <c r="AE464" s="69" t="str">
        <f aca="false">IF(AND(B464&lt;&gt;"",D464=CONSULTA_UNIDADE!$B$4),MAX($AE$1:$AE$463)+1,"")</f>
        <v/>
      </c>
      <c r="AF464" s="69" t="str">
        <f aca="false">IF(AND(B464&lt;&gt;"",O464&lt;&gt;"27 - Instalação concluída",O464&lt;&gt;"28 - Encerrado",ISNUMBER(S464)),S464*1000+(1000-ROW()),"")</f>
        <v/>
      </c>
      <c r="AG464" s="69" t="str">
        <f aca="false">IF(AF464="","",RANK(AF464,$AF$2:$AF$500))</f>
        <v/>
      </c>
    </row>
    <row r="465" customFormat="false" ht="16.5" hidden="false" customHeight="true" outlineLevel="0" collapsed="false">
      <c r="A465" s="86"/>
      <c r="B465" s="86"/>
      <c r="C465" s="87" t="str">
        <f aca="false">IF(D465="","",IFERROR(INDEX(CADASTRO_VIVO_3CRE!$B$2:$B$150,MATCH(D465,CADASTRO_VIVO_3CRE!$E$2:$E$150,0)),""))</f>
        <v/>
      </c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8"/>
      <c r="S465" s="89" t="str">
        <f aca="true">IF(R465="","",TODAY()-INT(R465))</f>
        <v/>
      </c>
      <c r="T465" s="86"/>
      <c r="U465" s="86"/>
      <c r="V465" s="86"/>
      <c r="W465" s="88"/>
      <c r="X465" s="89" t="str">
        <f aca="true">IF(W465="","",IF(OR(O465="28 - Encerrado",O465="27 - Instalação concluída"),"Concluído",TODAY()-INT(W465)))</f>
        <v/>
      </c>
      <c r="Y465" s="90" t="str">
        <f aca="false">IF(OR(O465="28 - Encerrado",O465="27 - Instalação concluída"),"OK",IF(AND(B465&lt;&gt;"",S465=""),"ATENÇÃO (Sem data de atualização)",IF(S465="","",IF(S465&gt;30,"CRÍTICO (Sem Atualização &gt;30 dias)",IF(S465&gt;15,"ATENÇÃO (Sem Atualização &gt;15 dias)",IF(X465&gt;90,"CRÍTICO (Aberto &gt;90 dias)","OK"))))))</f>
        <v/>
      </c>
      <c r="Z465" s="90" t="str">
        <f aca="false">IF(B465="","",IF(OR(O465="27 - Instalação concluída",O465="28 - Encerrado"),"OK",IF(NOT(ISNUMBER(X465)),"",IF(X465&gt;365,"MUITO ANTIGO (&gt;1 ano)",IF(X465&gt;180,"ANTIGO (&gt;6 meses)",IF(X465&gt;90,"ATENÇÃO ANTIG. (&gt;3 meses)","OK"))))))</f>
        <v/>
      </c>
      <c r="AA465" s="86"/>
      <c r="AB465" s="69" t="str">
        <f aca="false">IF(AND(B465&lt;&gt;"",OR(T465="Pendente de Vistoria",T465="Não validada")),MAX($AB$1:$AB$464)+1,"")</f>
        <v/>
      </c>
      <c r="AC465" s="69" t="str">
        <f aca="false">IF(AND(B465&lt;&gt;"",OR(ISNUMBER(SEARCH("CTIN",P465)),U465="Alta",O465="07 - Relatório recebido — unidade apta",O465="11 - Orçamentos em análise técnica",O465="22 - Instalação/substituição autorizada")),MAX($AC$1:$AC$464)+1,"")</f>
        <v/>
      </c>
      <c r="AD465" s="69" t="str">
        <f aca="false">IF(AND(B465&lt;&gt;"",OR(ISNUMBER(SEARCH("CTO",P465)),LEFT(O465,2)="22",LEFT(O465,2)="23",LEFT(O465,2)="24",LEFT(O465,2)="25",LEFT(O465,2)="26",LEFT(O465,2)="27")),MAX($AD$1:$AD$464)+1,"")</f>
        <v/>
      </c>
      <c r="AE465" s="69" t="str">
        <f aca="false">IF(AND(B465&lt;&gt;"",D465=CONSULTA_UNIDADE!$B$4),MAX($AE$1:$AE$464)+1,"")</f>
        <v/>
      </c>
      <c r="AF465" s="69" t="str">
        <f aca="false">IF(AND(B465&lt;&gt;"",O465&lt;&gt;"27 - Instalação concluída",O465&lt;&gt;"28 - Encerrado",ISNUMBER(S465)),S465*1000+(1000-ROW()),"")</f>
        <v/>
      </c>
      <c r="AG465" s="69" t="str">
        <f aca="false">IF(AF465="","",RANK(AF465,$AF$2:$AF$500))</f>
        <v/>
      </c>
    </row>
    <row r="466" customFormat="false" ht="16.5" hidden="false" customHeight="true" outlineLevel="0" collapsed="false">
      <c r="A466" s="86"/>
      <c r="B466" s="86"/>
      <c r="C466" s="87" t="str">
        <f aca="false">IF(D466="","",IFERROR(INDEX(CADASTRO_VIVO_3CRE!$B$2:$B$150,MATCH(D466,CADASTRO_VIVO_3CRE!$E$2:$E$150,0)),""))</f>
        <v/>
      </c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8"/>
      <c r="S466" s="89" t="str">
        <f aca="true">IF(R466="","",TODAY()-INT(R466))</f>
        <v/>
      </c>
      <c r="T466" s="86"/>
      <c r="U466" s="86"/>
      <c r="V466" s="86"/>
      <c r="W466" s="88"/>
      <c r="X466" s="89" t="str">
        <f aca="true">IF(W466="","",IF(OR(O466="28 - Encerrado",O466="27 - Instalação concluída"),"Concluído",TODAY()-INT(W466)))</f>
        <v/>
      </c>
      <c r="Y466" s="90" t="str">
        <f aca="false">IF(OR(O466="28 - Encerrado",O466="27 - Instalação concluída"),"OK",IF(AND(B466&lt;&gt;"",S466=""),"ATENÇÃO (Sem data de atualização)",IF(S466="","",IF(S466&gt;30,"CRÍTICO (Sem Atualização &gt;30 dias)",IF(S466&gt;15,"ATENÇÃO (Sem Atualização &gt;15 dias)",IF(X466&gt;90,"CRÍTICO (Aberto &gt;90 dias)","OK"))))))</f>
        <v/>
      </c>
      <c r="Z466" s="90" t="str">
        <f aca="false">IF(B466="","",IF(OR(O466="27 - Instalação concluída",O466="28 - Encerrado"),"OK",IF(NOT(ISNUMBER(X466)),"",IF(X466&gt;365,"MUITO ANTIGO (&gt;1 ano)",IF(X466&gt;180,"ANTIGO (&gt;6 meses)",IF(X466&gt;90,"ATENÇÃO ANTIG. (&gt;3 meses)","OK"))))))</f>
        <v/>
      </c>
      <c r="AA466" s="86"/>
      <c r="AB466" s="69" t="str">
        <f aca="false">IF(AND(B466&lt;&gt;"",OR(T466="Pendente de Vistoria",T466="Não validada")),MAX($AB$1:$AB$465)+1,"")</f>
        <v/>
      </c>
      <c r="AC466" s="69" t="str">
        <f aca="false">IF(AND(B466&lt;&gt;"",OR(ISNUMBER(SEARCH("CTIN",P466)),U466="Alta",O466="07 - Relatório recebido — unidade apta",O466="11 - Orçamentos em análise técnica",O466="22 - Instalação/substituição autorizada")),MAX($AC$1:$AC$465)+1,"")</f>
        <v/>
      </c>
      <c r="AD466" s="69" t="str">
        <f aca="false">IF(AND(B466&lt;&gt;"",OR(ISNUMBER(SEARCH("CTO",P466)),LEFT(O466,2)="22",LEFT(O466,2)="23",LEFT(O466,2)="24",LEFT(O466,2)="25",LEFT(O466,2)="26",LEFT(O466,2)="27")),MAX($AD$1:$AD$465)+1,"")</f>
        <v/>
      </c>
      <c r="AE466" s="69" t="str">
        <f aca="false">IF(AND(B466&lt;&gt;"",D466=CONSULTA_UNIDADE!$B$4),MAX($AE$1:$AE$465)+1,"")</f>
        <v/>
      </c>
      <c r="AF466" s="69" t="str">
        <f aca="false">IF(AND(B466&lt;&gt;"",O466&lt;&gt;"27 - Instalação concluída",O466&lt;&gt;"28 - Encerrado",ISNUMBER(S466)),S466*1000+(1000-ROW()),"")</f>
        <v/>
      </c>
      <c r="AG466" s="69" t="str">
        <f aca="false">IF(AF466="","",RANK(AF466,$AF$2:$AF$500))</f>
        <v/>
      </c>
    </row>
    <row r="467" customFormat="false" ht="16.5" hidden="false" customHeight="true" outlineLevel="0" collapsed="false">
      <c r="A467" s="86"/>
      <c r="B467" s="86"/>
      <c r="C467" s="87" t="str">
        <f aca="false">IF(D467="","",IFERROR(INDEX(CADASTRO_VIVO_3CRE!$B$2:$B$150,MATCH(D467,CADASTRO_VIVO_3CRE!$E$2:$E$150,0)),""))</f>
        <v/>
      </c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8"/>
      <c r="S467" s="89" t="str">
        <f aca="true">IF(R467="","",TODAY()-INT(R467))</f>
        <v/>
      </c>
      <c r="T467" s="86"/>
      <c r="U467" s="86"/>
      <c r="V467" s="86"/>
      <c r="W467" s="88"/>
      <c r="X467" s="89" t="str">
        <f aca="true">IF(W467="","",IF(OR(O467="28 - Encerrado",O467="27 - Instalação concluída"),"Concluído",TODAY()-INT(W467)))</f>
        <v/>
      </c>
      <c r="Y467" s="90" t="str">
        <f aca="false">IF(OR(O467="28 - Encerrado",O467="27 - Instalação concluída"),"OK",IF(AND(B467&lt;&gt;"",S467=""),"ATENÇÃO (Sem data de atualização)",IF(S467="","",IF(S467&gt;30,"CRÍTICO (Sem Atualização &gt;30 dias)",IF(S467&gt;15,"ATENÇÃO (Sem Atualização &gt;15 dias)",IF(X467&gt;90,"CRÍTICO (Aberto &gt;90 dias)","OK"))))))</f>
        <v/>
      </c>
      <c r="Z467" s="90" t="str">
        <f aca="false">IF(B467="","",IF(OR(O467="27 - Instalação concluída",O467="28 - Encerrado"),"OK",IF(NOT(ISNUMBER(X467)),"",IF(X467&gt;365,"MUITO ANTIGO (&gt;1 ano)",IF(X467&gt;180,"ANTIGO (&gt;6 meses)",IF(X467&gt;90,"ATENÇÃO ANTIG. (&gt;3 meses)","OK"))))))</f>
        <v/>
      </c>
      <c r="AA467" s="86"/>
      <c r="AB467" s="69" t="str">
        <f aca="false">IF(AND(B467&lt;&gt;"",OR(T467="Pendente de Vistoria",T467="Não validada")),MAX($AB$1:$AB$466)+1,"")</f>
        <v/>
      </c>
      <c r="AC467" s="69" t="str">
        <f aca="false">IF(AND(B467&lt;&gt;"",OR(ISNUMBER(SEARCH("CTIN",P467)),U467="Alta",O467="07 - Relatório recebido — unidade apta",O467="11 - Orçamentos em análise técnica",O467="22 - Instalação/substituição autorizada")),MAX($AC$1:$AC$466)+1,"")</f>
        <v/>
      </c>
      <c r="AD467" s="69" t="str">
        <f aca="false">IF(AND(B467&lt;&gt;"",OR(ISNUMBER(SEARCH("CTO",P467)),LEFT(O467,2)="22",LEFT(O467,2)="23",LEFT(O467,2)="24",LEFT(O467,2)="25",LEFT(O467,2)="26",LEFT(O467,2)="27")),MAX($AD$1:$AD$466)+1,"")</f>
        <v/>
      </c>
      <c r="AE467" s="69" t="str">
        <f aca="false">IF(AND(B467&lt;&gt;"",D467=CONSULTA_UNIDADE!$B$4),MAX($AE$1:$AE$466)+1,"")</f>
        <v/>
      </c>
      <c r="AF467" s="69" t="str">
        <f aca="false">IF(AND(B467&lt;&gt;"",O467&lt;&gt;"27 - Instalação concluída",O467&lt;&gt;"28 - Encerrado",ISNUMBER(S467)),S467*1000+(1000-ROW()),"")</f>
        <v/>
      </c>
      <c r="AG467" s="69" t="str">
        <f aca="false">IF(AF467="","",RANK(AF467,$AF$2:$AF$500))</f>
        <v/>
      </c>
    </row>
    <row r="468" customFormat="false" ht="16.5" hidden="false" customHeight="true" outlineLevel="0" collapsed="false">
      <c r="A468" s="86"/>
      <c r="B468" s="86"/>
      <c r="C468" s="87" t="str">
        <f aca="false">IF(D468="","",IFERROR(INDEX(CADASTRO_VIVO_3CRE!$B$2:$B$150,MATCH(D468,CADASTRO_VIVO_3CRE!$E$2:$E$150,0)),""))</f>
        <v/>
      </c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8"/>
      <c r="S468" s="89" t="str">
        <f aca="true">IF(R468="","",TODAY()-INT(R468))</f>
        <v/>
      </c>
      <c r="T468" s="86"/>
      <c r="U468" s="86"/>
      <c r="V468" s="86"/>
      <c r="W468" s="88"/>
      <c r="X468" s="89" t="str">
        <f aca="true">IF(W468="","",IF(OR(O468="28 - Encerrado",O468="27 - Instalação concluída"),"Concluído",TODAY()-INT(W468)))</f>
        <v/>
      </c>
      <c r="Y468" s="90" t="str">
        <f aca="false">IF(OR(O468="28 - Encerrado",O468="27 - Instalação concluída"),"OK",IF(AND(B468&lt;&gt;"",S468=""),"ATENÇÃO (Sem data de atualização)",IF(S468="","",IF(S468&gt;30,"CRÍTICO (Sem Atualização &gt;30 dias)",IF(S468&gt;15,"ATENÇÃO (Sem Atualização &gt;15 dias)",IF(X468&gt;90,"CRÍTICO (Aberto &gt;90 dias)","OK"))))))</f>
        <v/>
      </c>
      <c r="Z468" s="90" t="str">
        <f aca="false">IF(B468="","",IF(OR(O468="27 - Instalação concluída",O468="28 - Encerrado"),"OK",IF(NOT(ISNUMBER(X468)),"",IF(X468&gt;365,"MUITO ANTIGO (&gt;1 ano)",IF(X468&gt;180,"ANTIGO (&gt;6 meses)",IF(X468&gt;90,"ATENÇÃO ANTIG. (&gt;3 meses)","OK"))))))</f>
        <v/>
      </c>
      <c r="AA468" s="86"/>
      <c r="AB468" s="69" t="str">
        <f aca="false">IF(AND(B468&lt;&gt;"",OR(T468="Pendente de Vistoria",T468="Não validada")),MAX($AB$1:$AB$467)+1,"")</f>
        <v/>
      </c>
      <c r="AC468" s="69" t="str">
        <f aca="false">IF(AND(B468&lt;&gt;"",OR(ISNUMBER(SEARCH("CTIN",P468)),U468="Alta",O468="07 - Relatório recebido — unidade apta",O468="11 - Orçamentos em análise técnica",O468="22 - Instalação/substituição autorizada")),MAX($AC$1:$AC$467)+1,"")</f>
        <v/>
      </c>
      <c r="AD468" s="69" t="str">
        <f aca="false">IF(AND(B468&lt;&gt;"",OR(ISNUMBER(SEARCH("CTO",P468)),LEFT(O468,2)="22",LEFT(O468,2)="23",LEFT(O468,2)="24",LEFT(O468,2)="25",LEFT(O468,2)="26",LEFT(O468,2)="27")),MAX($AD$1:$AD$467)+1,"")</f>
        <v/>
      </c>
      <c r="AE468" s="69" t="str">
        <f aca="false">IF(AND(B468&lt;&gt;"",D468=CONSULTA_UNIDADE!$B$4),MAX($AE$1:$AE$467)+1,"")</f>
        <v/>
      </c>
      <c r="AF468" s="69" t="str">
        <f aca="false">IF(AND(B468&lt;&gt;"",O468&lt;&gt;"27 - Instalação concluída",O468&lt;&gt;"28 - Encerrado",ISNUMBER(S468)),S468*1000+(1000-ROW()),"")</f>
        <v/>
      </c>
      <c r="AG468" s="69" t="str">
        <f aca="false">IF(AF468="","",RANK(AF468,$AF$2:$AF$500))</f>
        <v/>
      </c>
    </row>
    <row r="469" customFormat="false" ht="16.5" hidden="false" customHeight="true" outlineLevel="0" collapsed="false">
      <c r="A469" s="86"/>
      <c r="B469" s="86"/>
      <c r="C469" s="87" t="str">
        <f aca="false">IF(D469="","",IFERROR(INDEX(CADASTRO_VIVO_3CRE!$B$2:$B$150,MATCH(D469,CADASTRO_VIVO_3CRE!$E$2:$E$150,0)),""))</f>
        <v/>
      </c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8"/>
      <c r="S469" s="89" t="str">
        <f aca="true">IF(R469="","",TODAY()-INT(R469))</f>
        <v/>
      </c>
      <c r="T469" s="86"/>
      <c r="U469" s="86"/>
      <c r="V469" s="86"/>
      <c r="W469" s="88"/>
      <c r="X469" s="89" t="str">
        <f aca="true">IF(W469="","",IF(OR(O469="28 - Encerrado",O469="27 - Instalação concluída"),"Concluído",TODAY()-INT(W469)))</f>
        <v/>
      </c>
      <c r="Y469" s="90" t="str">
        <f aca="false">IF(OR(O469="28 - Encerrado",O469="27 - Instalação concluída"),"OK",IF(AND(B469&lt;&gt;"",S469=""),"ATENÇÃO (Sem data de atualização)",IF(S469="","",IF(S469&gt;30,"CRÍTICO (Sem Atualização &gt;30 dias)",IF(S469&gt;15,"ATENÇÃO (Sem Atualização &gt;15 dias)",IF(X469&gt;90,"CRÍTICO (Aberto &gt;90 dias)","OK"))))))</f>
        <v/>
      </c>
      <c r="Z469" s="90" t="str">
        <f aca="false">IF(B469="","",IF(OR(O469="27 - Instalação concluída",O469="28 - Encerrado"),"OK",IF(NOT(ISNUMBER(X469)),"",IF(X469&gt;365,"MUITO ANTIGO (&gt;1 ano)",IF(X469&gt;180,"ANTIGO (&gt;6 meses)",IF(X469&gt;90,"ATENÇÃO ANTIG. (&gt;3 meses)","OK"))))))</f>
        <v/>
      </c>
      <c r="AA469" s="86"/>
      <c r="AB469" s="69" t="str">
        <f aca="false">IF(AND(B469&lt;&gt;"",OR(T469="Pendente de Vistoria",T469="Não validada")),MAX($AB$1:$AB$468)+1,"")</f>
        <v/>
      </c>
      <c r="AC469" s="69" t="str">
        <f aca="false">IF(AND(B469&lt;&gt;"",OR(ISNUMBER(SEARCH("CTIN",P469)),U469="Alta",O469="07 - Relatório recebido — unidade apta",O469="11 - Orçamentos em análise técnica",O469="22 - Instalação/substituição autorizada")),MAX($AC$1:$AC$468)+1,"")</f>
        <v/>
      </c>
      <c r="AD469" s="69" t="str">
        <f aca="false">IF(AND(B469&lt;&gt;"",OR(ISNUMBER(SEARCH("CTO",P469)),LEFT(O469,2)="22",LEFT(O469,2)="23",LEFT(O469,2)="24",LEFT(O469,2)="25",LEFT(O469,2)="26",LEFT(O469,2)="27")),MAX($AD$1:$AD$468)+1,"")</f>
        <v/>
      </c>
      <c r="AE469" s="69" t="str">
        <f aca="false">IF(AND(B469&lt;&gt;"",D469=CONSULTA_UNIDADE!$B$4),MAX($AE$1:$AE$468)+1,"")</f>
        <v/>
      </c>
      <c r="AF469" s="69" t="str">
        <f aca="false">IF(AND(B469&lt;&gt;"",O469&lt;&gt;"27 - Instalação concluída",O469&lt;&gt;"28 - Encerrado",ISNUMBER(S469)),S469*1000+(1000-ROW()),"")</f>
        <v/>
      </c>
      <c r="AG469" s="69" t="str">
        <f aca="false">IF(AF469="","",RANK(AF469,$AF$2:$AF$500))</f>
        <v/>
      </c>
    </row>
    <row r="470" customFormat="false" ht="16.5" hidden="false" customHeight="true" outlineLevel="0" collapsed="false">
      <c r="A470" s="86"/>
      <c r="B470" s="86"/>
      <c r="C470" s="87" t="str">
        <f aca="false">IF(D470="","",IFERROR(INDEX(CADASTRO_VIVO_3CRE!$B$2:$B$150,MATCH(D470,CADASTRO_VIVO_3CRE!$E$2:$E$150,0)),""))</f>
        <v/>
      </c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8"/>
      <c r="S470" s="89" t="str">
        <f aca="true">IF(R470="","",TODAY()-INT(R470))</f>
        <v/>
      </c>
      <c r="T470" s="86"/>
      <c r="U470" s="86"/>
      <c r="V470" s="86"/>
      <c r="W470" s="88"/>
      <c r="X470" s="89" t="str">
        <f aca="true">IF(W470="","",IF(OR(O470="28 - Encerrado",O470="27 - Instalação concluída"),"Concluído",TODAY()-INT(W470)))</f>
        <v/>
      </c>
      <c r="Y470" s="90" t="str">
        <f aca="false">IF(OR(O470="28 - Encerrado",O470="27 - Instalação concluída"),"OK",IF(AND(B470&lt;&gt;"",S470=""),"ATENÇÃO (Sem data de atualização)",IF(S470="","",IF(S470&gt;30,"CRÍTICO (Sem Atualização &gt;30 dias)",IF(S470&gt;15,"ATENÇÃO (Sem Atualização &gt;15 dias)",IF(X470&gt;90,"CRÍTICO (Aberto &gt;90 dias)","OK"))))))</f>
        <v/>
      </c>
      <c r="Z470" s="90" t="str">
        <f aca="false">IF(B470="","",IF(OR(O470="27 - Instalação concluída",O470="28 - Encerrado"),"OK",IF(NOT(ISNUMBER(X470)),"",IF(X470&gt;365,"MUITO ANTIGO (&gt;1 ano)",IF(X470&gt;180,"ANTIGO (&gt;6 meses)",IF(X470&gt;90,"ATENÇÃO ANTIG. (&gt;3 meses)","OK"))))))</f>
        <v/>
      </c>
      <c r="AA470" s="86"/>
      <c r="AB470" s="69" t="str">
        <f aca="false">IF(AND(B470&lt;&gt;"",OR(T470="Pendente de Vistoria",T470="Não validada")),MAX($AB$1:$AB$469)+1,"")</f>
        <v/>
      </c>
      <c r="AC470" s="69" t="str">
        <f aca="false">IF(AND(B470&lt;&gt;"",OR(ISNUMBER(SEARCH("CTIN",P470)),U470="Alta",O470="07 - Relatório recebido — unidade apta",O470="11 - Orçamentos em análise técnica",O470="22 - Instalação/substituição autorizada")),MAX($AC$1:$AC$469)+1,"")</f>
        <v/>
      </c>
      <c r="AD470" s="69" t="str">
        <f aca="false">IF(AND(B470&lt;&gt;"",OR(ISNUMBER(SEARCH("CTO",P470)),LEFT(O470,2)="22",LEFT(O470,2)="23",LEFT(O470,2)="24",LEFT(O470,2)="25",LEFT(O470,2)="26",LEFT(O470,2)="27")),MAX($AD$1:$AD$469)+1,"")</f>
        <v/>
      </c>
      <c r="AE470" s="69" t="str">
        <f aca="false">IF(AND(B470&lt;&gt;"",D470=CONSULTA_UNIDADE!$B$4),MAX($AE$1:$AE$469)+1,"")</f>
        <v/>
      </c>
      <c r="AF470" s="69" t="str">
        <f aca="false">IF(AND(B470&lt;&gt;"",O470&lt;&gt;"27 - Instalação concluída",O470&lt;&gt;"28 - Encerrado",ISNUMBER(S470)),S470*1000+(1000-ROW()),"")</f>
        <v/>
      </c>
      <c r="AG470" s="69" t="str">
        <f aca="false">IF(AF470="","",RANK(AF470,$AF$2:$AF$500))</f>
        <v/>
      </c>
    </row>
    <row r="471" customFormat="false" ht="16.5" hidden="false" customHeight="true" outlineLevel="0" collapsed="false">
      <c r="A471" s="86"/>
      <c r="B471" s="86"/>
      <c r="C471" s="87" t="str">
        <f aca="false">IF(D471="","",IFERROR(INDEX(CADASTRO_VIVO_3CRE!$B$2:$B$150,MATCH(D471,CADASTRO_VIVO_3CRE!$E$2:$E$150,0)),""))</f>
        <v/>
      </c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8"/>
      <c r="S471" s="89" t="str">
        <f aca="true">IF(R471="","",TODAY()-INT(R471))</f>
        <v/>
      </c>
      <c r="T471" s="86"/>
      <c r="U471" s="86"/>
      <c r="V471" s="86"/>
      <c r="W471" s="88"/>
      <c r="X471" s="89" t="str">
        <f aca="true">IF(W471="","",IF(OR(O471="28 - Encerrado",O471="27 - Instalação concluída"),"Concluído",TODAY()-INT(W471)))</f>
        <v/>
      </c>
      <c r="Y471" s="90" t="str">
        <f aca="false">IF(OR(O471="28 - Encerrado",O471="27 - Instalação concluída"),"OK",IF(AND(B471&lt;&gt;"",S471=""),"ATENÇÃO (Sem data de atualização)",IF(S471="","",IF(S471&gt;30,"CRÍTICO (Sem Atualização &gt;30 dias)",IF(S471&gt;15,"ATENÇÃO (Sem Atualização &gt;15 dias)",IF(X471&gt;90,"CRÍTICO (Aberto &gt;90 dias)","OK"))))))</f>
        <v/>
      </c>
      <c r="Z471" s="90" t="str">
        <f aca="false">IF(B471="","",IF(OR(O471="27 - Instalação concluída",O471="28 - Encerrado"),"OK",IF(NOT(ISNUMBER(X471)),"",IF(X471&gt;365,"MUITO ANTIGO (&gt;1 ano)",IF(X471&gt;180,"ANTIGO (&gt;6 meses)",IF(X471&gt;90,"ATENÇÃO ANTIG. (&gt;3 meses)","OK"))))))</f>
        <v/>
      </c>
      <c r="AA471" s="86"/>
      <c r="AB471" s="69" t="str">
        <f aca="false">IF(AND(B471&lt;&gt;"",OR(T471="Pendente de Vistoria",T471="Não validada")),MAX($AB$1:$AB$470)+1,"")</f>
        <v/>
      </c>
      <c r="AC471" s="69" t="str">
        <f aca="false">IF(AND(B471&lt;&gt;"",OR(ISNUMBER(SEARCH("CTIN",P471)),U471="Alta",O471="07 - Relatório recebido — unidade apta",O471="11 - Orçamentos em análise técnica",O471="22 - Instalação/substituição autorizada")),MAX($AC$1:$AC$470)+1,"")</f>
        <v/>
      </c>
      <c r="AD471" s="69" t="str">
        <f aca="false">IF(AND(B471&lt;&gt;"",OR(ISNUMBER(SEARCH("CTO",P471)),LEFT(O471,2)="22",LEFT(O471,2)="23",LEFT(O471,2)="24",LEFT(O471,2)="25",LEFT(O471,2)="26",LEFT(O471,2)="27")),MAX($AD$1:$AD$470)+1,"")</f>
        <v/>
      </c>
      <c r="AE471" s="69" t="str">
        <f aca="false">IF(AND(B471&lt;&gt;"",D471=CONSULTA_UNIDADE!$B$4),MAX($AE$1:$AE$470)+1,"")</f>
        <v/>
      </c>
      <c r="AF471" s="69" t="str">
        <f aca="false">IF(AND(B471&lt;&gt;"",O471&lt;&gt;"27 - Instalação concluída",O471&lt;&gt;"28 - Encerrado",ISNUMBER(S471)),S471*1000+(1000-ROW()),"")</f>
        <v/>
      </c>
      <c r="AG471" s="69" t="str">
        <f aca="false">IF(AF471="","",RANK(AF471,$AF$2:$AF$500))</f>
        <v/>
      </c>
    </row>
    <row r="472" customFormat="false" ht="16.5" hidden="false" customHeight="true" outlineLevel="0" collapsed="false">
      <c r="A472" s="86"/>
      <c r="B472" s="86"/>
      <c r="C472" s="87" t="str">
        <f aca="false">IF(D472="","",IFERROR(INDEX(CADASTRO_VIVO_3CRE!$B$2:$B$150,MATCH(D472,CADASTRO_VIVO_3CRE!$E$2:$E$150,0)),""))</f>
        <v/>
      </c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8"/>
      <c r="S472" s="89" t="str">
        <f aca="true">IF(R472="","",TODAY()-INT(R472))</f>
        <v/>
      </c>
      <c r="T472" s="86"/>
      <c r="U472" s="86"/>
      <c r="V472" s="86"/>
      <c r="W472" s="88"/>
      <c r="X472" s="89" t="str">
        <f aca="true">IF(W472="","",IF(OR(O472="28 - Encerrado",O472="27 - Instalação concluída"),"Concluído",TODAY()-INT(W472)))</f>
        <v/>
      </c>
      <c r="Y472" s="90" t="str">
        <f aca="false">IF(OR(O472="28 - Encerrado",O472="27 - Instalação concluída"),"OK",IF(AND(B472&lt;&gt;"",S472=""),"ATENÇÃO (Sem data de atualização)",IF(S472="","",IF(S472&gt;30,"CRÍTICO (Sem Atualização &gt;30 dias)",IF(S472&gt;15,"ATENÇÃO (Sem Atualização &gt;15 dias)",IF(X472&gt;90,"CRÍTICO (Aberto &gt;90 dias)","OK"))))))</f>
        <v/>
      </c>
      <c r="Z472" s="90" t="str">
        <f aca="false">IF(B472="","",IF(OR(O472="27 - Instalação concluída",O472="28 - Encerrado"),"OK",IF(NOT(ISNUMBER(X472)),"",IF(X472&gt;365,"MUITO ANTIGO (&gt;1 ano)",IF(X472&gt;180,"ANTIGO (&gt;6 meses)",IF(X472&gt;90,"ATENÇÃO ANTIG. (&gt;3 meses)","OK"))))))</f>
        <v/>
      </c>
      <c r="AA472" s="86"/>
      <c r="AB472" s="69" t="str">
        <f aca="false">IF(AND(B472&lt;&gt;"",OR(T472="Pendente de Vistoria",T472="Não validada")),MAX($AB$1:$AB$471)+1,"")</f>
        <v/>
      </c>
      <c r="AC472" s="69" t="str">
        <f aca="false">IF(AND(B472&lt;&gt;"",OR(ISNUMBER(SEARCH("CTIN",P472)),U472="Alta",O472="07 - Relatório recebido — unidade apta",O472="11 - Orçamentos em análise técnica",O472="22 - Instalação/substituição autorizada")),MAX($AC$1:$AC$471)+1,"")</f>
        <v/>
      </c>
      <c r="AD472" s="69" t="str">
        <f aca="false">IF(AND(B472&lt;&gt;"",OR(ISNUMBER(SEARCH("CTO",P472)),LEFT(O472,2)="22",LEFT(O472,2)="23",LEFT(O472,2)="24",LEFT(O472,2)="25",LEFT(O472,2)="26",LEFT(O472,2)="27")),MAX($AD$1:$AD$471)+1,"")</f>
        <v/>
      </c>
      <c r="AE472" s="69" t="str">
        <f aca="false">IF(AND(B472&lt;&gt;"",D472=CONSULTA_UNIDADE!$B$4),MAX($AE$1:$AE$471)+1,"")</f>
        <v/>
      </c>
      <c r="AF472" s="69" t="str">
        <f aca="false">IF(AND(B472&lt;&gt;"",O472&lt;&gt;"27 - Instalação concluída",O472&lt;&gt;"28 - Encerrado",ISNUMBER(S472)),S472*1000+(1000-ROW()),"")</f>
        <v/>
      </c>
      <c r="AG472" s="69" t="str">
        <f aca="false">IF(AF472="","",RANK(AF472,$AF$2:$AF$500))</f>
        <v/>
      </c>
    </row>
    <row r="473" customFormat="false" ht="16.5" hidden="false" customHeight="true" outlineLevel="0" collapsed="false">
      <c r="A473" s="86"/>
      <c r="B473" s="86"/>
      <c r="C473" s="87" t="str">
        <f aca="false">IF(D473="","",IFERROR(INDEX(CADASTRO_VIVO_3CRE!$B$2:$B$150,MATCH(D473,CADASTRO_VIVO_3CRE!$E$2:$E$150,0)),""))</f>
        <v/>
      </c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8"/>
      <c r="S473" s="89" t="str">
        <f aca="true">IF(R473="","",TODAY()-INT(R473))</f>
        <v/>
      </c>
      <c r="T473" s="86"/>
      <c r="U473" s="86"/>
      <c r="V473" s="86"/>
      <c r="W473" s="88"/>
      <c r="X473" s="89" t="str">
        <f aca="true">IF(W473="","",IF(OR(O473="28 - Encerrado",O473="27 - Instalação concluída"),"Concluído",TODAY()-INT(W473)))</f>
        <v/>
      </c>
      <c r="Y473" s="90" t="str">
        <f aca="false">IF(OR(O473="28 - Encerrado",O473="27 - Instalação concluída"),"OK",IF(AND(B473&lt;&gt;"",S473=""),"ATENÇÃO (Sem data de atualização)",IF(S473="","",IF(S473&gt;30,"CRÍTICO (Sem Atualização &gt;30 dias)",IF(S473&gt;15,"ATENÇÃO (Sem Atualização &gt;15 dias)",IF(X473&gt;90,"CRÍTICO (Aberto &gt;90 dias)","OK"))))))</f>
        <v/>
      </c>
      <c r="Z473" s="90" t="str">
        <f aca="false">IF(B473="","",IF(OR(O473="27 - Instalação concluída",O473="28 - Encerrado"),"OK",IF(NOT(ISNUMBER(X473)),"",IF(X473&gt;365,"MUITO ANTIGO (&gt;1 ano)",IF(X473&gt;180,"ANTIGO (&gt;6 meses)",IF(X473&gt;90,"ATENÇÃO ANTIG. (&gt;3 meses)","OK"))))))</f>
        <v/>
      </c>
      <c r="AA473" s="86"/>
      <c r="AB473" s="69" t="str">
        <f aca="false">IF(AND(B473&lt;&gt;"",OR(T473="Pendente de Vistoria",T473="Não validada")),MAX($AB$1:$AB$472)+1,"")</f>
        <v/>
      </c>
      <c r="AC473" s="69" t="str">
        <f aca="false">IF(AND(B473&lt;&gt;"",OR(ISNUMBER(SEARCH("CTIN",P473)),U473="Alta",O473="07 - Relatório recebido — unidade apta",O473="11 - Orçamentos em análise técnica",O473="22 - Instalação/substituição autorizada")),MAX($AC$1:$AC$472)+1,"")</f>
        <v/>
      </c>
      <c r="AD473" s="69" t="str">
        <f aca="false">IF(AND(B473&lt;&gt;"",OR(ISNUMBER(SEARCH("CTO",P473)),LEFT(O473,2)="22",LEFT(O473,2)="23",LEFT(O473,2)="24",LEFT(O473,2)="25",LEFT(O473,2)="26",LEFT(O473,2)="27")),MAX($AD$1:$AD$472)+1,"")</f>
        <v/>
      </c>
      <c r="AE473" s="69" t="str">
        <f aca="false">IF(AND(B473&lt;&gt;"",D473=CONSULTA_UNIDADE!$B$4),MAX($AE$1:$AE$472)+1,"")</f>
        <v/>
      </c>
      <c r="AF473" s="69" t="str">
        <f aca="false">IF(AND(B473&lt;&gt;"",O473&lt;&gt;"27 - Instalação concluída",O473&lt;&gt;"28 - Encerrado",ISNUMBER(S473)),S473*1000+(1000-ROW()),"")</f>
        <v/>
      </c>
      <c r="AG473" s="69" t="str">
        <f aca="false">IF(AF473="","",RANK(AF473,$AF$2:$AF$500))</f>
        <v/>
      </c>
    </row>
    <row r="474" customFormat="false" ht="16.5" hidden="false" customHeight="true" outlineLevel="0" collapsed="false">
      <c r="A474" s="86"/>
      <c r="B474" s="86"/>
      <c r="C474" s="87" t="str">
        <f aca="false">IF(D474="","",IFERROR(INDEX(CADASTRO_VIVO_3CRE!$B$2:$B$150,MATCH(D474,CADASTRO_VIVO_3CRE!$E$2:$E$150,0)),""))</f>
        <v/>
      </c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8"/>
      <c r="S474" s="89" t="str">
        <f aca="true">IF(R474="","",TODAY()-INT(R474))</f>
        <v/>
      </c>
      <c r="T474" s="86"/>
      <c r="U474" s="86"/>
      <c r="V474" s="86"/>
      <c r="W474" s="88"/>
      <c r="X474" s="89" t="str">
        <f aca="true">IF(W474="","",IF(OR(O474="28 - Encerrado",O474="27 - Instalação concluída"),"Concluído",TODAY()-INT(W474)))</f>
        <v/>
      </c>
      <c r="Y474" s="90" t="str">
        <f aca="false">IF(OR(O474="28 - Encerrado",O474="27 - Instalação concluída"),"OK",IF(AND(B474&lt;&gt;"",S474=""),"ATENÇÃO (Sem data de atualização)",IF(S474="","",IF(S474&gt;30,"CRÍTICO (Sem Atualização &gt;30 dias)",IF(S474&gt;15,"ATENÇÃO (Sem Atualização &gt;15 dias)",IF(X474&gt;90,"CRÍTICO (Aberto &gt;90 dias)","OK"))))))</f>
        <v/>
      </c>
      <c r="Z474" s="90" t="str">
        <f aca="false">IF(B474="","",IF(OR(O474="27 - Instalação concluída",O474="28 - Encerrado"),"OK",IF(NOT(ISNUMBER(X474)),"",IF(X474&gt;365,"MUITO ANTIGO (&gt;1 ano)",IF(X474&gt;180,"ANTIGO (&gt;6 meses)",IF(X474&gt;90,"ATENÇÃO ANTIG. (&gt;3 meses)","OK"))))))</f>
        <v/>
      </c>
      <c r="AA474" s="86"/>
      <c r="AB474" s="69" t="str">
        <f aca="false">IF(AND(B474&lt;&gt;"",OR(T474="Pendente de Vistoria",T474="Não validada")),MAX($AB$1:$AB$473)+1,"")</f>
        <v/>
      </c>
      <c r="AC474" s="69" t="str">
        <f aca="false">IF(AND(B474&lt;&gt;"",OR(ISNUMBER(SEARCH("CTIN",P474)),U474="Alta",O474="07 - Relatório recebido — unidade apta",O474="11 - Orçamentos em análise técnica",O474="22 - Instalação/substituição autorizada")),MAX($AC$1:$AC$473)+1,"")</f>
        <v/>
      </c>
      <c r="AD474" s="69" t="str">
        <f aca="false">IF(AND(B474&lt;&gt;"",OR(ISNUMBER(SEARCH("CTO",P474)),LEFT(O474,2)="22",LEFT(O474,2)="23",LEFT(O474,2)="24",LEFT(O474,2)="25",LEFT(O474,2)="26",LEFT(O474,2)="27")),MAX($AD$1:$AD$473)+1,"")</f>
        <v/>
      </c>
      <c r="AE474" s="69" t="str">
        <f aca="false">IF(AND(B474&lt;&gt;"",D474=CONSULTA_UNIDADE!$B$4),MAX($AE$1:$AE$473)+1,"")</f>
        <v/>
      </c>
      <c r="AF474" s="69" t="str">
        <f aca="false">IF(AND(B474&lt;&gt;"",O474&lt;&gt;"27 - Instalação concluída",O474&lt;&gt;"28 - Encerrado",ISNUMBER(S474)),S474*1000+(1000-ROW()),"")</f>
        <v/>
      </c>
      <c r="AG474" s="69" t="str">
        <f aca="false">IF(AF474="","",RANK(AF474,$AF$2:$AF$500))</f>
        <v/>
      </c>
    </row>
    <row r="475" customFormat="false" ht="16.5" hidden="false" customHeight="true" outlineLevel="0" collapsed="false">
      <c r="A475" s="86"/>
      <c r="B475" s="86"/>
      <c r="C475" s="87" t="str">
        <f aca="false">IF(D475="","",IFERROR(INDEX(CADASTRO_VIVO_3CRE!$B$2:$B$150,MATCH(D475,CADASTRO_VIVO_3CRE!$E$2:$E$150,0)),""))</f>
        <v/>
      </c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8"/>
      <c r="S475" s="89" t="str">
        <f aca="true">IF(R475="","",TODAY()-INT(R475))</f>
        <v/>
      </c>
      <c r="T475" s="86"/>
      <c r="U475" s="86"/>
      <c r="V475" s="86"/>
      <c r="W475" s="88"/>
      <c r="X475" s="89" t="str">
        <f aca="true">IF(W475="","",IF(OR(O475="28 - Encerrado",O475="27 - Instalação concluída"),"Concluído",TODAY()-INT(W475)))</f>
        <v/>
      </c>
      <c r="Y475" s="90" t="str">
        <f aca="false">IF(OR(O475="28 - Encerrado",O475="27 - Instalação concluída"),"OK",IF(AND(B475&lt;&gt;"",S475=""),"ATENÇÃO (Sem data de atualização)",IF(S475="","",IF(S475&gt;30,"CRÍTICO (Sem Atualização &gt;30 dias)",IF(S475&gt;15,"ATENÇÃO (Sem Atualização &gt;15 dias)",IF(X475&gt;90,"CRÍTICO (Aberto &gt;90 dias)","OK"))))))</f>
        <v/>
      </c>
      <c r="Z475" s="90" t="str">
        <f aca="false">IF(B475="","",IF(OR(O475="27 - Instalação concluída",O475="28 - Encerrado"),"OK",IF(NOT(ISNUMBER(X475)),"",IF(X475&gt;365,"MUITO ANTIGO (&gt;1 ano)",IF(X475&gt;180,"ANTIGO (&gt;6 meses)",IF(X475&gt;90,"ATENÇÃO ANTIG. (&gt;3 meses)","OK"))))))</f>
        <v/>
      </c>
      <c r="AA475" s="86"/>
      <c r="AB475" s="69" t="str">
        <f aca="false">IF(AND(B475&lt;&gt;"",OR(T475="Pendente de Vistoria",T475="Não validada")),MAX($AB$1:$AB$474)+1,"")</f>
        <v/>
      </c>
      <c r="AC475" s="69" t="str">
        <f aca="false">IF(AND(B475&lt;&gt;"",OR(ISNUMBER(SEARCH("CTIN",P475)),U475="Alta",O475="07 - Relatório recebido — unidade apta",O475="11 - Orçamentos em análise técnica",O475="22 - Instalação/substituição autorizada")),MAX($AC$1:$AC$474)+1,"")</f>
        <v/>
      </c>
      <c r="AD475" s="69" t="str">
        <f aca="false">IF(AND(B475&lt;&gt;"",OR(ISNUMBER(SEARCH("CTO",P475)),LEFT(O475,2)="22",LEFT(O475,2)="23",LEFT(O475,2)="24",LEFT(O475,2)="25",LEFT(O475,2)="26",LEFT(O475,2)="27")),MAX($AD$1:$AD$474)+1,"")</f>
        <v/>
      </c>
      <c r="AE475" s="69" t="str">
        <f aca="false">IF(AND(B475&lt;&gt;"",D475=CONSULTA_UNIDADE!$B$4),MAX($AE$1:$AE$474)+1,"")</f>
        <v/>
      </c>
      <c r="AF475" s="69" t="str">
        <f aca="false">IF(AND(B475&lt;&gt;"",O475&lt;&gt;"27 - Instalação concluída",O475&lt;&gt;"28 - Encerrado",ISNUMBER(S475)),S475*1000+(1000-ROW()),"")</f>
        <v/>
      </c>
      <c r="AG475" s="69" t="str">
        <f aca="false">IF(AF475="","",RANK(AF475,$AF$2:$AF$500))</f>
        <v/>
      </c>
    </row>
    <row r="476" customFormat="false" ht="16.5" hidden="false" customHeight="true" outlineLevel="0" collapsed="false">
      <c r="A476" s="86"/>
      <c r="B476" s="86"/>
      <c r="C476" s="87" t="str">
        <f aca="false">IF(D476="","",IFERROR(INDEX(CADASTRO_VIVO_3CRE!$B$2:$B$150,MATCH(D476,CADASTRO_VIVO_3CRE!$E$2:$E$150,0)),""))</f>
        <v/>
      </c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8"/>
      <c r="S476" s="89" t="str">
        <f aca="true">IF(R476="","",TODAY()-INT(R476))</f>
        <v/>
      </c>
      <c r="T476" s="86"/>
      <c r="U476" s="86"/>
      <c r="V476" s="86"/>
      <c r="W476" s="88"/>
      <c r="X476" s="89" t="str">
        <f aca="true">IF(W476="","",IF(OR(O476="28 - Encerrado",O476="27 - Instalação concluída"),"Concluído",TODAY()-INT(W476)))</f>
        <v/>
      </c>
      <c r="Y476" s="90" t="str">
        <f aca="false">IF(OR(O476="28 - Encerrado",O476="27 - Instalação concluída"),"OK",IF(AND(B476&lt;&gt;"",S476=""),"ATENÇÃO (Sem data de atualização)",IF(S476="","",IF(S476&gt;30,"CRÍTICO (Sem Atualização &gt;30 dias)",IF(S476&gt;15,"ATENÇÃO (Sem Atualização &gt;15 dias)",IF(X476&gt;90,"CRÍTICO (Aberto &gt;90 dias)","OK"))))))</f>
        <v/>
      </c>
      <c r="Z476" s="90" t="str">
        <f aca="false">IF(B476="","",IF(OR(O476="27 - Instalação concluída",O476="28 - Encerrado"),"OK",IF(NOT(ISNUMBER(X476)),"",IF(X476&gt;365,"MUITO ANTIGO (&gt;1 ano)",IF(X476&gt;180,"ANTIGO (&gt;6 meses)",IF(X476&gt;90,"ATENÇÃO ANTIG. (&gt;3 meses)","OK"))))))</f>
        <v/>
      </c>
      <c r="AA476" s="86"/>
      <c r="AB476" s="69" t="str">
        <f aca="false">IF(AND(B476&lt;&gt;"",OR(T476="Pendente de Vistoria",T476="Não validada")),MAX($AB$1:$AB$475)+1,"")</f>
        <v/>
      </c>
      <c r="AC476" s="69" t="str">
        <f aca="false">IF(AND(B476&lt;&gt;"",OR(ISNUMBER(SEARCH("CTIN",P476)),U476="Alta",O476="07 - Relatório recebido — unidade apta",O476="11 - Orçamentos em análise técnica",O476="22 - Instalação/substituição autorizada")),MAX($AC$1:$AC$475)+1,"")</f>
        <v/>
      </c>
      <c r="AD476" s="69" t="str">
        <f aca="false">IF(AND(B476&lt;&gt;"",OR(ISNUMBER(SEARCH("CTO",P476)),LEFT(O476,2)="22",LEFT(O476,2)="23",LEFT(O476,2)="24",LEFT(O476,2)="25",LEFT(O476,2)="26",LEFT(O476,2)="27")),MAX($AD$1:$AD$475)+1,"")</f>
        <v/>
      </c>
      <c r="AE476" s="69" t="str">
        <f aca="false">IF(AND(B476&lt;&gt;"",D476=CONSULTA_UNIDADE!$B$4),MAX($AE$1:$AE$475)+1,"")</f>
        <v/>
      </c>
      <c r="AF476" s="69" t="str">
        <f aca="false">IF(AND(B476&lt;&gt;"",O476&lt;&gt;"27 - Instalação concluída",O476&lt;&gt;"28 - Encerrado",ISNUMBER(S476)),S476*1000+(1000-ROW()),"")</f>
        <v/>
      </c>
      <c r="AG476" s="69" t="str">
        <f aca="false">IF(AF476="","",RANK(AF476,$AF$2:$AF$500))</f>
        <v/>
      </c>
    </row>
    <row r="477" customFormat="false" ht="16.5" hidden="false" customHeight="true" outlineLevel="0" collapsed="false">
      <c r="A477" s="86"/>
      <c r="B477" s="86"/>
      <c r="C477" s="87" t="str">
        <f aca="false">IF(D477="","",IFERROR(INDEX(CADASTRO_VIVO_3CRE!$B$2:$B$150,MATCH(D477,CADASTRO_VIVO_3CRE!$E$2:$E$150,0)),""))</f>
        <v/>
      </c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8"/>
      <c r="S477" s="89" t="str">
        <f aca="true">IF(R477="","",TODAY()-INT(R477))</f>
        <v/>
      </c>
      <c r="T477" s="86"/>
      <c r="U477" s="86"/>
      <c r="V477" s="86"/>
      <c r="W477" s="88"/>
      <c r="X477" s="89" t="str">
        <f aca="true">IF(W477="","",IF(OR(O477="28 - Encerrado",O477="27 - Instalação concluída"),"Concluído",TODAY()-INT(W477)))</f>
        <v/>
      </c>
      <c r="Y477" s="90" t="str">
        <f aca="false">IF(OR(O477="28 - Encerrado",O477="27 - Instalação concluída"),"OK",IF(AND(B477&lt;&gt;"",S477=""),"ATENÇÃO (Sem data de atualização)",IF(S477="","",IF(S477&gt;30,"CRÍTICO (Sem Atualização &gt;30 dias)",IF(S477&gt;15,"ATENÇÃO (Sem Atualização &gt;15 dias)",IF(X477&gt;90,"CRÍTICO (Aberto &gt;90 dias)","OK"))))))</f>
        <v/>
      </c>
      <c r="Z477" s="90" t="str">
        <f aca="false">IF(B477="","",IF(OR(O477="27 - Instalação concluída",O477="28 - Encerrado"),"OK",IF(NOT(ISNUMBER(X477)),"",IF(X477&gt;365,"MUITO ANTIGO (&gt;1 ano)",IF(X477&gt;180,"ANTIGO (&gt;6 meses)",IF(X477&gt;90,"ATENÇÃO ANTIG. (&gt;3 meses)","OK"))))))</f>
        <v/>
      </c>
      <c r="AA477" s="86"/>
      <c r="AB477" s="69" t="str">
        <f aca="false">IF(AND(B477&lt;&gt;"",OR(T477="Pendente de Vistoria",T477="Não validada")),MAX($AB$1:$AB$476)+1,"")</f>
        <v/>
      </c>
      <c r="AC477" s="69" t="str">
        <f aca="false">IF(AND(B477&lt;&gt;"",OR(ISNUMBER(SEARCH("CTIN",P477)),U477="Alta",O477="07 - Relatório recebido — unidade apta",O477="11 - Orçamentos em análise técnica",O477="22 - Instalação/substituição autorizada")),MAX($AC$1:$AC$476)+1,"")</f>
        <v/>
      </c>
      <c r="AD477" s="69" t="str">
        <f aca="false">IF(AND(B477&lt;&gt;"",OR(ISNUMBER(SEARCH("CTO",P477)),LEFT(O477,2)="22",LEFT(O477,2)="23",LEFT(O477,2)="24",LEFT(O477,2)="25",LEFT(O477,2)="26",LEFT(O477,2)="27")),MAX($AD$1:$AD$476)+1,"")</f>
        <v/>
      </c>
      <c r="AE477" s="69" t="str">
        <f aca="false">IF(AND(B477&lt;&gt;"",D477=CONSULTA_UNIDADE!$B$4),MAX($AE$1:$AE$476)+1,"")</f>
        <v/>
      </c>
      <c r="AF477" s="69" t="str">
        <f aca="false">IF(AND(B477&lt;&gt;"",O477&lt;&gt;"27 - Instalação concluída",O477&lt;&gt;"28 - Encerrado",ISNUMBER(S477)),S477*1000+(1000-ROW()),"")</f>
        <v/>
      </c>
      <c r="AG477" s="69" t="str">
        <f aca="false">IF(AF477="","",RANK(AF477,$AF$2:$AF$500))</f>
        <v/>
      </c>
    </row>
    <row r="478" customFormat="false" ht="16.5" hidden="false" customHeight="true" outlineLevel="0" collapsed="false">
      <c r="A478" s="86"/>
      <c r="B478" s="86"/>
      <c r="C478" s="87" t="str">
        <f aca="false">IF(D478="","",IFERROR(INDEX(CADASTRO_VIVO_3CRE!$B$2:$B$150,MATCH(D478,CADASTRO_VIVO_3CRE!$E$2:$E$150,0)),""))</f>
        <v/>
      </c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8"/>
      <c r="S478" s="89" t="str">
        <f aca="true">IF(R478="","",TODAY()-INT(R478))</f>
        <v/>
      </c>
      <c r="T478" s="86"/>
      <c r="U478" s="86"/>
      <c r="V478" s="86"/>
      <c r="W478" s="88"/>
      <c r="X478" s="89" t="str">
        <f aca="true">IF(W478="","",IF(OR(O478="28 - Encerrado",O478="27 - Instalação concluída"),"Concluído",TODAY()-INT(W478)))</f>
        <v/>
      </c>
      <c r="Y478" s="90" t="str">
        <f aca="false">IF(OR(O478="28 - Encerrado",O478="27 - Instalação concluída"),"OK",IF(AND(B478&lt;&gt;"",S478=""),"ATENÇÃO (Sem data de atualização)",IF(S478="","",IF(S478&gt;30,"CRÍTICO (Sem Atualização &gt;30 dias)",IF(S478&gt;15,"ATENÇÃO (Sem Atualização &gt;15 dias)",IF(X478&gt;90,"CRÍTICO (Aberto &gt;90 dias)","OK"))))))</f>
        <v/>
      </c>
      <c r="Z478" s="90" t="str">
        <f aca="false">IF(B478="","",IF(OR(O478="27 - Instalação concluída",O478="28 - Encerrado"),"OK",IF(NOT(ISNUMBER(X478)),"",IF(X478&gt;365,"MUITO ANTIGO (&gt;1 ano)",IF(X478&gt;180,"ANTIGO (&gt;6 meses)",IF(X478&gt;90,"ATENÇÃO ANTIG. (&gt;3 meses)","OK"))))))</f>
        <v/>
      </c>
      <c r="AA478" s="86"/>
      <c r="AB478" s="69" t="str">
        <f aca="false">IF(AND(B478&lt;&gt;"",OR(T478="Pendente de Vistoria",T478="Não validada")),MAX($AB$1:$AB$477)+1,"")</f>
        <v/>
      </c>
      <c r="AC478" s="69" t="str">
        <f aca="false">IF(AND(B478&lt;&gt;"",OR(ISNUMBER(SEARCH("CTIN",P478)),U478="Alta",O478="07 - Relatório recebido — unidade apta",O478="11 - Orçamentos em análise técnica",O478="22 - Instalação/substituição autorizada")),MAX($AC$1:$AC$477)+1,"")</f>
        <v/>
      </c>
      <c r="AD478" s="69" t="str">
        <f aca="false">IF(AND(B478&lt;&gt;"",OR(ISNUMBER(SEARCH("CTO",P478)),LEFT(O478,2)="22",LEFT(O478,2)="23",LEFT(O478,2)="24",LEFT(O478,2)="25",LEFT(O478,2)="26",LEFT(O478,2)="27")),MAX($AD$1:$AD$477)+1,"")</f>
        <v/>
      </c>
      <c r="AE478" s="69" t="str">
        <f aca="false">IF(AND(B478&lt;&gt;"",D478=CONSULTA_UNIDADE!$B$4),MAX($AE$1:$AE$477)+1,"")</f>
        <v/>
      </c>
      <c r="AF478" s="69" t="str">
        <f aca="false">IF(AND(B478&lt;&gt;"",O478&lt;&gt;"27 - Instalação concluída",O478&lt;&gt;"28 - Encerrado",ISNUMBER(S478)),S478*1000+(1000-ROW()),"")</f>
        <v/>
      </c>
      <c r="AG478" s="69" t="str">
        <f aca="false">IF(AF478="","",RANK(AF478,$AF$2:$AF$500))</f>
        <v/>
      </c>
    </row>
    <row r="479" customFormat="false" ht="16.5" hidden="false" customHeight="true" outlineLevel="0" collapsed="false">
      <c r="A479" s="86"/>
      <c r="B479" s="86"/>
      <c r="C479" s="87" t="str">
        <f aca="false">IF(D479="","",IFERROR(INDEX(CADASTRO_VIVO_3CRE!$B$2:$B$150,MATCH(D479,CADASTRO_VIVO_3CRE!$E$2:$E$150,0)),""))</f>
        <v/>
      </c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8"/>
      <c r="S479" s="89" t="str">
        <f aca="true">IF(R479="","",TODAY()-INT(R479))</f>
        <v/>
      </c>
      <c r="T479" s="86"/>
      <c r="U479" s="86"/>
      <c r="V479" s="86"/>
      <c r="W479" s="88"/>
      <c r="X479" s="89" t="str">
        <f aca="true">IF(W479="","",IF(OR(O479="28 - Encerrado",O479="27 - Instalação concluída"),"Concluído",TODAY()-INT(W479)))</f>
        <v/>
      </c>
      <c r="Y479" s="90" t="str">
        <f aca="false">IF(OR(O479="28 - Encerrado",O479="27 - Instalação concluída"),"OK",IF(AND(B479&lt;&gt;"",S479=""),"ATENÇÃO (Sem data de atualização)",IF(S479="","",IF(S479&gt;30,"CRÍTICO (Sem Atualização &gt;30 dias)",IF(S479&gt;15,"ATENÇÃO (Sem Atualização &gt;15 dias)",IF(X479&gt;90,"CRÍTICO (Aberto &gt;90 dias)","OK"))))))</f>
        <v/>
      </c>
      <c r="Z479" s="90" t="str">
        <f aca="false">IF(B479="","",IF(OR(O479="27 - Instalação concluída",O479="28 - Encerrado"),"OK",IF(NOT(ISNUMBER(X479)),"",IF(X479&gt;365,"MUITO ANTIGO (&gt;1 ano)",IF(X479&gt;180,"ANTIGO (&gt;6 meses)",IF(X479&gt;90,"ATENÇÃO ANTIG. (&gt;3 meses)","OK"))))))</f>
        <v/>
      </c>
      <c r="AA479" s="86"/>
      <c r="AB479" s="69" t="str">
        <f aca="false">IF(AND(B479&lt;&gt;"",OR(T479="Pendente de Vistoria",T479="Não validada")),MAX($AB$1:$AB$478)+1,"")</f>
        <v/>
      </c>
      <c r="AC479" s="69" t="str">
        <f aca="false">IF(AND(B479&lt;&gt;"",OR(ISNUMBER(SEARCH("CTIN",P479)),U479="Alta",O479="07 - Relatório recebido — unidade apta",O479="11 - Orçamentos em análise técnica",O479="22 - Instalação/substituição autorizada")),MAX($AC$1:$AC$478)+1,"")</f>
        <v/>
      </c>
      <c r="AD479" s="69" t="str">
        <f aca="false">IF(AND(B479&lt;&gt;"",OR(ISNUMBER(SEARCH("CTO",P479)),LEFT(O479,2)="22",LEFT(O479,2)="23",LEFT(O479,2)="24",LEFT(O479,2)="25",LEFT(O479,2)="26",LEFT(O479,2)="27")),MAX($AD$1:$AD$478)+1,"")</f>
        <v/>
      </c>
      <c r="AE479" s="69" t="str">
        <f aca="false">IF(AND(B479&lt;&gt;"",D479=CONSULTA_UNIDADE!$B$4),MAX($AE$1:$AE$478)+1,"")</f>
        <v/>
      </c>
      <c r="AF479" s="69" t="str">
        <f aca="false">IF(AND(B479&lt;&gt;"",O479&lt;&gt;"27 - Instalação concluída",O479&lt;&gt;"28 - Encerrado",ISNUMBER(S479)),S479*1000+(1000-ROW()),"")</f>
        <v/>
      </c>
      <c r="AG479" s="69" t="str">
        <f aca="false">IF(AF479="","",RANK(AF479,$AF$2:$AF$500))</f>
        <v/>
      </c>
    </row>
    <row r="480" customFormat="false" ht="16.5" hidden="false" customHeight="true" outlineLevel="0" collapsed="false">
      <c r="A480" s="86"/>
      <c r="B480" s="86"/>
      <c r="C480" s="87" t="str">
        <f aca="false">IF(D480="","",IFERROR(INDEX(CADASTRO_VIVO_3CRE!$B$2:$B$150,MATCH(D480,CADASTRO_VIVO_3CRE!$E$2:$E$150,0)),""))</f>
        <v/>
      </c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8"/>
      <c r="S480" s="89" t="str">
        <f aca="true">IF(R480="","",TODAY()-INT(R480))</f>
        <v/>
      </c>
      <c r="T480" s="86"/>
      <c r="U480" s="86"/>
      <c r="V480" s="86"/>
      <c r="W480" s="88"/>
      <c r="X480" s="89" t="str">
        <f aca="true">IF(W480="","",IF(OR(O480="28 - Encerrado",O480="27 - Instalação concluída"),"Concluído",TODAY()-INT(W480)))</f>
        <v/>
      </c>
      <c r="Y480" s="90" t="str">
        <f aca="false">IF(OR(O480="28 - Encerrado",O480="27 - Instalação concluída"),"OK",IF(AND(B480&lt;&gt;"",S480=""),"ATENÇÃO (Sem data de atualização)",IF(S480="","",IF(S480&gt;30,"CRÍTICO (Sem Atualização &gt;30 dias)",IF(S480&gt;15,"ATENÇÃO (Sem Atualização &gt;15 dias)",IF(X480&gt;90,"CRÍTICO (Aberto &gt;90 dias)","OK"))))))</f>
        <v/>
      </c>
      <c r="Z480" s="90" t="str">
        <f aca="false">IF(B480="","",IF(OR(O480="27 - Instalação concluída",O480="28 - Encerrado"),"OK",IF(NOT(ISNUMBER(X480)),"",IF(X480&gt;365,"MUITO ANTIGO (&gt;1 ano)",IF(X480&gt;180,"ANTIGO (&gt;6 meses)",IF(X480&gt;90,"ATENÇÃO ANTIG. (&gt;3 meses)","OK"))))))</f>
        <v/>
      </c>
      <c r="AA480" s="86"/>
      <c r="AB480" s="69" t="str">
        <f aca="false">IF(AND(B480&lt;&gt;"",OR(T480="Pendente de Vistoria",T480="Não validada")),MAX($AB$1:$AB$479)+1,"")</f>
        <v/>
      </c>
      <c r="AC480" s="69" t="str">
        <f aca="false">IF(AND(B480&lt;&gt;"",OR(ISNUMBER(SEARCH("CTIN",P480)),U480="Alta",O480="07 - Relatório recebido — unidade apta",O480="11 - Orçamentos em análise técnica",O480="22 - Instalação/substituição autorizada")),MAX($AC$1:$AC$479)+1,"")</f>
        <v/>
      </c>
      <c r="AD480" s="69" t="str">
        <f aca="false">IF(AND(B480&lt;&gt;"",OR(ISNUMBER(SEARCH("CTO",P480)),LEFT(O480,2)="22",LEFT(O480,2)="23",LEFT(O480,2)="24",LEFT(O480,2)="25",LEFT(O480,2)="26",LEFT(O480,2)="27")),MAX($AD$1:$AD$479)+1,"")</f>
        <v/>
      </c>
      <c r="AE480" s="69" t="str">
        <f aca="false">IF(AND(B480&lt;&gt;"",D480=CONSULTA_UNIDADE!$B$4),MAX($AE$1:$AE$479)+1,"")</f>
        <v/>
      </c>
      <c r="AF480" s="69" t="str">
        <f aca="false">IF(AND(B480&lt;&gt;"",O480&lt;&gt;"27 - Instalação concluída",O480&lt;&gt;"28 - Encerrado",ISNUMBER(S480)),S480*1000+(1000-ROW()),"")</f>
        <v/>
      </c>
      <c r="AG480" s="69" t="str">
        <f aca="false">IF(AF480="","",RANK(AF480,$AF$2:$AF$500))</f>
        <v/>
      </c>
    </row>
    <row r="481" customFormat="false" ht="16.5" hidden="false" customHeight="true" outlineLevel="0" collapsed="false">
      <c r="A481" s="86"/>
      <c r="B481" s="86"/>
      <c r="C481" s="87" t="str">
        <f aca="false">IF(D481="","",IFERROR(INDEX(CADASTRO_VIVO_3CRE!$B$2:$B$150,MATCH(D481,CADASTRO_VIVO_3CRE!$E$2:$E$150,0)),""))</f>
        <v/>
      </c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8"/>
      <c r="S481" s="89" t="str">
        <f aca="true">IF(R481="","",TODAY()-INT(R481))</f>
        <v/>
      </c>
      <c r="T481" s="86"/>
      <c r="U481" s="86"/>
      <c r="V481" s="86"/>
      <c r="W481" s="88"/>
      <c r="X481" s="89" t="str">
        <f aca="true">IF(W481="","",IF(OR(O481="28 - Encerrado",O481="27 - Instalação concluída"),"Concluído",TODAY()-INT(W481)))</f>
        <v/>
      </c>
      <c r="Y481" s="90" t="str">
        <f aca="false">IF(OR(O481="28 - Encerrado",O481="27 - Instalação concluída"),"OK",IF(AND(B481&lt;&gt;"",S481=""),"ATENÇÃO (Sem data de atualização)",IF(S481="","",IF(S481&gt;30,"CRÍTICO (Sem Atualização &gt;30 dias)",IF(S481&gt;15,"ATENÇÃO (Sem Atualização &gt;15 dias)",IF(X481&gt;90,"CRÍTICO (Aberto &gt;90 dias)","OK"))))))</f>
        <v/>
      </c>
      <c r="Z481" s="90" t="str">
        <f aca="false">IF(B481="","",IF(OR(O481="27 - Instalação concluída",O481="28 - Encerrado"),"OK",IF(NOT(ISNUMBER(X481)),"",IF(X481&gt;365,"MUITO ANTIGO (&gt;1 ano)",IF(X481&gt;180,"ANTIGO (&gt;6 meses)",IF(X481&gt;90,"ATENÇÃO ANTIG. (&gt;3 meses)","OK"))))))</f>
        <v/>
      </c>
      <c r="AA481" s="86"/>
      <c r="AB481" s="69" t="str">
        <f aca="false">IF(AND(B481&lt;&gt;"",OR(T481="Pendente de Vistoria",T481="Não validada")),MAX($AB$1:$AB$480)+1,"")</f>
        <v/>
      </c>
      <c r="AC481" s="69" t="str">
        <f aca="false">IF(AND(B481&lt;&gt;"",OR(ISNUMBER(SEARCH("CTIN",P481)),U481="Alta",O481="07 - Relatório recebido — unidade apta",O481="11 - Orçamentos em análise técnica",O481="22 - Instalação/substituição autorizada")),MAX($AC$1:$AC$480)+1,"")</f>
        <v/>
      </c>
      <c r="AD481" s="69" t="str">
        <f aca="false">IF(AND(B481&lt;&gt;"",OR(ISNUMBER(SEARCH("CTO",P481)),LEFT(O481,2)="22",LEFT(O481,2)="23",LEFT(O481,2)="24",LEFT(O481,2)="25",LEFT(O481,2)="26",LEFT(O481,2)="27")),MAX($AD$1:$AD$480)+1,"")</f>
        <v/>
      </c>
      <c r="AE481" s="69" t="str">
        <f aca="false">IF(AND(B481&lt;&gt;"",D481=CONSULTA_UNIDADE!$B$4),MAX($AE$1:$AE$480)+1,"")</f>
        <v/>
      </c>
      <c r="AF481" s="69" t="str">
        <f aca="false">IF(AND(B481&lt;&gt;"",O481&lt;&gt;"27 - Instalação concluída",O481&lt;&gt;"28 - Encerrado",ISNUMBER(S481)),S481*1000+(1000-ROW()),"")</f>
        <v/>
      </c>
      <c r="AG481" s="69" t="str">
        <f aca="false">IF(AF481="","",RANK(AF481,$AF$2:$AF$500))</f>
        <v/>
      </c>
    </row>
    <row r="482" customFormat="false" ht="16.5" hidden="false" customHeight="true" outlineLevel="0" collapsed="false">
      <c r="A482" s="86"/>
      <c r="B482" s="86"/>
      <c r="C482" s="87" t="str">
        <f aca="false">IF(D482="","",IFERROR(INDEX(CADASTRO_VIVO_3CRE!$B$2:$B$150,MATCH(D482,CADASTRO_VIVO_3CRE!$E$2:$E$150,0)),""))</f>
        <v/>
      </c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8"/>
      <c r="S482" s="89" t="str">
        <f aca="true">IF(R482="","",TODAY()-INT(R482))</f>
        <v/>
      </c>
      <c r="T482" s="86"/>
      <c r="U482" s="86"/>
      <c r="V482" s="86"/>
      <c r="W482" s="88"/>
      <c r="X482" s="89" t="str">
        <f aca="true">IF(W482="","",IF(OR(O482="28 - Encerrado",O482="27 - Instalação concluída"),"Concluído",TODAY()-INT(W482)))</f>
        <v/>
      </c>
      <c r="Y482" s="90" t="str">
        <f aca="false">IF(OR(O482="28 - Encerrado",O482="27 - Instalação concluída"),"OK",IF(AND(B482&lt;&gt;"",S482=""),"ATENÇÃO (Sem data de atualização)",IF(S482="","",IF(S482&gt;30,"CRÍTICO (Sem Atualização &gt;30 dias)",IF(S482&gt;15,"ATENÇÃO (Sem Atualização &gt;15 dias)",IF(X482&gt;90,"CRÍTICO (Aberto &gt;90 dias)","OK"))))))</f>
        <v/>
      </c>
      <c r="Z482" s="90" t="str">
        <f aca="false">IF(B482="","",IF(OR(O482="27 - Instalação concluída",O482="28 - Encerrado"),"OK",IF(NOT(ISNUMBER(X482)),"",IF(X482&gt;365,"MUITO ANTIGO (&gt;1 ano)",IF(X482&gt;180,"ANTIGO (&gt;6 meses)",IF(X482&gt;90,"ATENÇÃO ANTIG. (&gt;3 meses)","OK"))))))</f>
        <v/>
      </c>
      <c r="AA482" s="86"/>
      <c r="AB482" s="69" t="str">
        <f aca="false">IF(AND(B482&lt;&gt;"",OR(T482="Pendente de Vistoria",T482="Não validada")),MAX($AB$1:$AB$481)+1,"")</f>
        <v/>
      </c>
      <c r="AC482" s="69" t="str">
        <f aca="false">IF(AND(B482&lt;&gt;"",OR(ISNUMBER(SEARCH("CTIN",P482)),U482="Alta",O482="07 - Relatório recebido — unidade apta",O482="11 - Orçamentos em análise técnica",O482="22 - Instalação/substituição autorizada")),MAX($AC$1:$AC$481)+1,"")</f>
        <v/>
      </c>
      <c r="AD482" s="69" t="str">
        <f aca="false">IF(AND(B482&lt;&gt;"",OR(ISNUMBER(SEARCH("CTO",P482)),LEFT(O482,2)="22",LEFT(O482,2)="23",LEFT(O482,2)="24",LEFT(O482,2)="25",LEFT(O482,2)="26",LEFT(O482,2)="27")),MAX($AD$1:$AD$481)+1,"")</f>
        <v/>
      </c>
      <c r="AE482" s="69" t="str">
        <f aca="false">IF(AND(B482&lt;&gt;"",D482=CONSULTA_UNIDADE!$B$4),MAX($AE$1:$AE$481)+1,"")</f>
        <v/>
      </c>
      <c r="AF482" s="69" t="str">
        <f aca="false">IF(AND(B482&lt;&gt;"",O482&lt;&gt;"27 - Instalação concluída",O482&lt;&gt;"28 - Encerrado",ISNUMBER(S482)),S482*1000+(1000-ROW()),"")</f>
        <v/>
      </c>
      <c r="AG482" s="69" t="str">
        <f aca="false">IF(AF482="","",RANK(AF482,$AF$2:$AF$500))</f>
        <v/>
      </c>
    </row>
    <row r="483" customFormat="false" ht="16.5" hidden="false" customHeight="true" outlineLevel="0" collapsed="false">
      <c r="A483" s="86"/>
      <c r="B483" s="86"/>
      <c r="C483" s="87" t="str">
        <f aca="false">IF(D483="","",IFERROR(INDEX(CADASTRO_VIVO_3CRE!$B$2:$B$150,MATCH(D483,CADASTRO_VIVO_3CRE!$E$2:$E$150,0)),""))</f>
        <v/>
      </c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8"/>
      <c r="S483" s="89" t="str">
        <f aca="true">IF(R483="","",TODAY()-INT(R483))</f>
        <v/>
      </c>
      <c r="T483" s="86"/>
      <c r="U483" s="86"/>
      <c r="V483" s="86"/>
      <c r="W483" s="88"/>
      <c r="X483" s="89" t="str">
        <f aca="true">IF(W483="","",IF(OR(O483="28 - Encerrado",O483="27 - Instalação concluída"),"Concluído",TODAY()-INT(W483)))</f>
        <v/>
      </c>
      <c r="Y483" s="90" t="str">
        <f aca="false">IF(OR(O483="28 - Encerrado",O483="27 - Instalação concluída"),"OK",IF(AND(B483&lt;&gt;"",S483=""),"ATENÇÃO (Sem data de atualização)",IF(S483="","",IF(S483&gt;30,"CRÍTICO (Sem Atualização &gt;30 dias)",IF(S483&gt;15,"ATENÇÃO (Sem Atualização &gt;15 dias)",IF(X483&gt;90,"CRÍTICO (Aberto &gt;90 dias)","OK"))))))</f>
        <v/>
      </c>
      <c r="Z483" s="90" t="str">
        <f aca="false">IF(B483="","",IF(OR(O483="27 - Instalação concluída",O483="28 - Encerrado"),"OK",IF(NOT(ISNUMBER(X483)),"",IF(X483&gt;365,"MUITO ANTIGO (&gt;1 ano)",IF(X483&gt;180,"ANTIGO (&gt;6 meses)",IF(X483&gt;90,"ATENÇÃO ANTIG. (&gt;3 meses)","OK"))))))</f>
        <v/>
      </c>
      <c r="AA483" s="86"/>
      <c r="AB483" s="69" t="str">
        <f aca="false">IF(AND(B483&lt;&gt;"",OR(T483="Pendente de Vistoria",T483="Não validada")),MAX($AB$1:$AB$482)+1,"")</f>
        <v/>
      </c>
      <c r="AC483" s="69" t="str">
        <f aca="false">IF(AND(B483&lt;&gt;"",OR(ISNUMBER(SEARCH("CTIN",P483)),U483="Alta",O483="07 - Relatório recebido — unidade apta",O483="11 - Orçamentos em análise técnica",O483="22 - Instalação/substituição autorizada")),MAX($AC$1:$AC$482)+1,"")</f>
        <v/>
      </c>
      <c r="AD483" s="69" t="str">
        <f aca="false">IF(AND(B483&lt;&gt;"",OR(ISNUMBER(SEARCH("CTO",P483)),LEFT(O483,2)="22",LEFT(O483,2)="23",LEFT(O483,2)="24",LEFT(O483,2)="25",LEFT(O483,2)="26",LEFT(O483,2)="27")),MAX($AD$1:$AD$482)+1,"")</f>
        <v/>
      </c>
      <c r="AE483" s="69" t="str">
        <f aca="false">IF(AND(B483&lt;&gt;"",D483=CONSULTA_UNIDADE!$B$4),MAX($AE$1:$AE$482)+1,"")</f>
        <v/>
      </c>
      <c r="AF483" s="69" t="str">
        <f aca="false">IF(AND(B483&lt;&gt;"",O483&lt;&gt;"27 - Instalação concluída",O483&lt;&gt;"28 - Encerrado",ISNUMBER(S483)),S483*1000+(1000-ROW()),"")</f>
        <v/>
      </c>
      <c r="AG483" s="69" t="str">
        <f aca="false">IF(AF483="","",RANK(AF483,$AF$2:$AF$500))</f>
        <v/>
      </c>
    </row>
    <row r="484" customFormat="false" ht="16.5" hidden="false" customHeight="true" outlineLevel="0" collapsed="false">
      <c r="A484" s="86"/>
      <c r="B484" s="86"/>
      <c r="C484" s="87" t="str">
        <f aca="false">IF(D484="","",IFERROR(INDEX(CADASTRO_VIVO_3CRE!$B$2:$B$150,MATCH(D484,CADASTRO_VIVO_3CRE!$E$2:$E$150,0)),""))</f>
        <v/>
      </c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8"/>
      <c r="S484" s="89" t="str">
        <f aca="true">IF(R484="","",TODAY()-INT(R484))</f>
        <v/>
      </c>
      <c r="T484" s="86"/>
      <c r="U484" s="86"/>
      <c r="V484" s="86"/>
      <c r="W484" s="88"/>
      <c r="X484" s="89" t="str">
        <f aca="true">IF(W484="","",IF(OR(O484="28 - Encerrado",O484="27 - Instalação concluída"),"Concluído",TODAY()-INT(W484)))</f>
        <v/>
      </c>
      <c r="Y484" s="90" t="str">
        <f aca="false">IF(OR(O484="28 - Encerrado",O484="27 - Instalação concluída"),"OK",IF(AND(B484&lt;&gt;"",S484=""),"ATENÇÃO (Sem data de atualização)",IF(S484="","",IF(S484&gt;30,"CRÍTICO (Sem Atualização &gt;30 dias)",IF(S484&gt;15,"ATENÇÃO (Sem Atualização &gt;15 dias)",IF(X484&gt;90,"CRÍTICO (Aberto &gt;90 dias)","OK"))))))</f>
        <v/>
      </c>
      <c r="Z484" s="90" t="str">
        <f aca="false">IF(B484="","",IF(OR(O484="27 - Instalação concluída",O484="28 - Encerrado"),"OK",IF(NOT(ISNUMBER(X484)),"",IF(X484&gt;365,"MUITO ANTIGO (&gt;1 ano)",IF(X484&gt;180,"ANTIGO (&gt;6 meses)",IF(X484&gt;90,"ATENÇÃO ANTIG. (&gt;3 meses)","OK"))))))</f>
        <v/>
      </c>
      <c r="AA484" s="86"/>
      <c r="AB484" s="69" t="str">
        <f aca="false">IF(AND(B484&lt;&gt;"",OR(T484="Pendente de Vistoria",T484="Não validada")),MAX($AB$1:$AB$483)+1,"")</f>
        <v/>
      </c>
      <c r="AC484" s="69" t="str">
        <f aca="false">IF(AND(B484&lt;&gt;"",OR(ISNUMBER(SEARCH("CTIN",P484)),U484="Alta",O484="07 - Relatório recebido — unidade apta",O484="11 - Orçamentos em análise técnica",O484="22 - Instalação/substituição autorizada")),MAX($AC$1:$AC$483)+1,"")</f>
        <v/>
      </c>
      <c r="AD484" s="69" t="str">
        <f aca="false">IF(AND(B484&lt;&gt;"",OR(ISNUMBER(SEARCH("CTO",P484)),LEFT(O484,2)="22",LEFT(O484,2)="23",LEFT(O484,2)="24",LEFT(O484,2)="25",LEFT(O484,2)="26",LEFT(O484,2)="27")),MAX($AD$1:$AD$483)+1,"")</f>
        <v/>
      </c>
      <c r="AE484" s="69" t="str">
        <f aca="false">IF(AND(B484&lt;&gt;"",D484=CONSULTA_UNIDADE!$B$4),MAX($AE$1:$AE$483)+1,"")</f>
        <v/>
      </c>
      <c r="AF484" s="69" t="str">
        <f aca="false">IF(AND(B484&lt;&gt;"",O484&lt;&gt;"27 - Instalação concluída",O484&lt;&gt;"28 - Encerrado",ISNUMBER(S484)),S484*1000+(1000-ROW()),"")</f>
        <v/>
      </c>
      <c r="AG484" s="69" t="str">
        <f aca="false">IF(AF484="","",RANK(AF484,$AF$2:$AF$500))</f>
        <v/>
      </c>
    </row>
    <row r="485" customFormat="false" ht="16.5" hidden="false" customHeight="true" outlineLevel="0" collapsed="false">
      <c r="A485" s="86"/>
      <c r="B485" s="86"/>
      <c r="C485" s="87" t="str">
        <f aca="false">IF(D485="","",IFERROR(INDEX(CADASTRO_VIVO_3CRE!$B$2:$B$150,MATCH(D485,CADASTRO_VIVO_3CRE!$E$2:$E$150,0)),""))</f>
        <v/>
      </c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8"/>
      <c r="S485" s="89" t="str">
        <f aca="true">IF(R485="","",TODAY()-INT(R485))</f>
        <v/>
      </c>
      <c r="T485" s="86"/>
      <c r="U485" s="86"/>
      <c r="V485" s="86"/>
      <c r="W485" s="88"/>
      <c r="X485" s="89" t="str">
        <f aca="true">IF(W485="","",IF(OR(O485="28 - Encerrado",O485="27 - Instalação concluída"),"Concluído",TODAY()-INT(W485)))</f>
        <v/>
      </c>
      <c r="Y485" s="90" t="str">
        <f aca="false">IF(OR(O485="28 - Encerrado",O485="27 - Instalação concluída"),"OK",IF(AND(B485&lt;&gt;"",S485=""),"ATENÇÃO (Sem data de atualização)",IF(S485="","",IF(S485&gt;30,"CRÍTICO (Sem Atualização &gt;30 dias)",IF(S485&gt;15,"ATENÇÃO (Sem Atualização &gt;15 dias)",IF(X485&gt;90,"CRÍTICO (Aberto &gt;90 dias)","OK"))))))</f>
        <v/>
      </c>
      <c r="Z485" s="90" t="str">
        <f aca="false">IF(B485="","",IF(OR(O485="27 - Instalação concluída",O485="28 - Encerrado"),"OK",IF(NOT(ISNUMBER(X485)),"",IF(X485&gt;365,"MUITO ANTIGO (&gt;1 ano)",IF(X485&gt;180,"ANTIGO (&gt;6 meses)",IF(X485&gt;90,"ATENÇÃO ANTIG. (&gt;3 meses)","OK"))))))</f>
        <v/>
      </c>
      <c r="AA485" s="86"/>
      <c r="AB485" s="69" t="str">
        <f aca="false">IF(AND(B485&lt;&gt;"",OR(T485="Pendente de Vistoria",T485="Não validada")),MAX($AB$1:$AB$484)+1,"")</f>
        <v/>
      </c>
      <c r="AC485" s="69" t="str">
        <f aca="false">IF(AND(B485&lt;&gt;"",OR(ISNUMBER(SEARCH("CTIN",P485)),U485="Alta",O485="07 - Relatório recebido — unidade apta",O485="11 - Orçamentos em análise técnica",O485="22 - Instalação/substituição autorizada")),MAX($AC$1:$AC$484)+1,"")</f>
        <v/>
      </c>
      <c r="AD485" s="69" t="str">
        <f aca="false">IF(AND(B485&lt;&gt;"",OR(ISNUMBER(SEARCH("CTO",P485)),LEFT(O485,2)="22",LEFT(O485,2)="23",LEFT(O485,2)="24",LEFT(O485,2)="25",LEFT(O485,2)="26",LEFT(O485,2)="27")),MAX($AD$1:$AD$484)+1,"")</f>
        <v/>
      </c>
      <c r="AE485" s="69" t="str">
        <f aca="false">IF(AND(B485&lt;&gt;"",D485=CONSULTA_UNIDADE!$B$4),MAX($AE$1:$AE$484)+1,"")</f>
        <v/>
      </c>
      <c r="AF485" s="69" t="str">
        <f aca="false">IF(AND(B485&lt;&gt;"",O485&lt;&gt;"27 - Instalação concluída",O485&lt;&gt;"28 - Encerrado",ISNUMBER(S485)),S485*1000+(1000-ROW()),"")</f>
        <v/>
      </c>
      <c r="AG485" s="69" t="str">
        <f aca="false">IF(AF485="","",RANK(AF485,$AF$2:$AF$500))</f>
        <v/>
      </c>
    </row>
    <row r="486" customFormat="false" ht="16.5" hidden="false" customHeight="true" outlineLevel="0" collapsed="false">
      <c r="A486" s="86"/>
      <c r="B486" s="86"/>
      <c r="C486" s="87" t="str">
        <f aca="false">IF(D486="","",IFERROR(INDEX(CADASTRO_VIVO_3CRE!$B$2:$B$150,MATCH(D486,CADASTRO_VIVO_3CRE!$E$2:$E$150,0)),""))</f>
        <v/>
      </c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8"/>
      <c r="S486" s="89" t="str">
        <f aca="true">IF(R486="","",TODAY()-INT(R486))</f>
        <v/>
      </c>
      <c r="T486" s="86"/>
      <c r="U486" s="86"/>
      <c r="V486" s="86"/>
      <c r="W486" s="88"/>
      <c r="X486" s="89" t="str">
        <f aca="true">IF(W486="","",IF(OR(O486="28 - Encerrado",O486="27 - Instalação concluída"),"Concluído",TODAY()-INT(W486)))</f>
        <v/>
      </c>
      <c r="Y486" s="90" t="str">
        <f aca="false">IF(OR(O486="28 - Encerrado",O486="27 - Instalação concluída"),"OK",IF(AND(B486&lt;&gt;"",S486=""),"ATENÇÃO (Sem data de atualização)",IF(S486="","",IF(S486&gt;30,"CRÍTICO (Sem Atualização &gt;30 dias)",IF(S486&gt;15,"ATENÇÃO (Sem Atualização &gt;15 dias)",IF(X486&gt;90,"CRÍTICO (Aberto &gt;90 dias)","OK"))))))</f>
        <v/>
      </c>
      <c r="Z486" s="90" t="str">
        <f aca="false">IF(B486="","",IF(OR(O486="27 - Instalação concluída",O486="28 - Encerrado"),"OK",IF(NOT(ISNUMBER(X486)),"",IF(X486&gt;365,"MUITO ANTIGO (&gt;1 ano)",IF(X486&gt;180,"ANTIGO (&gt;6 meses)",IF(X486&gt;90,"ATENÇÃO ANTIG. (&gt;3 meses)","OK"))))))</f>
        <v/>
      </c>
      <c r="AA486" s="86"/>
      <c r="AB486" s="69" t="str">
        <f aca="false">IF(AND(B486&lt;&gt;"",OR(T486="Pendente de Vistoria",T486="Não validada")),MAX($AB$1:$AB$485)+1,"")</f>
        <v/>
      </c>
      <c r="AC486" s="69" t="str">
        <f aca="false">IF(AND(B486&lt;&gt;"",OR(ISNUMBER(SEARCH("CTIN",P486)),U486="Alta",O486="07 - Relatório recebido — unidade apta",O486="11 - Orçamentos em análise técnica",O486="22 - Instalação/substituição autorizada")),MAX($AC$1:$AC$485)+1,"")</f>
        <v/>
      </c>
      <c r="AD486" s="69" t="str">
        <f aca="false">IF(AND(B486&lt;&gt;"",OR(ISNUMBER(SEARCH("CTO",P486)),LEFT(O486,2)="22",LEFT(O486,2)="23",LEFT(O486,2)="24",LEFT(O486,2)="25",LEFT(O486,2)="26",LEFT(O486,2)="27")),MAX($AD$1:$AD$485)+1,"")</f>
        <v/>
      </c>
      <c r="AE486" s="69" t="str">
        <f aca="false">IF(AND(B486&lt;&gt;"",D486=CONSULTA_UNIDADE!$B$4),MAX($AE$1:$AE$485)+1,"")</f>
        <v/>
      </c>
      <c r="AF486" s="69" t="str">
        <f aca="false">IF(AND(B486&lt;&gt;"",O486&lt;&gt;"27 - Instalação concluída",O486&lt;&gt;"28 - Encerrado",ISNUMBER(S486)),S486*1000+(1000-ROW()),"")</f>
        <v/>
      </c>
      <c r="AG486" s="69" t="str">
        <f aca="false">IF(AF486="","",RANK(AF486,$AF$2:$AF$500))</f>
        <v/>
      </c>
    </row>
    <row r="487" customFormat="false" ht="16.5" hidden="false" customHeight="true" outlineLevel="0" collapsed="false">
      <c r="A487" s="86"/>
      <c r="B487" s="86"/>
      <c r="C487" s="87" t="str">
        <f aca="false">IF(D487="","",IFERROR(INDEX(CADASTRO_VIVO_3CRE!$B$2:$B$150,MATCH(D487,CADASTRO_VIVO_3CRE!$E$2:$E$150,0)),""))</f>
        <v/>
      </c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8"/>
      <c r="S487" s="89" t="str">
        <f aca="true">IF(R487="","",TODAY()-INT(R487))</f>
        <v/>
      </c>
      <c r="T487" s="86"/>
      <c r="U487" s="86"/>
      <c r="V487" s="86"/>
      <c r="W487" s="88"/>
      <c r="X487" s="89" t="str">
        <f aca="true">IF(W487="","",IF(OR(O487="28 - Encerrado",O487="27 - Instalação concluída"),"Concluído",TODAY()-INT(W487)))</f>
        <v/>
      </c>
      <c r="Y487" s="90" t="str">
        <f aca="false">IF(OR(O487="28 - Encerrado",O487="27 - Instalação concluída"),"OK",IF(AND(B487&lt;&gt;"",S487=""),"ATENÇÃO (Sem data de atualização)",IF(S487="","",IF(S487&gt;30,"CRÍTICO (Sem Atualização &gt;30 dias)",IF(S487&gt;15,"ATENÇÃO (Sem Atualização &gt;15 dias)",IF(X487&gt;90,"CRÍTICO (Aberto &gt;90 dias)","OK"))))))</f>
        <v/>
      </c>
      <c r="Z487" s="90" t="str">
        <f aca="false">IF(B487="","",IF(OR(O487="27 - Instalação concluída",O487="28 - Encerrado"),"OK",IF(NOT(ISNUMBER(X487)),"",IF(X487&gt;365,"MUITO ANTIGO (&gt;1 ano)",IF(X487&gt;180,"ANTIGO (&gt;6 meses)",IF(X487&gt;90,"ATENÇÃO ANTIG. (&gt;3 meses)","OK"))))))</f>
        <v/>
      </c>
      <c r="AA487" s="86"/>
      <c r="AB487" s="69" t="str">
        <f aca="false">IF(AND(B487&lt;&gt;"",OR(T487="Pendente de Vistoria",T487="Não validada")),MAX($AB$1:$AB$486)+1,"")</f>
        <v/>
      </c>
      <c r="AC487" s="69" t="str">
        <f aca="false">IF(AND(B487&lt;&gt;"",OR(ISNUMBER(SEARCH("CTIN",P487)),U487="Alta",O487="07 - Relatório recebido — unidade apta",O487="11 - Orçamentos em análise técnica",O487="22 - Instalação/substituição autorizada")),MAX($AC$1:$AC$486)+1,"")</f>
        <v/>
      </c>
      <c r="AD487" s="69" t="str">
        <f aca="false">IF(AND(B487&lt;&gt;"",OR(ISNUMBER(SEARCH("CTO",P487)),LEFT(O487,2)="22",LEFT(O487,2)="23",LEFT(O487,2)="24",LEFT(O487,2)="25",LEFT(O487,2)="26",LEFT(O487,2)="27")),MAX($AD$1:$AD$486)+1,"")</f>
        <v/>
      </c>
      <c r="AE487" s="69" t="str">
        <f aca="false">IF(AND(B487&lt;&gt;"",D487=CONSULTA_UNIDADE!$B$4),MAX($AE$1:$AE$486)+1,"")</f>
        <v/>
      </c>
      <c r="AF487" s="69" t="str">
        <f aca="false">IF(AND(B487&lt;&gt;"",O487&lt;&gt;"27 - Instalação concluída",O487&lt;&gt;"28 - Encerrado",ISNUMBER(S487)),S487*1000+(1000-ROW()),"")</f>
        <v/>
      </c>
      <c r="AG487" s="69" t="str">
        <f aca="false">IF(AF487="","",RANK(AF487,$AF$2:$AF$500))</f>
        <v/>
      </c>
    </row>
    <row r="488" customFormat="false" ht="16.5" hidden="false" customHeight="true" outlineLevel="0" collapsed="false">
      <c r="A488" s="86"/>
      <c r="B488" s="86"/>
      <c r="C488" s="87" t="str">
        <f aca="false">IF(D488="","",IFERROR(INDEX(CADASTRO_VIVO_3CRE!$B$2:$B$150,MATCH(D488,CADASTRO_VIVO_3CRE!$E$2:$E$150,0)),""))</f>
        <v/>
      </c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8"/>
      <c r="S488" s="89" t="str">
        <f aca="true">IF(R488="","",TODAY()-INT(R488))</f>
        <v/>
      </c>
      <c r="T488" s="86"/>
      <c r="U488" s="86"/>
      <c r="V488" s="86"/>
      <c r="W488" s="88"/>
      <c r="X488" s="89" t="str">
        <f aca="true">IF(W488="","",IF(OR(O488="28 - Encerrado",O488="27 - Instalação concluída"),"Concluído",TODAY()-INT(W488)))</f>
        <v/>
      </c>
      <c r="Y488" s="90" t="str">
        <f aca="false">IF(OR(O488="28 - Encerrado",O488="27 - Instalação concluída"),"OK",IF(AND(B488&lt;&gt;"",S488=""),"ATENÇÃO (Sem data de atualização)",IF(S488="","",IF(S488&gt;30,"CRÍTICO (Sem Atualização &gt;30 dias)",IF(S488&gt;15,"ATENÇÃO (Sem Atualização &gt;15 dias)",IF(X488&gt;90,"CRÍTICO (Aberto &gt;90 dias)","OK"))))))</f>
        <v/>
      </c>
      <c r="Z488" s="90" t="str">
        <f aca="false">IF(B488="","",IF(OR(O488="27 - Instalação concluída",O488="28 - Encerrado"),"OK",IF(NOT(ISNUMBER(X488)),"",IF(X488&gt;365,"MUITO ANTIGO (&gt;1 ano)",IF(X488&gt;180,"ANTIGO (&gt;6 meses)",IF(X488&gt;90,"ATENÇÃO ANTIG. (&gt;3 meses)","OK"))))))</f>
        <v/>
      </c>
      <c r="AA488" s="86"/>
      <c r="AB488" s="69" t="str">
        <f aca="false">IF(AND(B488&lt;&gt;"",OR(T488="Pendente de Vistoria",T488="Não validada")),MAX($AB$1:$AB$487)+1,"")</f>
        <v/>
      </c>
      <c r="AC488" s="69" t="str">
        <f aca="false">IF(AND(B488&lt;&gt;"",OR(ISNUMBER(SEARCH("CTIN",P488)),U488="Alta",O488="07 - Relatório recebido — unidade apta",O488="11 - Orçamentos em análise técnica",O488="22 - Instalação/substituição autorizada")),MAX($AC$1:$AC$487)+1,"")</f>
        <v/>
      </c>
      <c r="AD488" s="69" t="str">
        <f aca="false">IF(AND(B488&lt;&gt;"",OR(ISNUMBER(SEARCH("CTO",P488)),LEFT(O488,2)="22",LEFT(O488,2)="23",LEFT(O488,2)="24",LEFT(O488,2)="25",LEFT(O488,2)="26",LEFT(O488,2)="27")),MAX($AD$1:$AD$487)+1,"")</f>
        <v/>
      </c>
      <c r="AE488" s="69" t="str">
        <f aca="false">IF(AND(B488&lt;&gt;"",D488=CONSULTA_UNIDADE!$B$4),MAX($AE$1:$AE$487)+1,"")</f>
        <v/>
      </c>
      <c r="AF488" s="69" t="str">
        <f aca="false">IF(AND(B488&lt;&gt;"",O488&lt;&gt;"27 - Instalação concluída",O488&lt;&gt;"28 - Encerrado",ISNUMBER(S488)),S488*1000+(1000-ROW()),"")</f>
        <v/>
      </c>
      <c r="AG488" s="69" t="str">
        <f aca="false">IF(AF488="","",RANK(AF488,$AF$2:$AF$500))</f>
        <v/>
      </c>
    </row>
    <row r="489" customFormat="false" ht="16.5" hidden="false" customHeight="true" outlineLevel="0" collapsed="false">
      <c r="A489" s="86"/>
      <c r="B489" s="86"/>
      <c r="C489" s="87" t="str">
        <f aca="false">IF(D489="","",IFERROR(INDEX(CADASTRO_VIVO_3CRE!$B$2:$B$150,MATCH(D489,CADASTRO_VIVO_3CRE!$E$2:$E$150,0)),""))</f>
        <v/>
      </c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8"/>
      <c r="S489" s="89" t="str">
        <f aca="true">IF(R489="","",TODAY()-INT(R489))</f>
        <v/>
      </c>
      <c r="T489" s="86"/>
      <c r="U489" s="86"/>
      <c r="V489" s="86"/>
      <c r="W489" s="88"/>
      <c r="X489" s="89" t="str">
        <f aca="true">IF(W489="","",IF(OR(O489="28 - Encerrado",O489="27 - Instalação concluída"),"Concluído",TODAY()-INT(W489)))</f>
        <v/>
      </c>
      <c r="Y489" s="90" t="str">
        <f aca="false">IF(OR(O489="28 - Encerrado",O489="27 - Instalação concluída"),"OK",IF(AND(B489&lt;&gt;"",S489=""),"ATENÇÃO (Sem data de atualização)",IF(S489="","",IF(S489&gt;30,"CRÍTICO (Sem Atualização &gt;30 dias)",IF(S489&gt;15,"ATENÇÃO (Sem Atualização &gt;15 dias)",IF(X489&gt;90,"CRÍTICO (Aberto &gt;90 dias)","OK"))))))</f>
        <v/>
      </c>
      <c r="Z489" s="90" t="str">
        <f aca="false">IF(B489="","",IF(OR(O489="27 - Instalação concluída",O489="28 - Encerrado"),"OK",IF(NOT(ISNUMBER(X489)),"",IF(X489&gt;365,"MUITO ANTIGO (&gt;1 ano)",IF(X489&gt;180,"ANTIGO (&gt;6 meses)",IF(X489&gt;90,"ATENÇÃO ANTIG. (&gt;3 meses)","OK"))))))</f>
        <v/>
      </c>
      <c r="AA489" s="86"/>
      <c r="AB489" s="69" t="str">
        <f aca="false">IF(AND(B489&lt;&gt;"",OR(T489="Pendente de Vistoria",T489="Não validada")),MAX($AB$1:$AB$488)+1,"")</f>
        <v/>
      </c>
      <c r="AC489" s="69" t="str">
        <f aca="false">IF(AND(B489&lt;&gt;"",OR(ISNUMBER(SEARCH("CTIN",P489)),U489="Alta",O489="07 - Relatório recebido — unidade apta",O489="11 - Orçamentos em análise técnica",O489="22 - Instalação/substituição autorizada")),MAX($AC$1:$AC$488)+1,"")</f>
        <v/>
      </c>
      <c r="AD489" s="69" t="str">
        <f aca="false">IF(AND(B489&lt;&gt;"",OR(ISNUMBER(SEARCH("CTO",P489)),LEFT(O489,2)="22",LEFT(O489,2)="23",LEFT(O489,2)="24",LEFT(O489,2)="25",LEFT(O489,2)="26",LEFT(O489,2)="27")),MAX($AD$1:$AD$488)+1,"")</f>
        <v/>
      </c>
      <c r="AE489" s="69" t="str">
        <f aca="false">IF(AND(B489&lt;&gt;"",D489=CONSULTA_UNIDADE!$B$4),MAX($AE$1:$AE$488)+1,"")</f>
        <v/>
      </c>
      <c r="AF489" s="69" t="str">
        <f aca="false">IF(AND(B489&lt;&gt;"",O489&lt;&gt;"27 - Instalação concluída",O489&lt;&gt;"28 - Encerrado",ISNUMBER(S489)),S489*1000+(1000-ROW()),"")</f>
        <v/>
      </c>
      <c r="AG489" s="69" t="str">
        <f aca="false">IF(AF489="","",RANK(AF489,$AF$2:$AF$500))</f>
        <v/>
      </c>
    </row>
    <row r="490" customFormat="false" ht="16.5" hidden="false" customHeight="true" outlineLevel="0" collapsed="false">
      <c r="A490" s="86"/>
      <c r="B490" s="86"/>
      <c r="C490" s="87" t="str">
        <f aca="false">IF(D490="","",IFERROR(INDEX(CADASTRO_VIVO_3CRE!$B$2:$B$150,MATCH(D490,CADASTRO_VIVO_3CRE!$E$2:$E$150,0)),""))</f>
        <v/>
      </c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8"/>
      <c r="S490" s="89" t="str">
        <f aca="true">IF(R490="","",TODAY()-INT(R490))</f>
        <v/>
      </c>
      <c r="T490" s="86"/>
      <c r="U490" s="86"/>
      <c r="V490" s="86"/>
      <c r="W490" s="88"/>
      <c r="X490" s="89" t="str">
        <f aca="true">IF(W490="","",IF(OR(O490="28 - Encerrado",O490="27 - Instalação concluída"),"Concluído",TODAY()-INT(W490)))</f>
        <v/>
      </c>
      <c r="Y490" s="90" t="str">
        <f aca="false">IF(OR(O490="28 - Encerrado",O490="27 - Instalação concluída"),"OK",IF(AND(B490&lt;&gt;"",S490=""),"ATENÇÃO (Sem data de atualização)",IF(S490="","",IF(S490&gt;30,"CRÍTICO (Sem Atualização &gt;30 dias)",IF(S490&gt;15,"ATENÇÃO (Sem Atualização &gt;15 dias)",IF(X490&gt;90,"CRÍTICO (Aberto &gt;90 dias)","OK"))))))</f>
        <v/>
      </c>
      <c r="Z490" s="90" t="str">
        <f aca="false">IF(B490="","",IF(OR(O490="27 - Instalação concluída",O490="28 - Encerrado"),"OK",IF(NOT(ISNUMBER(X490)),"",IF(X490&gt;365,"MUITO ANTIGO (&gt;1 ano)",IF(X490&gt;180,"ANTIGO (&gt;6 meses)",IF(X490&gt;90,"ATENÇÃO ANTIG. (&gt;3 meses)","OK"))))))</f>
        <v/>
      </c>
      <c r="AA490" s="86"/>
      <c r="AB490" s="69" t="str">
        <f aca="false">IF(AND(B490&lt;&gt;"",OR(T490="Pendente de Vistoria",T490="Não validada")),MAX($AB$1:$AB$489)+1,"")</f>
        <v/>
      </c>
      <c r="AC490" s="69" t="str">
        <f aca="false">IF(AND(B490&lt;&gt;"",OR(ISNUMBER(SEARCH("CTIN",P490)),U490="Alta",O490="07 - Relatório recebido — unidade apta",O490="11 - Orçamentos em análise técnica",O490="22 - Instalação/substituição autorizada")),MAX($AC$1:$AC$489)+1,"")</f>
        <v/>
      </c>
      <c r="AD490" s="69" t="str">
        <f aca="false">IF(AND(B490&lt;&gt;"",OR(ISNUMBER(SEARCH("CTO",P490)),LEFT(O490,2)="22",LEFT(O490,2)="23",LEFT(O490,2)="24",LEFT(O490,2)="25",LEFT(O490,2)="26",LEFT(O490,2)="27")),MAX($AD$1:$AD$489)+1,"")</f>
        <v/>
      </c>
      <c r="AE490" s="69" t="str">
        <f aca="false">IF(AND(B490&lt;&gt;"",D490=CONSULTA_UNIDADE!$B$4),MAX($AE$1:$AE$489)+1,"")</f>
        <v/>
      </c>
      <c r="AF490" s="69" t="str">
        <f aca="false">IF(AND(B490&lt;&gt;"",O490&lt;&gt;"27 - Instalação concluída",O490&lt;&gt;"28 - Encerrado",ISNUMBER(S490)),S490*1000+(1000-ROW()),"")</f>
        <v/>
      </c>
      <c r="AG490" s="69" t="str">
        <f aca="false">IF(AF490="","",RANK(AF490,$AF$2:$AF$500))</f>
        <v/>
      </c>
    </row>
    <row r="491" customFormat="false" ht="16.5" hidden="false" customHeight="true" outlineLevel="0" collapsed="false">
      <c r="A491" s="86"/>
      <c r="B491" s="86"/>
      <c r="C491" s="87" t="str">
        <f aca="false">IF(D491="","",IFERROR(INDEX(CADASTRO_VIVO_3CRE!$B$2:$B$150,MATCH(D491,CADASTRO_VIVO_3CRE!$E$2:$E$150,0)),""))</f>
        <v/>
      </c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8"/>
      <c r="S491" s="89" t="str">
        <f aca="true">IF(R491="","",TODAY()-INT(R491))</f>
        <v/>
      </c>
      <c r="T491" s="86"/>
      <c r="U491" s="86"/>
      <c r="V491" s="86"/>
      <c r="W491" s="88"/>
      <c r="X491" s="89" t="str">
        <f aca="true">IF(W491="","",IF(OR(O491="28 - Encerrado",O491="27 - Instalação concluída"),"Concluído",TODAY()-INT(W491)))</f>
        <v/>
      </c>
      <c r="Y491" s="90" t="str">
        <f aca="false">IF(OR(O491="28 - Encerrado",O491="27 - Instalação concluída"),"OK",IF(AND(B491&lt;&gt;"",S491=""),"ATENÇÃO (Sem data de atualização)",IF(S491="","",IF(S491&gt;30,"CRÍTICO (Sem Atualização &gt;30 dias)",IF(S491&gt;15,"ATENÇÃO (Sem Atualização &gt;15 dias)",IF(X491&gt;90,"CRÍTICO (Aberto &gt;90 dias)","OK"))))))</f>
        <v/>
      </c>
      <c r="Z491" s="90" t="str">
        <f aca="false">IF(B491="","",IF(OR(O491="27 - Instalação concluída",O491="28 - Encerrado"),"OK",IF(NOT(ISNUMBER(X491)),"",IF(X491&gt;365,"MUITO ANTIGO (&gt;1 ano)",IF(X491&gt;180,"ANTIGO (&gt;6 meses)",IF(X491&gt;90,"ATENÇÃO ANTIG. (&gt;3 meses)","OK"))))))</f>
        <v/>
      </c>
      <c r="AA491" s="86"/>
      <c r="AB491" s="69" t="str">
        <f aca="false">IF(AND(B491&lt;&gt;"",OR(T491="Pendente de Vistoria",T491="Não validada")),MAX($AB$1:$AB$490)+1,"")</f>
        <v/>
      </c>
      <c r="AC491" s="69" t="str">
        <f aca="false">IF(AND(B491&lt;&gt;"",OR(ISNUMBER(SEARCH("CTIN",P491)),U491="Alta",O491="07 - Relatório recebido — unidade apta",O491="11 - Orçamentos em análise técnica",O491="22 - Instalação/substituição autorizada")),MAX($AC$1:$AC$490)+1,"")</f>
        <v/>
      </c>
      <c r="AD491" s="69" t="str">
        <f aca="false">IF(AND(B491&lt;&gt;"",OR(ISNUMBER(SEARCH("CTO",P491)),LEFT(O491,2)="22",LEFT(O491,2)="23",LEFT(O491,2)="24",LEFT(O491,2)="25",LEFT(O491,2)="26",LEFT(O491,2)="27")),MAX($AD$1:$AD$490)+1,"")</f>
        <v/>
      </c>
      <c r="AE491" s="69" t="str">
        <f aca="false">IF(AND(B491&lt;&gt;"",D491=CONSULTA_UNIDADE!$B$4),MAX($AE$1:$AE$490)+1,"")</f>
        <v/>
      </c>
      <c r="AF491" s="69" t="str">
        <f aca="false">IF(AND(B491&lt;&gt;"",O491&lt;&gt;"27 - Instalação concluída",O491&lt;&gt;"28 - Encerrado",ISNUMBER(S491)),S491*1000+(1000-ROW()),"")</f>
        <v/>
      </c>
      <c r="AG491" s="69" t="str">
        <f aca="false">IF(AF491="","",RANK(AF491,$AF$2:$AF$500))</f>
        <v/>
      </c>
    </row>
    <row r="492" customFormat="false" ht="16.5" hidden="false" customHeight="true" outlineLevel="0" collapsed="false">
      <c r="A492" s="86"/>
      <c r="B492" s="86"/>
      <c r="C492" s="87" t="str">
        <f aca="false">IF(D492="","",IFERROR(INDEX(CADASTRO_VIVO_3CRE!$B$2:$B$150,MATCH(D492,CADASTRO_VIVO_3CRE!$E$2:$E$150,0)),""))</f>
        <v/>
      </c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8"/>
      <c r="S492" s="89" t="str">
        <f aca="true">IF(R492="","",TODAY()-INT(R492))</f>
        <v/>
      </c>
      <c r="T492" s="86"/>
      <c r="U492" s="86"/>
      <c r="V492" s="86"/>
      <c r="W492" s="88"/>
      <c r="X492" s="89" t="str">
        <f aca="true">IF(W492="","",IF(OR(O492="28 - Encerrado",O492="27 - Instalação concluída"),"Concluído",TODAY()-INT(W492)))</f>
        <v/>
      </c>
      <c r="Y492" s="90" t="str">
        <f aca="false">IF(OR(O492="28 - Encerrado",O492="27 - Instalação concluída"),"OK",IF(AND(B492&lt;&gt;"",S492=""),"ATENÇÃO (Sem data de atualização)",IF(S492="","",IF(S492&gt;30,"CRÍTICO (Sem Atualização &gt;30 dias)",IF(S492&gt;15,"ATENÇÃO (Sem Atualização &gt;15 dias)",IF(X492&gt;90,"CRÍTICO (Aberto &gt;90 dias)","OK"))))))</f>
        <v/>
      </c>
      <c r="Z492" s="90" t="str">
        <f aca="false">IF(B492="","",IF(OR(O492="27 - Instalação concluída",O492="28 - Encerrado"),"OK",IF(NOT(ISNUMBER(X492)),"",IF(X492&gt;365,"MUITO ANTIGO (&gt;1 ano)",IF(X492&gt;180,"ANTIGO (&gt;6 meses)",IF(X492&gt;90,"ATENÇÃO ANTIG. (&gt;3 meses)","OK"))))))</f>
        <v/>
      </c>
      <c r="AA492" s="86"/>
      <c r="AB492" s="69" t="str">
        <f aca="false">IF(AND(B492&lt;&gt;"",OR(T492="Pendente de Vistoria",T492="Não validada")),MAX($AB$1:$AB$491)+1,"")</f>
        <v/>
      </c>
      <c r="AC492" s="69" t="str">
        <f aca="false">IF(AND(B492&lt;&gt;"",OR(ISNUMBER(SEARCH("CTIN",P492)),U492="Alta",O492="07 - Relatório recebido — unidade apta",O492="11 - Orçamentos em análise técnica",O492="22 - Instalação/substituição autorizada")),MAX($AC$1:$AC$491)+1,"")</f>
        <v/>
      </c>
      <c r="AD492" s="69" t="str">
        <f aca="false">IF(AND(B492&lt;&gt;"",OR(ISNUMBER(SEARCH("CTO",P492)),LEFT(O492,2)="22",LEFT(O492,2)="23",LEFT(O492,2)="24",LEFT(O492,2)="25",LEFT(O492,2)="26",LEFT(O492,2)="27")),MAX($AD$1:$AD$491)+1,"")</f>
        <v/>
      </c>
      <c r="AE492" s="69" t="str">
        <f aca="false">IF(AND(B492&lt;&gt;"",D492=CONSULTA_UNIDADE!$B$4),MAX($AE$1:$AE$491)+1,"")</f>
        <v/>
      </c>
      <c r="AF492" s="69" t="str">
        <f aca="false">IF(AND(B492&lt;&gt;"",O492&lt;&gt;"27 - Instalação concluída",O492&lt;&gt;"28 - Encerrado",ISNUMBER(S492)),S492*1000+(1000-ROW()),"")</f>
        <v/>
      </c>
      <c r="AG492" s="69" t="str">
        <f aca="false">IF(AF492="","",RANK(AF492,$AF$2:$AF$500))</f>
        <v/>
      </c>
    </row>
    <row r="493" customFormat="false" ht="16.5" hidden="false" customHeight="true" outlineLevel="0" collapsed="false">
      <c r="A493" s="86"/>
      <c r="B493" s="86"/>
      <c r="C493" s="87" t="str">
        <f aca="false">IF(D493="","",IFERROR(INDEX(CADASTRO_VIVO_3CRE!$B$2:$B$150,MATCH(D493,CADASTRO_VIVO_3CRE!$E$2:$E$150,0)),""))</f>
        <v/>
      </c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8"/>
      <c r="S493" s="89" t="str">
        <f aca="true">IF(R493="","",TODAY()-INT(R493))</f>
        <v/>
      </c>
      <c r="T493" s="86"/>
      <c r="U493" s="86"/>
      <c r="V493" s="86"/>
      <c r="W493" s="88"/>
      <c r="X493" s="89" t="str">
        <f aca="true">IF(W493="","",IF(OR(O493="28 - Encerrado",O493="27 - Instalação concluída"),"Concluído",TODAY()-INT(W493)))</f>
        <v/>
      </c>
      <c r="Y493" s="90" t="str">
        <f aca="false">IF(OR(O493="28 - Encerrado",O493="27 - Instalação concluída"),"OK",IF(AND(B493&lt;&gt;"",S493=""),"ATENÇÃO (Sem data de atualização)",IF(S493="","",IF(S493&gt;30,"CRÍTICO (Sem Atualização &gt;30 dias)",IF(S493&gt;15,"ATENÇÃO (Sem Atualização &gt;15 dias)",IF(X493&gt;90,"CRÍTICO (Aberto &gt;90 dias)","OK"))))))</f>
        <v/>
      </c>
      <c r="Z493" s="90" t="str">
        <f aca="false">IF(B493="","",IF(OR(O493="27 - Instalação concluída",O493="28 - Encerrado"),"OK",IF(NOT(ISNUMBER(X493)),"",IF(X493&gt;365,"MUITO ANTIGO (&gt;1 ano)",IF(X493&gt;180,"ANTIGO (&gt;6 meses)",IF(X493&gt;90,"ATENÇÃO ANTIG. (&gt;3 meses)","OK"))))))</f>
        <v/>
      </c>
      <c r="AA493" s="86"/>
      <c r="AB493" s="69" t="str">
        <f aca="false">IF(AND(B493&lt;&gt;"",OR(T493="Pendente de Vistoria",T493="Não validada")),MAX($AB$1:$AB$492)+1,"")</f>
        <v/>
      </c>
      <c r="AC493" s="69" t="str">
        <f aca="false">IF(AND(B493&lt;&gt;"",OR(ISNUMBER(SEARCH("CTIN",P493)),U493="Alta",O493="07 - Relatório recebido — unidade apta",O493="11 - Orçamentos em análise técnica",O493="22 - Instalação/substituição autorizada")),MAX($AC$1:$AC$492)+1,"")</f>
        <v/>
      </c>
      <c r="AD493" s="69" t="str">
        <f aca="false">IF(AND(B493&lt;&gt;"",OR(ISNUMBER(SEARCH("CTO",P493)),LEFT(O493,2)="22",LEFT(O493,2)="23",LEFT(O493,2)="24",LEFT(O493,2)="25",LEFT(O493,2)="26",LEFT(O493,2)="27")),MAX($AD$1:$AD$492)+1,"")</f>
        <v/>
      </c>
      <c r="AE493" s="69" t="str">
        <f aca="false">IF(AND(B493&lt;&gt;"",D493=CONSULTA_UNIDADE!$B$4),MAX($AE$1:$AE$492)+1,"")</f>
        <v/>
      </c>
      <c r="AF493" s="69" t="str">
        <f aca="false">IF(AND(B493&lt;&gt;"",O493&lt;&gt;"27 - Instalação concluída",O493&lt;&gt;"28 - Encerrado",ISNUMBER(S493)),S493*1000+(1000-ROW()),"")</f>
        <v/>
      </c>
      <c r="AG493" s="69" t="str">
        <f aca="false">IF(AF493="","",RANK(AF493,$AF$2:$AF$500))</f>
        <v/>
      </c>
    </row>
    <row r="494" customFormat="false" ht="16.5" hidden="false" customHeight="true" outlineLevel="0" collapsed="false">
      <c r="A494" s="86"/>
      <c r="B494" s="86"/>
      <c r="C494" s="87" t="str">
        <f aca="false">IF(D494="","",IFERROR(INDEX(CADASTRO_VIVO_3CRE!$B$2:$B$150,MATCH(D494,CADASTRO_VIVO_3CRE!$E$2:$E$150,0)),""))</f>
        <v/>
      </c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8"/>
      <c r="S494" s="89" t="str">
        <f aca="true">IF(R494="","",TODAY()-INT(R494))</f>
        <v/>
      </c>
      <c r="T494" s="86"/>
      <c r="U494" s="86"/>
      <c r="V494" s="86"/>
      <c r="W494" s="88"/>
      <c r="X494" s="89" t="str">
        <f aca="true">IF(W494="","",IF(OR(O494="28 - Encerrado",O494="27 - Instalação concluída"),"Concluído",TODAY()-INT(W494)))</f>
        <v/>
      </c>
      <c r="Y494" s="90" t="str">
        <f aca="false">IF(OR(O494="28 - Encerrado",O494="27 - Instalação concluída"),"OK",IF(AND(B494&lt;&gt;"",S494=""),"ATENÇÃO (Sem data de atualização)",IF(S494="","",IF(S494&gt;30,"CRÍTICO (Sem Atualização &gt;30 dias)",IF(S494&gt;15,"ATENÇÃO (Sem Atualização &gt;15 dias)",IF(X494&gt;90,"CRÍTICO (Aberto &gt;90 dias)","OK"))))))</f>
        <v/>
      </c>
      <c r="Z494" s="90" t="str">
        <f aca="false">IF(B494="","",IF(OR(O494="27 - Instalação concluída",O494="28 - Encerrado"),"OK",IF(NOT(ISNUMBER(X494)),"",IF(X494&gt;365,"MUITO ANTIGO (&gt;1 ano)",IF(X494&gt;180,"ANTIGO (&gt;6 meses)",IF(X494&gt;90,"ATENÇÃO ANTIG. (&gt;3 meses)","OK"))))))</f>
        <v/>
      </c>
      <c r="AA494" s="86"/>
      <c r="AB494" s="69" t="str">
        <f aca="false">IF(AND(B494&lt;&gt;"",OR(T494="Pendente de Vistoria",T494="Não validada")),MAX($AB$1:$AB$493)+1,"")</f>
        <v/>
      </c>
      <c r="AC494" s="69" t="str">
        <f aca="false">IF(AND(B494&lt;&gt;"",OR(ISNUMBER(SEARCH("CTIN",P494)),U494="Alta",O494="07 - Relatório recebido — unidade apta",O494="11 - Orçamentos em análise técnica",O494="22 - Instalação/substituição autorizada")),MAX($AC$1:$AC$493)+1,"")</f>
        <v/>
      </c>
      <c r="AD494" s="69" t="str">
        <f aca="false">IF(AND(B494&lt;&gt;"",OR(ISNUMBER(SEARCH("CTO",P494)),LEFT(O494,2)="22",LEFT(O494,2)="23",LEFT(O494,2)="24",LEFT(O494,2)="25",LEFT(O494,2)="26",LEFT(O494,2)="27")),MAX($AD$1:$AD$493)+1,"")</f>
        <v/>
      </c>
      <c r="AE494" s="69" t="str">
        <f aca="false">IF(AND(B494&lt;&gt;"",D494=CONSULTA_UNIDADE!$B$4),MAX($AE$1:$AE$493)+1,"")</f>
        <v/>
      </c>
      <c r="AF494" s="69" t="str">
        <f aca="false">IF(AND(B494&lt;&gt;"",O494&lt;&gt;"27 - Instalação concluída",O494&lt;&gt;"28 - Encerrado",ISNUMBER(S494)),S494*1000+(1000-ROW()),"")</f>
        <v/>
      </c>
      <c r="AG494" s="69" t="str">
        <f aca="false">IF(AF494="","",RANK(AF494,$AF$2:$AF$500))</f>
        <v/>
      </c>
    </row>
    <row r="495" customFormat="false" ht="16.5" hidden="false" customHeight="true" outlineLevel="0" collapsed="false">
      <c r="A495" s="86"/>
      <c r="B495" s="86"/>
      <c r="C495" s="87" t="str">
        <f aca="false">IF(D495="","",IFERROR(INDEX(CADASTRO_VIVO_3CRE!$B$2:$B$150,MATCH(D495,CADASTRO_VIVO_3CRE!$E$2:$E$150,0)),""))</f>
        <v/>
      </c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8"/>
      <c r="S495" s="89" t="str">
        <f aca="true">IF(R495="","",TODAY()-INT(R495))</f>
        <v/>
      </c>
      <c r="T495" s="86"/>
      <c r="U495" s="86"/>
      <c r="V495" s="86"/>
      <c r="W495" s="88"/>
      <c r="X495" s="89" t="str">
        <f aca="true">IF(W495="","",IF(OR(O495="28 - Encerrado",O495="27 - Instalação concluída"),"Concluído",TODAY()-INT(W495)))</f>
        <v/>
      </c>
      <c r="Y495" s="90" t="str">
        <f aca="false">IF(OR(O495="28 - Encerrado",O495="27 - Instalação concluída"),"OK",IF(AND(B495&lt;&gt;"",S495=""),"ATENÇÃO (Sem data de atualização)",IF(S495="","",IF(S495&gt;30,"CRÍTICO (Sem Atualização &gt;30 dias)",IF(S495&gt;15,"ATENÇÃO (Sem Atualização &gt;15 dias)",IF(X495&gt;90,"CRÍTICO (Aberto &gt;90 dias)","OK"))))))</f>
        <v/>
      </c>
      <c r="Z495" s="90" t="str">
        <f aca="false">IF(B495="","",IF(OR(O495="27 - Instalação concluída",O495="28 - Encerrado"),"OK",IF(NOT(ISNUMBER(X495)),"",IF(X495&gt;365,"MUITO ANTIGO (&gt;1 ano)",IF(X495&gt;180,"ANTIGO (&gt;6 meses)",IF(X495&gt;90,"ATENÇÃO ANTIG. (&gt;3 meses)","OK"))))))</f>
        <v/>
      </c>
      <c r="AA495" s="86"/>
      <c r="AB495" s="69" t="str">
        <f aca="false">IF(AND(B495&lt;&gt;"",OR(T495="Pendente de Vistoria",T495="Não validada")),MAX($AB$1:$AB$494)+1,"")</f>
        <v/>
      </c>
      <c r="AC495" s="69" t="str">
        <f aca="false">IF(AND(B495&lt;&gt;"",OR(ISNUMBER(SEARCH("CTIN",P495)),U495="Alta",O495="07 - Relatório recebido — unidade apta",O495="11 - Orçamentos em análise técnica",O495="22 - Instalação/substituição autorizada")),MAX($AC$1:$AC$494)+1,"")</f>
        <v/>
      </c>
      <c r="AD495" s="69" t="str">
        <f aca="false">IF(AND(B495&lt;&gt;"",OR(ISNUMBER(SEARCH("CTO",P495)),LEFT(O495,2)="22",LEFT(O495,2)="23",LEFT(O495,2)="24",LEFT(O495,2)="25",LEFT(O495,2)="26",LEFT(O495,2)="27")),MAX($AD$1:$AD$494)+1,"")</f>
        <v/>
      </c>
      <c r="AE495" s="69" t="str">
        <f aca="false">IF(AND(B495&lt;&gt;"",D495=CONSULTA_UNIDADE!$B$4),MAX($AE$1:$AE$494)+1,"")</f>
        <v/>
      </c>
      <c r="AF495" s="69" t="str">
        <f aca="false">IF(AND(B495&lt;&gt;"",O495&lt;&gt;"27 - Instalação concluída",O495&lt;&gt;"28 - Encerrado",ISNUMBER(S495)),S495*1000+(1000-ROW()),"")</f>
        <v/>
      </c>
      <c r="AG495" s="69" t="str">
        <f aca="false">IF(AF495="","",RANK(AF495,$AF$2:$AF$500))</f>
        <v/>
      </c>
    </row>
    <row r="496" customFormat="false" ht="16.5" hidden="false" customHeight="true" outlineLevel="0" collapsed="false">
      <c r="A496" s="86"/>
      <c r="B496" s="86"/>
      <c r="C496" s="87" t="str">
        <f aca="false">IF(D496="","",IFERROR(INDEX(CADASTRO_VIVO_3CRE!$B$2:$B$150,MATCH(D496,CADASTRO_VIVO_3CRE!$E$2:$E$150,0)),""))</f>
        <v/>
      </c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8"/>
      <c r="S496" s="89" t="str">
        <f aca="true">IF(R496="","",TODAY()-INT(R496))</f>
        <v/>
      </c>
      <c r="T496" s="86"/>
      <c r="U496" s="86"/>
      <c r="V496" s="86"/>
      <c r="W496" s="88"/>
      <c r="X496" s="89" t="str">
        <f aca="true">IF(W496="","",IF(OR(O496="28 - Encerrado",O496="27 - Instalação concluída"),"Concluído",TODAY()-INT(W496)))</f>
        <v/>
      </c>
      <c r="Y496" s="90" t="str">
        <f aca="false">IF(OR(O496="28 - Encerrado",O496="27 - Instalação concluída"),"OK",IF(AND(B496&lt;&gt;"",S496=""),"ATENÇÃO (Sem data de atualização)",IF(S496="","",IF(S496&gt;30,"CRÍTICO (Sem Atualização &gt;30 dias)",IF(S496&gt;15,"ATENÇÃO (Sem Atualização &gt;15 dias)",IF(X496&gt;90,"CRÍTICO (Aberto &gt;90 dias)","OK"))))))</f>
        <v/>
      </c>
      <c r="Z496" s="90" t="str">
        <f aca="false">IF(B496="","",IF(OR(O496="27 - Instalação concluída",O496="28 - Encerrado"),"OK",IF(NOT(ISNUMBER(X496)),"",IF(X496&gt;365,"MUITO ANTIGO (&gt;1 ano)",IF(X496&gt;180,"ANTIGO (&gt;6 meses)",IF(X496&gt;90,"ATENÇÃO ANTIG. (&gt;3 meses)","OK"))))))</f>
        <v/>
      </c>
      <c r="AA496" s="86"/>
      <c r="AB496" s="69" t="str">
        <f aca="false">IF(AND(B496&lt;&gt;"",OR(T496="Pendente de Vistoria",T496="Não validada")),MAX($AB$1:$AB$495)+1,"")</f>
        <v/>
      </c>
      <c r="AC496" s="69" t="str">
        <f aca="false">IF(AND(B496&lt;&gt;"",OR(ISNUMBER(SEARCH("CTIN",P496)),U496="Alta",O496="07 - Relatório recebido — unidade apta",O496="11 - Orçamentos em análise técnica",O496="22 - Instalação/substituição autorizada")),MAX($AC$1:$AC$495)+1,"")</f>
        <v/>
      </c>
      <c r="AD496" s="69" t="str">
        <f aca="false">IF(AND(B496&lt;&gt;"",OR(ISNUMBER(SEARCH("CTO",P496)),LEFT(O496,2)="22",LEFT(O496,2)="23",LEFT(O496,2)="24",LEFT(O496,2)="25",LEFT(O496,2)="26",LEFT(O496,2)="27")),MAX($AD$1:$AD$495)+1,"")</f>
        <v/>
      </c>
      <c r="AE496" s="69" t="str">
        <f aca="false">IF(AND(B496&lt;&gt;"",D496=CONSULTA_UNIDADE!$B$4),MAX($AE$1:$AE$495)+1,"")</f>
        <v/>
      </c>
      <c r="AF496" s="69" t="str">
        <f aca="false">IF(AND(B496&lt;&gt;"",O496&lt;&gt;"27 - Instalação concluída",O496&lt;&gt;"28 - Encerrado",ISNUMBER(S496)),S496*1000+(1000-ROW()),"")</f>
        <v/>
      </c>
      <c r="AG496" s="69" t="str">
        <f aca="false">IF(AF496="","",RANK(AF496,$AF$2:$AF$500))</f>
        <v/>
      </c>
    </row>
    <row r="497" customFormat="false" ht="16.5" hidden="false" customHeight="true" outlineLevel="0" collapsed="false">
      <c r="A497" s="86"/>
      <c r="B497" s="86"/>
      <c r="C497" s="87" t="str">
        <f aca="false">IF(D497="","",IFERROR(INDEX(CADASTRO_VIVO_3CRE!$B$2:$B$150,MATCH(D497,CADASTRO_VIVO_3CRE!$E$2:$E$150,0)),""))</f>
        <v/>
      </c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8"/>
      <c r="S497" s="89" t="str">
        <f aca="true">IF(R497="","",TODAY()-INT(R497))</f>
        <v/>
      </c>
      <c r="T497" s="86"/>
      <c r="U497" s="86"/>
      <c r="V497" s="86"/>
      <c r="W497" s="88"/>
      <c r="X497" s="89" t="str">
        <f aca="true">IF(W497="","",IF(OR(O497="28 - Encerrado",O497="27 - Instalação concluída"),"Concluído",TODAY()-INT(W497)))</f>
        <v/>
      </c>
      <c r="Y497" s="90" t="str">
        <f aca="false">IF(OR(O497="28 - Encerrado",O497="27 - Instalação concluída"),"OK",IF(AND(B497&lt;&gt;"",S497=""),"ATENÇÃO (Sem data de atualização)",IF(S497="","",IF(S497&gt;30,"CRÍTICO (Sem Atualização &gt;30 dias)",IF(S497&gt;15,"ATENÇÃO (Sem Atualização &gt;15 dias)",IF(X497&gt;90,"CRÍTICO (Aberto &gt;90 dias)","OK"))))))</f>
        <v/>
      </c>
      <c r="Z497" s="90" t="str">
        <f aca="false">IF(B497="","",IF(OR(O497="27 - Instalação concluída",O497="28 - Encerrado"),"OK",IF(NOT(ISNUMBER(X497)),"",IF(X497&gt;365,"MUITO ANTIGO (&gt;1 ano)",IF(X497&gt;180,"ANTIGO (&gt;6 meses)",IF(X497&gt;90,"ATENÇÃO ANTIG. (&gt;3 meses)","OK"))))))</f>
        <v/>
      </c>
      <c r="AA497" s="86"/>
      <c r="AB497" s="69" t="str">
        <f aca="false">IF(AND(B497&lt;&gt;"",OR(T497="Pendente de Vistoria",T497="Não validada")),MAX($AB$1:$AB$496)+1,"")</f>
        <v/>
      </c>
      <c r="AC497" s="69" t="str">
        <f aca="false">IF(AND(B497&lt;&gt;"",OR(ISNUMBER(SEARCH("CTIN",P497)),U497="Alta",O497="07 - Relatório recebido — unidade apta",O497="11 - Orçamentos em análise técnica",O497="22 - Instalação/substituição autorizada")),MAX($AC$1:$AC$496)+1,"")</f>
        <v/>
      </c>
      <c r="AD497" s="69" t="str">
        <f aca="false">IF(AND(B497&lt;&gt;"",OR(ISNUMBER(SEARCH("CTO",P497)),LEFT(O497,2)="22",LEFT(O497,2)="23",LEFT(O497,2)="24",LEFT(O497,2)="25",LEFT(O497,2)="26",LEFT(O497,2)="27")),MAX($AD$1:$AD$496)+1,"")</f>
        <v/>
      </c>
      <c r="AE497" s="69" t="str">
        <f aca="false">IF(AND(B497&lt;&gt;"",D497=CONSULTA_UNIDADE!$B$4),MAX($AE$1:$AE$496)+1,"")</f>
        <v/>
      </c>
      <c r="AF497" s="69" t="str">
        <f aca="false">IF(AND(B497&lt;&gt;"",O497&lt;&gt;"27 - Instalação concluída",O497&lt;&gt;"28 - Encerrado",ISNUMBER(S497)),S497*1000+(1000-ROW()),"")</f>
        <v/>
      </c>
      <c r="AG497" s="69" t="str">
        <f aca="false">IF(AF497="","",RANK(AF497,$AF$2:$AF$500))</f>
        <v/>
      </c>
    </row>
    <row r="498" customFormat="false" ht="16.5" hidden="false" customHeight="true" outlineLevel="0" collapsed="false">
      <c r="A498" s="86"/>
      <c r="B498" s="86"/>
      <c r="C498" s="87" t="str">
        <f aca="false">IF(D498="","",IFERROR(INDEX(CADASTRO_VIVO_3CRE!$B$2:$B$150,MATCH(D498,CADASTRO_VIVO_3CRE!$E$2:$E$150,0)),""))</f>
        <v/>
      </c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8"/>
      <c r="S498" s="89" t="str">
        <f aca="true">IF(R498="","",TODAY()-INT(R498))</f>
        <v/>
      </c>
      <c r="T498" s="86"/>
      <c r="U498" s="86"/>
      <c r="V498" s="86"/>
      <c r="W498" s="88"/>
      <c r="X498" s="89" t="str">
        <f aca="true">IF(W498="","",IF(OR(O498="28 - Encerrado",O498="27 - Instalação concluída"),"Concluído",TODAY()-INT(W498)))</f>
        <v/>
      </c>
      <c r="Y498" s="90" t="str">
        <f aca="false">IF(OR(O498="28 - Encerrado",O498="27 - Instalação concluída"),"OK",IF(AND(B498&lt;&gt;"",S498=""),"ATENÇÃO (Sem data de atualização)",IF(S498="","",IF(S498&gt;30,"CRÍTICO (Sem Atualização &gt;30 dias)",IF(S498&gt;15,"ATENÇÃO (Sem Atualização &gt;15 dias)",IF(X498&gt;90,"CRÍTICO (Aberto &gt;90 dias)","OK"))))))</f>
        <v/>
      </c>
      <c r="Z498" s="90" t="str">
        <f aca="false">IF(B498="","",IF(OR(O498="27 - Instalação concluída",O498="28 - Encerrado"),"OK",IF(NOT(ISNUMBER(X498)),"",IF(X498&gt;365,"MUITO ANTIGO (&gt;1 ano)",IF(X498&gt;180,"ANTIGO (&gt;6 meses)",IF(X498&gt;90,"ATENÇÃO ANTIG. (&gt;3 meses)","OK"))))))</f>
        <v/>
      </c>
      <c r="AA498" s="86"/>
      <c r="AB498" s="69" t="str">
        <f aca="false">IF(AND(B498&lt;&gt;"",OR(T498="Pendente de Vistoria",T498="Não validada")),MAX($AB$1:$AB$497)+1,"")</f>
        <v/>
      </c>
      <c r="AC498" s="69" t="str">
        <f aca="false">IF(AND(B498&lt;&gt;"",OR(ISNUMBER(SEARCH("CTIN",P498)),U498="Alta",O498="07 - Relatório recebido — unidade apta",O498="11 - Orçamentos em análise técnica",O498="22 - Instalação/substituição autorizada")),MAX($AC$1:$AC$497)+1,"")</f>
        <v/>
      </c>
      <c r="AD498" s="69" t="str">
        <f aca="false">IF(AND(B498&lt;&gt;"",OR(ISNUMBER(SEARCH("CTO",P498)),LEFT(O498,2)="22",LEFT(O498,2)="23",LEFT(O498,2)="24",LEFT(O498,2)="25",LEFT(O498,2)="26",LEFT(O498,2)="27")),MAX($AD$1:$AD$497)+1,"")</f>
        <v/>
      </c>
      <c r="AE498" s="69" t="str">
        <f aca="false">IF(AND(B498&lt;&gt;"",D498=CONSULTA_UNIDADE!$B$4),MAX($AE$1:$AE$497)+1,"")</f>
        <v/>
      </c>
      <c r="AF498" s="69" t="str">
        <f aca="false">IF(AND(B498&lt;&gt;"",O498&lt;&gt;"27 - Instalação concluída",O498&lt;&gt;"28 - Encerrado",ISNUMBER(S498)),S498*1000+(1000-ROW()),"")</f>
        <v/>
      </c>
      <c r="AG498" s="69" t="str">
        <f aca="false">IF(AF498="","",RANK(AF498,$AF$2:$AF$500))</f>
        <v/>
      </c>
    </row>
    <row r="499" customFormat="false" ht="16.5" hidden="false" customHeight="true" outlineLevel="0" collapsed="false">
      <c r="A499" s="86"/>
      <c r="B499" s="86"/>
      <c r="C499" s="87" t="str">
        <f aca="false">IF(D499="","",IFERROR(INDEX(CADASTRO_VIVO_3CRE!$B$2:$B$150,MATCH(D499,CADASTRO_VIVO_3CRE!$E$2:$E$150,0)),""))</f>
        <v/>
      </c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8"/>
      <c r="S499" s="89" t="str">
        <f aca="true">IF(R499="","",TODAY()-INT(R499))</f>
        <v/>
      </c>
      <c r="T499" s="86"/>
      <c r="U499" s="86"/>
      <c r="V499" s="86"/>
      <c r="W499" s="88"/>
      <c r="X499" s="89" t="str">
        <f aca="true">IF(W499="","",IF(OR(O499="28 - Encerrado",O499="27 - Instalação concluída"),"Concluído",TODAY()-INT(W499)))</f>
        <v/>
      </c>
      <c r="Y499" s="90" t="str">
        <f aca="false">IF(OR(O499="28 - Encerrado",O499="27 - Instalação concluída"),"OK",IF(AND(B499&lt;&gt;"",S499=""),"ATENÇÃO (Sem data de atualização)",IF(S499="","",IF(S499&gt;30,"CRÍTICO (Sem Atualização &gt;30 dias)",IF(S499&gt;15,"ATENÇÃO (Sem Atualização &gt;15 dias)",IF(X499&gt;90,"CRÍTICO (Aberto &gt;90 dias)","OK"))))))</f>
        <v/>
      </c>
      <c r="Z499" s="90" t="str">
        <f aca="false">IF(B499="","",IF(OR(O499="27 - Instalação concluída",O499="28 - Encerrado"),"OK",IF(NOT(ISNUMBER(X499)),"",IF(X499&gt;365,"MUITO ANTIGO (&gt;1 ano)",IF(X499&gt;180,"ANTIGO (&gt;6 meses)",IF(X499&gt;90,"ATENÇÃO ANTIG. (&gt;3 meses)","OK"))))))</f>
        <v/>
      </c>
      <c r="AA499" s="86"/>
      <c r="AB499" s="69" t="str">
        <f aca="false">IF(AND(B499&lt;&gt;"",OR(T499="Pendente de Vistoria",T499="Não validada")),MAX($AB$1:$AB$498)+1,"")</f>
        <v/>
      </c>
      <c r="AC499" s="69" t="str">
        <f aca="false">IF(AND(B499&lt;&gt;"",OR(ISNUMBER(SEARCH("CTIN",P499)),U499="Alta",O499="07 - Relatório recebido — unidade apta",O499="11 - Orçamentos em análise técnica",O499="22 - Instalação/substituição autorizada")),MAX($AC$1:$AC$498)+1,"")</f>
        <v/>
      </c>
      <c r="AD499" s="69" t="str">
        <f aca="false">IF(AND(B499&lt;&gt;"",OR(ISNUMBER(SEARCH("CTO",P499)),LEFT(O499,2)="22",LEFT(O499,2)="23",LEFT(O499,2)="24",LEFT(O499,2)="25",LEFT(O499,2)="26",LEFT(O499,2)="27")),MAX($AD$1:$AD$498)+1,"")</f>
        <v/>
      </c>
      <c r="AE499" s="69" t="str">
        <f aca="false">IF(AND(B499&lt;&gt;"",D499=CONSULTA_UNIDADE!$B$4),MAX($AE$1:$AE$498)+1,"")</f>
        <v/>
      </c>
      <c r="AF499" s="69" t="str">
        <f aca="false">IF(AND(B499&lt;&gt;"",O499&lt;&gt;"27 - Instalação concluída",O499&lt;&gt;"28 - Encerrado",ISNUMBER(S499)),S499*1000+(1000-ROW()),"")</f>
        <v/>
      </c>
      <c r="AG499" s="69" t="str">
        <f aca="false">IF(AF499="","",RANK(AF499,$AF$2:$AF$500))</f>
        <v/>
      </c>
    </row>
    <row r="500" customFormat="false" ht="16.5" hidden="false" customHeight="true" outlineLevel="0" collapsed="false">
      <c r="A500" s="86"/>
      <c r="B500" s="86"/>
      <c r="C500" s="87" t="str">
        <f aca="false">IF(D500="","",IFERROR(INDEX(CADASTRO_VIVO_3CRE!$B$2:$B$150,MATCH(D500,CADASTRO_VIVO_3CRE!$E$2:$E$150,0)),""))</f>
        <v/>
      </c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8"/>
      <c r="S500" s="89" t="str">
        <f aca="true">IF(R500="","",TODAY()-INT(R500))</f>
        <v/>
      </c>
      <c r="T500" s="86"/>
      <c r="U500" s="86"/>
      <c r="V500" s="86"/>
      <c r="W500" s="88"/>
      <c r="X500" s="89" t="str">
        <f aca="true">IF(W500="","",IF(OR(O500="28 - Encerrado",O500="27 - Instalação concluída"),"Concluído",TODAY()-INT(W500)))</f>
        <v/>
      </c>
      <c r="Y500" s="90" t="str">
        <f aca="false">IF(OR(O500="28 - Encerrado",O500="27 - Instalação concluída"),"OK",IF(AND(B500&lt;&gt;"",S500=""),"ATENÇÃO (Sem data de atualização)",IF(S500="","",IF(S500&gt;30,"CRÍTICO (Sem Atualização &gt;30 dias)",IF(S500&gt;15,"ATENÇÃO (Sem Atualização &gt;15 dias)",IF(X500&gt;90,"CRÍTICO (Aberto &gt;90 dias)","OK"))))))</f>
        <v/>
      </c>
      <c r="Z500" s="90" t="str">
        <f aca="false">IF(B500="","",IF(OR(O500="27 - Instalação concluída",O500="28 - Encerrado"),"OK",IF(NOT(ISNUMBER(X500)),"",IF(X500&gt;365,"MUITO ANTIGO (&gt;1 ano)",IF(X500&gt;180,"ANTIGO (&gt;6 meses)",IF(X500&gt;90,"ATENÇÃO ANTIG. (&gt;3 meses)","OK"))))))</f>
        <v/>
      </c>
      <c r="AA500" s="86"/>
      <c r="AB500" s="69" t="str">
        <f aca="false">IF(AND(B500&lt;&gt;"",OR(T500="Pendente de Vistoria",T500="Não validada")),MAX($AB$1:$AB$499)+1,"")</f>
        <v/>
      </c>
      <c r="AC500" s="69" t="str">
        <f aca="false">IF(AND(B500&lt;&gt;"",OR(ISNUMBER(SEARCH("CTIN",P500)),U500="Alta",O500="07 - Relatório recebido — unidade apta",O500="11 - Orçamentos em análise técnica",O500="22 - Instalação/substituição autorizada")),MAX($AC$1:$AC$499)+1,"")</f>
        <v/>
      </c>
      <c r="AD500" s="69" t="str">
        <f aca="false">IF(AND(B500&lt;&gt;"",OR(ISNUMBER(SEARCH("CTO",P500)),LEFT(O500,2)="22",LEFT(O500,2)="23",LEFT(O500,2)="24",LEFT(O500,2)="25",LEFT(O500,2)="26",LEFT(O500,2)="27")),MAX($AD$1:$AD$499)+1,"")</f>
        <v/>
      </c>
      <c r="AE500" s="69" t="str">
        <f aca="false">IF(AND(B500&lt;&gt;"",D500=CONSULTA_UNIDADE!$B$4),MAX($AE$1:$AE$499)+1,"")</f>
        <v/>
      </c>
      <c r="AF500" s="69" t="str">
        <f aca="false">IF(AND(B500&lt;&gt;"",O500&lt;&gt;"27 - Instalação concluída",O500&lt;&gt;"28 - Encerrado",ISNUMBER(S500)),S500*1000+(1000-ROW()),"")</f>
        <v/>
      </c>
      <c r="AG500" s="69" t="str">
        <f aca="false">IF(AF500="","",RANK(AF500,$AF$2:$AF$500))</f>
        <v/>
      </c>
    </row>
    <row r="501" customFormat="false" ht="16.5" hidden="false" customHeight="true" outlineLevel="0" collapsed="false">
      <c r="A501" s="86"/>
      <c r="B501" s="91"/>
      <c r="C501" s="91" t="str">
        <f aca="false">IF(D501="","",IFERROR(INDEX(CADASTRO_VIVO_3CRE!$B$2:$B$150,MATCH(D501,CADASTRO_VIVO_3CRE!$E$2:$E$150,0)),""))</f>
        <v/>
      </c>
      <c r="D501" s="91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8"/>
      <c r="S501" s="92" t="str">
        <f aca="true">IF(R501="","",TODAY()-INT(R501))</f>
        <v/>
      </c>
      <c r="T501" s="86"/>
      <c r="U501" s="86"/>
      <c r="V501" s="86"/>
      <c r="W501" s="88"/>
      <c r="X501" s="92" t="str">
        <f aca="true">IF(W501="","",IF(OR(O501="28 - Encerrado",O501="27 - Instalação concluída"),"Concluído",TODAY()-INT(W501)))</f>
        <v/>
      </c>
      <c r="Y501" s="91" t="str">
        <f aca="false">IF(OR(O501="28 - Encerrado",O501="27 - Instalação concluída"),"OK",IF(AND(B501&lt;&gt;"",S501=""),"ATENÇÃO (Sem data de atualização)",IF(S501="","",IF(S501&gt;30,"CRÍTICO (Sem Atualização &gt;30 dias)",IF(S501&gt;15,"ATENÇÃO (Sem Atualização &gt;15 dias)",IF(X501&gt;90,"CRÍTICO (Aberto &gt;90 dias)","OK"))))))</f>
        <v/>
      </c>
      <c r="Z501" s="90" t="str">
        <f aca="false">IF(B501="","",IF(OR(O501="27 - Instalação concluída",O501="28 - Encerrado"),"OK",IF(NOT(ISNUMBER(X501)),"",IF(X501&gt;365,"MUITO ANTIGO (&gt;1 ano)",IF(X501&gt;180,"ANTIGO (&gt;6 meses)",IF(X501&gt;90,"ATENÇÃO ANTIG. (&gt;3 meses)","OK"))))))</f>
        <v/>
      </c>
      <c r="AA501" s="91"/>
    </row>
    <row r="502" customFormat="false" ht="16.5" hidden="false" customHeight="true" outlineLevel="0" collapsed="false">
      <c r="A502" s="86"/>
      <c r="B502" s="91"/>
      <c r="C502" s="91" t="str">
        <f aca="false">IF(D502="","",IFERROR(INDEX(CADASTRO_VIVO_3CRE!$B$2:$B$150,MATCH(D502,CADASTRO_VIVO_3CRE!$E$2:$E$150,0)),""))</f>
        <v/>
      </c>
      <c r="D502" s="91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8"/>
      <c r="S502" s="92" t="str">
        <f aca="true">IF(R502="","",TODAY()-INT(R502))</f>
        <v/>
      </c>
      <c r="T502" s="86"/>
      <c r="U502" s="86"/>
      <c r="V502" s="86"/>
      <c r="W502" s="88"/>
      <c r="X502" s="92" t="str">
        <f aca="true">IF(W502="","",IF(OR(O502="28 - Encerrado",O502="27 - Instalação concluída"),"Concluído",TODAY()-INT(W502)))</f>
        <v/>
      </c>
      <c r="Y502" s="91" t="str">
        <f aca="false">IF(OR(O502="28 - Encerrado",O502="27 - Instalação concluída"),"OK",IF(AND(B502&lt;&gt;"",S502=""),"ATENÇÃO (Sem data de atualização)",IF(S502="","",IF(S502&gt;30,"CRÍTICO (Sem Atualização &gt;30 dias)",IF(S502&gt;15,"ATENÇÃO (Sem Atualização &gt;15 dias)",IF(X502&gt;90,"CRÍTICO (Aberto &gt;90 dias)","OK"))))))</f>
        <v/>
      </c>
      <c r="Z502" s="90" t="str">
        <f aca="false">IF(B502="","",IF(OR(O502="27 - Instalação concluída",O502="28 - Encerrado"),"OK",IF(NOT(ISNUMBER(X502)),"",IF(X502&gt;365,"MUITO ANTIGO (&gt;1 ano)",IF(X502&gt;180,"ANTIGO (&gt;6 meses)",IF(X502&gt;90,"ATENÇÃO ANTIG. (&gt;3 meses)","OK"))))))</f>
        <v/>
      </c>
      <c r="AA502" s="91"/>
    </row>
    <row r="503" customFormat="false" ht="16.5" hidden="false" customHeight="true" outlineLevel="0" collapsed="false">
      <c r="A503" s="86"/>
      <c r="B503" s="91"/>
      <c r="C503" s="91" t="str">
        <f aca="false">IF(D503="","",IFERROR(INDEX(CADASTRO_VIVO_3CRE!$B$2:$B$150,MATCH(D503,CADASTRO_VIVO_3CRE!$E$2:$E$150,0)),""))</f>
        <v/>
      </c>
      <c r="D503" s="91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8"/>
      <c r="S503" s="92" t="str">
        <f aca="true">IF(R503="","",TODAY()-INT(R503))</f>
        <v/>
      </c>
      <c r="T503" s="86"/>
      <c r="U503" s="86"/>
      <c r="V503" s="86"/>
      <c r="W503" s="88"/>
      <c r="X503" s="92" t="str">
        <f aca="true">IF(W503="","",IF(OR(O503="28 - Encerrado",O503="27 - Instalação concluída"),"Concluído",TODAY()-INT(W503)))</f>
        <v/>
      </c>
      <c r="Y503" s="91" t="str">
        <f aca="false">IF(OR(O503="28 - Encerrado",O503="27 - Instalação concluída"),"OK",IF(AND(B503&lt;&gt;"",S503=""),"ATENÇÃO (Sem data de atualização)",IF(S503="","",IF(S503&gt;30,"CRÍTICO (Sem Atualização &gt;30 dias)",IF(S503&gt;15,"ATENÇÃO (Sem Atualização &gt;15 dias)",IF(X503&gt;90,"CRÍTICO (Aberto &gt;90 dias)","OK"))))))</f>
        <v/>
      </c>
      <c r="Z503" s="90" t="str">
        <f aca="false">IF(B503="","",IF(OR(O503="27 - Instalação concluída",O503="28 - Encerrado"),"OK",IF(NOT(ISNUMBER(X503)),"",IF(X503&gt;365,"MUITO ANTIGO (&gt;1 ano)",IF(X503&gt;180,"ANTIGO (&gt;6 meses)",IF(X503&gt;90,"ATENÇÃO ANTIG. (&gt;3 meses)","OK"))))))</f>
        <v/>
      </c>
      <c r="AA503" s="91"/>
    </row>
    <row r="504" customFormat="false" ht="16.5" hidden="false" customHeight="true" outlineLevel="0" collapsed="false">
      <c r="A504" s="86"/>
      <c r="B504" s="91"/>
      <c r="C504" s="91" t="str">
        <f aca="false">IF(D504="","",IFERROR(INDEX(CADASTRO_VIVO_3CRE!$B$2:$B$150,MATCH(D504,CADASTRO_VIVO_3CRE!$E$2:$E$150,0)),""))</f>
        <v/>
      </c>
      <c r="D504" s="91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8"/>
      <c r="S504" s="92" t="str">
        <f aca="true">IF(R504="","",TODAY()-INT(R504))</f>
        <v/>
      </c>
      <c r="T504" s="86"/>
      <c r="U504" s="86"/>
      <c r="V504" s="86"/>
      <c r="W504" s="88"/>
      <c r="X504" s="92" t="str">
        <f aca="true">IF(W504="","",IF(OR(O504="28 - Encerrado",O504="27 - Instalação concluída"),"Concluído",TODAY()-INT(W504)))</f>
        <v/>
      </c>
      <c r="Y504" s="91" t="str">
        <f aca="false">IF(OR(O504="28 - Encerrado",O504="27 - Instalação concluída"),"OK",IF(AND(B504&lt;&gt;"",S504=""),"ATENÇÃO (Sem data de atualização)",IF(S504="","",IF(S504&gt;30,"CRÍTICO (Sem Atualização &gt;30 dias)",IF(S504&gt;15,"ATENÇÃO (Sem Atualização &gt;15 dias)",IF(X504&gt;90,"CRÍTICO (Aberto &gt;90 dias)","OK"))))))</f>
        <v/>
      </c>
      <c r="Z504" s="90" t="str">
        <f aca="false">IF(B504="","",IF(OR(O504="27 - Instalação concluída",O504="28 - Encerrado"),"OK",IF(NOT(ISNUMBER(X504)),"",IF(X504&gt;365,"MUITO ANTIGO (&gt;1 ano)",IF(X504&gt;180,"ANTIGO (&gt;6 meses)",IF(X504&gt;90,"ATENÇÃO ANTIG. (&gt;3 meses)","OK"))))))</f>
        <v/>
      </c>
      <c r="AA504" s="91"/>
    </row>
    <row r="505" customFormat="false" ht="16.5" hidden="false" customHeight="true" outlineLevel="0" collapsed="false">
      <c r="A505" s="86"/>
      <c r="B505" s="91"/>
      <c r="C505" s="91" t="str">
        <f aca="false">IF(D505="","",IFERROR(INDEX(CADASTRO_VIVO_3CRE!$B$2:$B$150,MATCH(D505,CADASTRO_VIVO_3CRE!$E$2:$E$150,0)),""))</f>
        <v/>
      </c>
      <c r="D505" s="91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8"/>
      <c r="S505" s="92" t="str">
        <f aca="true">IF(R505="","",TODAY()-INT(R505))</f>
        <v/>
      </c>
      <c r="T505" s="86"/>
      <c r="U505" s="86"/>
      <c r="V505" s="86"/>
      <c r="W505" s="88"/>
      <c r="X505" s="92" t="str">
        <f aca="true">IF(W505="","",IF(OR(O505="28 - Encerrado",O505="27 - Instalação concluída"),"Concluído",TODAY()-INT(W505)))</f>
        <v/>
      </c>
      <c r="Y505" s="91" t="str">
        <f aca="false">IF(OR(O505="28 - Encerrado",O505="27 - Instalação concluída"),"OK",IF(AND(B505&lt;&gt;"",S505=""),"ATENÇÃO (Sem data de atualização)",IF(S505="","",IF(S505&gt;30,"CRÍTICO (Sem Atualização &gt;30 dias)",IF(S505&gt;15,"ATENÇÃO (Sem Atualização &gt;15 dias)",IF(X505&gt;90,"CRÍTICO (Aberto &gt;90 dias)","OK"))))))</f>
        <v/>
      </c>
      <c r="Z505" s="90" t="str">
        <f aca="false">IF(B505="","",IF(OR(O505="27 - Instalação concluída",O505="28 - Encerrado"),"OK",IF(NOT(ISNUMBER(X505)),"",IF(X505&gt;365,"MUITO ANTIGO (&gt;1 ano)",IF(X505&gt;180,"ANTIGO (&gt;6 meses)",IF(X505&gt;90,"ATENÇÃO ANTIG. (&gt;3 meses)","OK"))))))</f>
        <v/>
      </c>
      <c r="AA505" s="91"/>
    </row>
    <row r="506" customFormat="false" ht="16.5" hidden="false" customHeight="true" outlineLevel="0" collapsed="false">
      <c r="A506" s="86"/>
      <c r="B506" s="91"/>
      <c r="C506" s="91" t="str">
        <f aca="false">IF(D506="","",IFERROR(INDEX(CADASTRO_VIVO_3CRE!$B$2:$B$150,MATCH(D506,CADASTRO_VIVO_3CRE!$E$2:$E$150,0)),""))</f>
        <v/>
      </c>
      <c r="D506" s="91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8"/>
      <c r="S506" s="92" t="str">
        <f aca="true">IF(R506="","",TODAY()-INT(R506))</f>
        <v/>
      </c>
      <c r="T506" s="86"/>
      <c r="U506" s="86"/>
      <c r="V506" s="86"/>
      <c r="W506" s="88"/>
      <c r="X506" s="92" t="str">
        <f aca="true">IF(W506="","",IF(OR(O506="28 - Encerrado",O506="27 - Instalação concluída"),"Concluído",TODAY()-INT(W506)))</f>
        <v/>
      </c>
      <c r="Y506" s="91" t="str">
        <f aca="false">IF(OR(O506="28 - Encerrado",O506="27 - Instalação concluída"),"OK",IF(AND(B506&lt;&gt;"",S506=""),"ATENÇÃO (Sem data de atualização)",IF(S506="","",IF(S506&gt;30,"CRÍTICO (Sem Atualização &gt;30 dias)",IF(S506&gt;15,"ATENÇÃO (Sem Atualização &gt;15 dias)",IF(X506&gt;90,"CRÍTICO (Aberto &gt;90 dias)","OK"))))))</f>
        <v/>
      </c>
      <c r="Z506" s="90" t="str">
        <f aca="false">IF(B506="","",IF(OR(O506="27 - Instalação concluída",O506="28 - Encerrado"),"OK",IF(NOT(ISNUMBER(X506)),"",IF(X506&gt;365,"MUITO ANTIGO (&gt;1 ano)",IF(X506&gt;180,"ANTIGO (&gt;6 meses)",IF(X506&gt;90,"ATENÇÃO ANTIG. (&gt;3 meses)","OK"))))))</f>
        <v/>
      </c>
      <c r="AA506" s="91"/>
    </row>
    <row r="507" customFormat="false" ht="16.5" hidden="false" customHeight="true" outlineLevel="0" collapsed="false">
      <c r="A507" s="86"/>
      <c r="B507" s="91"/>
      <c r="C507" s="91" t="str">
        <f aca="false">IF(D507="","",IFERROR(INDEX(CADASTRO_VIVO_3CRE!$B$2:$B$150,MATCH(D507,CADASTRO_VIVO_3CRE!$E$2:$E$150,0)),""))</f>
        <v/>
      </c>
      <c r="D507" s="91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8"/>
      <c r="S507" s="92" t="str">
        <f aca="true">IF(R507="","",TODAY()-INT(R507))</f>
        <v/>
      </c>
      <c r="T507" s="86"/>
      <c r="U507" s="86"/>
      <c r="V507" s="86"/>
      <c r="W507" s="88"/>
      <c r="X507" s="92" t="str">
        <f aca="true">IF(W507="","",IF(OR(O507="28 - Encerrado",O507="27 - Instalação concluída"),"Concluído",TODAY()-INT(W507)))</f>
        <v/>
      </c>
      <c r="Y507" s="91" t="str">
        <f aca="false">IF(OR(O507="28 - Encerrado",O507="27 - Instalação concluída"),"OK",IF(AND(B507&lt;&gt;"",S507=""),"ATENÇÃO (Sem data de atualização)",IF(S507="","",IF(S507&gt;30,"CRÍTICO (Sem Atualização &gt;30 dias)",IF(S507&gt;15,"ATENÇÃO (Sem Atualização &gt;15 dias)",IF(X507&gt;90,"CRÍTICO (Aberto &gt;90 dias)","OK"))))))</f>
        <v/>
      </c>
      <c r="Z507" s="90" t="str">
        <f aca="false">IF(B507="","",IF(OR(O507="27 - Instalação concluída",O507="28 - Encerrado"),"OK",IF(NOT(ISNUMBER(X507)),"",IF(X507&gt;365,"MUITO ANTIGO (&gt;1 ano)",IF(X507&gt;180,"ANTIGO (&gt;6 meses)",IF(X507&gt;90,"ATENÇÃO ANTIG. (&gt;3 meses)","OK"))))))</f>
        <v/>
      </c>
      <c r="AA507" s="91"/>
    </row>
    <row r="508" customFormat="false" ht="16.5" hidden="false" customHeight="true" outlineLevel="0" collapsed="false">
      <c r="A508" s="86"/>
      <c r="B508" s="91"/>
      <c r="C508" s="91" t="str">
        <f aca="false">IF(D508="","",IFERROR(INDEX(CADASTRO_VIVO_3CRE!$B$2:$B$150,MATCH(D508,CADASTRO_VIVO_3CRE!$E$2:$E$150,0)),""))</f>
        <v/>
      </c>
      <c r="D508" s="91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8"/>
      <c r="S508" s="92" t="str">
        <f aca="true">IF(R508="","",TODAY()-INT(R508))</f>
        <v/>
      </c>
      <c r="T508" s="86"/>
      <c r="U508" s="86"/>
      <c r="V508" s="86"/>
      <c r="W508" s="88"/>
      <c r="X508" s="92" t="str">
        <f aca="true">IF(W508="","",IF(OR(O508="28 - Encerrado",O508="27 - Instalação concluída"),"Concluído",TODAY()-INT(W508)))</f>
        <v/>
      </c>
      <c r="Y508" s="91" t="str">
        <f aca="false">IF(OR(O508="28 - Encerrado",O508="27 - Instalação concluída"),"OK",IF(AND(B508&lt;&gt;"",S508=""),"ATENÇÃO (Sem data de atualização)",IF(S508="","",IF(S508&gt;30,"CRÍTICO (Sem Atualização &gt;30 dias)",IF(S508&gt;15,"ATENÇÃO (Sem Atualização &gt;15 dias)",IF(X508&gt;90,"CRÍTICO (Aberto &gt;90 dias)","OK"))))))</f>
        <v/>
      </c>
      <c r="Z508" s="90" t="str">
        <f aca="false">IF(B508="","",IF(OR(O508="27 - Instalação concluída",O508="28 - Encerrado"),"OK",IF(NOT(ISNUMBER(X508)),"",IF(X508&gt;365,"MUITO ANTIGO (&gt;1 ano)",IF(X508&gt;180,"ANTIGO (&gt;6 meses)",IF(X508&gt;90,"ATENÇÃO ANTIG. (&gt;3 meses)","OK"))))))</f>
        <v/>
      </c>
      <c r="AA508" s="91"/>
    </row>
    <row r="509" customFormat="false" ht="16.5" hidden="false" customHeight="true" outlineLevel="0" collapsed="false">
      <c r="A509" s="86"/>
      <c r="B509" s="91"/>
      <c r="C509" s="91" t="str">
        <f aca="false">IF(D509="","",IFERROR(INDEX(CADASTRO_VIVO_3CRE!$B$2:$B$150,MATCH(D509,CADASTRO_VIVO_3CRE!$E$2:$E$150,0)),""))</f>
        <v/>
      </c>
      <c r="D509" s="91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8"/>
      <c r="S509" s="92" t="str">
        <f aca="true">IF(R509="","",TODAY()-INT(R509))</f>
        <v/>
      </c>
      <c r="T509" s="86"/>
      <c r="U509" s="86"/>
      <c r="V509" s="86"/>
      <c r="W509" s="88"/>
      <c r="X509" s="92" t="str">
        <f aca="true">IF(W509="","",IF(OR(O509="28 - Encerrado",O509="27 - Instalação concluída"),"Concluído",TODAY()-INT(W509)))</f>
        <v/>
      </c>
      <c r="Y509" s="91" t="str">
        <f aca="false">IF(OR(O509="28 - Encerrado",O509="27 - Instalação concluída"),"OK",IF(AND(B509&lt;&gt;"",S509=""),"ATENÇÃO (Sem data de atualização)",IF(S509="","",IF(S509&gt;30,"CRÍTICO (Sem Atualização &gt;30 dias)",IF(S509&gt;15,"ATENÇÃO (Sem Atualização &gt;15 dias)",IF(X509&gt;90,"CRÍTICO (Aberto &gt;90 dias)","OK"))))))</f>
        <v/>
      </c>
      <c r="Z509" s="90" t="str">
        <f aca="false">IF(B509="","",IF(OR(O509="27 - Instalação concluída",O509="28 - Encerrado"),"OK",IF(NOT(ISNUMBER(X509)),"",IF(X509&gt;365,"MUITO ANTIGO (&gt;1 ano)",IF(X509&gt;180,"ANTIGO (&gt;6 meses)",IF(X509&gt;90,"ATENÇÃO ANTIG. (&gt;3 meses)","OK"))))))</f>
        <v/>
      </c>
      <c r="AA509" s="91"/>
    </row>
    <row r="510" customFormat="false" ht="16.5" hidden="false" customHeight="true" outlineLevel="0" collapsed="false">
      <c r="A510" s="86"/>
      <c r="B510" s="91"/>
      <c r="C510" s="91" t="str">
        <f aca="false">IF(D510="","",IFERROR(INDEX(CADASTRO_VIVO_3CRE!$B$2:$B$150,MATCH(D510,CADASTRO_VIVO_3CRE!$E$2:$E$150,0)),""))</f>
        <v/>
      </c>
      <c r="D510" s="91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8"/>
      <c r="S510" s="92" t="str">
        <f aca="true">IF(R510="","",TODAY()-INT(R510))</f>
        <v/>
      </c>
      <c r="T510" s="86"/>
      <c r="U510" s="86"/>
      <c r="V510" s="86"/>
      <c r="W510" s="88"/>
      <c r="X510" s="92" t="str">
        <f aca="true">IF(W510="","",IF(OR(O510="28 - Encerrado",O510="27 - Instalação concluída"),"Concluído",TODAY()-INT(W510)))</f>
        <v/>
      </c>
      <c r="Y510" s="91" t="str">
        <f aca="false">IF(OR(O510="28 - Encerrado",O510="27 - Instalação concluída"),"OK",IF(AND(B510&lt;&gt;"",S510=""),"ATENÇÃO (Sem data de atualização)",IF(S510="","",IF(S510&gt;30,"CRÍTICO (Sem Atualização &gt;30 dias)",IF(S510&gt;15,"ATENÇÃO (Sem Atualização &gt;15 dias)",IF(X510&gt;90,"CRÍTICO (Aberto &gt;90 dias)","OK"))))))</f>
        <v/>
      </c>
      <c r="Z510" s="90" t="str">
        <f aca="false">IF(B510="","",IF(OR(O510="27 - Instalação concluída",O510="28 - Encerrado"),"OK",IF(NOT(ISNUMBER(X510)),"",IF(X510&gt;365,"MUITO ANTIGO (&gt;1 ano)",IF(X510&gt;180,"ANTIGO (&gt;6 meses)",IF(X510&gt;90,"ATENÇÃO ANTIG. (&gt;3 meses)","OK"))))))</f>
        <v/>
      </c>
      <c r="AA510" s="91"/>
    </row>
    <row r="511" customFormat="false" ht="16.5" hidden="false" customHeight="true" outlineLevel="0" collapsed="false">
      <c r="A511" s="86"/>
      <c r="B511" s="91"/>
      <c r="C511" s="91" t="str">
        <f aca="false">IF(D511="","",IFERROR(INDEX(CADASTRO_VIVO_3CRE!$B$2:$B$150,MATCH(D511,CADASTRO_VIVO_3CRE!$E$2:$E$150,0)),""))</f>
        <v/>
      </c>
      <c r="D511" s="91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8"/>
      <c r="S511" s="92" t="str">
        <f aca="true">IF(R511="","",TODAY()-INT(R511))</f>
        <v/>
      </c>
      <c r="T511" s="86"/>
      <c r="U511" s="86"/>
      <c r="V511" s="86"/>
      <c r="W511" s="88"/>
      <c r="X511" s="92" t="str">
        <f aca="true">IF(W511="","",IF(OR(O511="28 - Encerrado",O511="27 - Instalação concluída"),"Concluído",TODAY()-INT(W511)))</f>
        <v/>
      </c>
      <c r="Y511" s="91" t="str">
        <f aca="false">IF(OR(O511="28 - Encerrado",O511="27 - Instalação concluída"),"OK",IF(AND(B511&lt;&gt;"",S511=""),"ATENÇÃO (Sem data de atualização)",IF(S511="","",IF(S511&gt;30,"CRÍTICO (Sem Atualização &gt;30 dias)",IF(S511&gt;15,"ATENÇÃO (Sem Atualização &gt;15 dias)",IF(X511&gt;90,"CRÍTICO (Aberto &gt;90 dias)","OK"))))))</f>
        <v/>
      </c>
      <c r="Z511" s="90" t="str">
        <f aca="false">IF(B511="","",IF(OR(O511="27 - Instalação concluída",O511="28 - Encerrado"),"OK",IF(NOT(ISNUMBER(X511)),"",IF(X511&gt;365,"MUITO ANTIGO (&gt;1 ano)",IF(X511&gt;180,"ANTIGO (&gt;6 meses)",IF(X511&gt;90,"ATENÇÃO ANTIG. (&gt;3 meses)","OK"))))))</f>
        <v/>
      </c>
      <c r="AA511" s="91"/>
    </row>
    <row r="512" customFormat="false" ht="16.5" hidden="false" customHeight="true" outlineLevel="0" collapsed="false">
      <c r="A512" s="86"/>
      <c r="B512" s="91"/>
      <c r="C512" s="91" t="str">
        <f aca="false">IF(D512="","",IFERROR(INDEX(CADASTRO_VIVO_3CRE!$B$2:$B$150,MATCH(D512,CADASTRO_VIVO_3CRE!$E$2:$E$150,0)),""))</f>
        <v/>
      </c>
      <c r="D512" s="91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8"/>
      <c r="S512" s="92" t="str">
        <f aca="true">IF(R512="","",TODAY()-INT(R512))</f>
        <v/>
      </c>
      <c r="T512" s="86"/>
      <c r="U512" s="86"/>
      <c r="V512" s="86"/>
      <c r="W512" s="88"/>
      <c r="X512" s="92" t="str">
        <f aca="true">IF(W512="","",IF(OR(O512="28 - Encerrado",O512="27 - Instalação concluída"),"Concluído",TODAY()-INT(W512)))</f>
        <v/>
      </c>
      <c r="Y512" s="91" t="str">
        <f aca="false">IF(OR(O512="28 - Encerrado",O512="27 - Instalação concluída"),"OK",IF(AND(B512&lt;&gt;"",S512=""),"ATENÇÃO (Sem data de atualização)",IF(S512="","",IF(S512&gt;30,"CRÍTICO (Sem Atualização &gt;30 dias)",IF(S512&gt;15,"ATENÇÃO (Sem Atualização &gt;15 dias)",IF(X512&gt;90,"CRÍTICO (Aberto &gt;90 dias)","OK"))))))</f>
        <v/>
      </c>
      <c r="Z512" s="90" t="str">
        <f aca="false">IF(B512="","",IF(OR(O512="27 - Instalação concluída",O512="28 - Encerrado"),"OK",IF(NOT(ISNUMBER(X512)),"",IF(X512&gt;365,"MUITO ANTIGO (&gt;1 ano)",IF(X512&gt;180,"ANTIGO (&gt;6 meses)",IF(X512&gt;90,"ATENÇÃO ANTIG. (&gt;3 meses)","OK"))))))</f>
        <v/>
      </c>
      <c r="AA512" s="91"/>
    </row>
    <row r="513" customFormat="false" ht="16.5" hidden="false" customHeight="true" outlineLevel="0" collapsed="false">
      <c r="A513" s="86"/>
      <c r="B513" s="91"/>
      <c r="C513" s="91" t="str">
        <f aca="false">IF(D513="","",IFERROR(INDEX(CADASTRO_VIVO_3CRE!$B$2:$B$150,MATCH(D513,CADASTRO_VIVO_3CRE!$E$2:$E$150,0)),""))</f>
        <v/>
      </c>
      <c r="D513" s="91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8"/>
      <c r="S513" s="92" t="str">
        <f aca="true">IF(R513="","",TODAY()-INT(R513))</f>
        <v/>
      </c>
      <c r="T513" s="86"/>
      <c r="U513" s="86"/>
      <c r="V513" s="86"/>
      <c r="W513" s="88"/>
      <c r="X513" s="92" t="str">
        <f aca="true">IF(W513="","",IF(OR(O513="28 - Encerrado",O513="27 - Instalação concluída"),"Concluído",TODAY()-INT(W513)))</f>
        <v/>
      </c>
      <c r="Y513" s="91" t="str">
        <f aca="false">IF(OR(O513="28 - Encerrado",O513="27 - Instalação concluída"),"OK",IF(AND(B513&lt;&gt;"",S513=""),"ATENÇÃO (Sem data de atualização)",IF(S513="","",IF(S513&gt;30,"CRÍTICO (Sem Atualização &gt;30 dias)",IF(S513&gt;15,"ATENÇÃO (Sem Atualização &gt;15 dias)",IF(X513&gt;90,"CRÍTICO (Aberto &gt;90 dias)","OK"))))))</f>
        <v/>
      </c>
      <c r="Z513" s="90" t="str">
        <f aca="false">IF(B513="","",IF(OR(O513="27 - Instalação concluída",O513="28 - Encerrado"),"OK",IF(NOT(ISNUMBER(X513)),"",IF(X513&gt;365,"MUITO ANTIGO (&gt;1 ano)",IF(X513&gt;180,"ANTIGO (&gt;6 meses)",IF(X513&gt;90,"ATENÇÃO ANTIG. (&gt;3 meses)","OK"))))))</f>
        <v/>
      </c>
      <c r="AA513" s="91"/>
    </row>
    <row r="514" customFormat="false" ht="16.5" hidden="false" customHeight="true" outlineLevel="0" collapsed="false">
      <c r="A514" s="86"/>
      <c r="B514" s="91"/>
      <c r="C514" s="91" t="str">
        <f aca="false">IF(D514="","",IFERROR(INDEX(CADASTRO_VIVO_3CRE!$B$2:$B$150,MATCH(D514,CADASTRO_VIVO_3CRE!$E$2:$E$150,0)),""))</f>
        <v/>
      </c>
      <c r="D514" s="91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8"/>
      <c r="S514" s="92" t="str">
        <f aca="true">IF(R514="","",TODAY()-INT(R514))</f>
        <v/>
      </c>
      <c r="T514" s="86"/>
      <c r="U514" s="86"/>
      <c r="V514" s="86"/>
      <c r="W514" s="88"/>
      <c r="X514" s="92" t="str">
        <f aca="true">IF(W514="","",IF(OR(O514="28 - Encerrado",O514="27 - Instalação concluída"),"Concluído",TODAY()-INT(W514)))</f>
        <v/>
      </c>
      <c r="Y514" s="91" t="str">
        <f aca="false">IF(OR(O514="28 - Encerrado",O514="27 - Instalação concluída"),"OK",IF(AND(B514&lt;&gt;"",S514=""),"ATENÇÃO (Sem data de atualização)",IF(S514="","",IF(S514&gt;30,"CRÍTICO (Sem Atualização &gt;30 dias)",IF(S514&gt;15,"ATENÇÃO (Sem Atualização &gt;15 dias)",IF(X514&gt;90,"CRÍTICO (Aberto &gt;90 dias)","OK"))))))</f>
        <v/>
      </c>
      <c r="Z514" s="90" t="str">
        <f aca="false">IF(B514="","",IF(OR(O514="27 - Instalação concluída",O514="28 - Encerrado"),"OK",IF(NOT(ISNUMBER(X514)),"",IF(X514&gt;365,"MUITO ANTIGO (&gt;1 ano)",IF(X514&gt;180,"ANTIGO (&gt;6 meses)",IF(X514&gt;90,"ATENÇÃO ANTIG. (&gt;3 meses)","OK"))))))</f>
        <v/>
      </c>
      <c r="AA514" s="91"/>
    </row>
    <row r="515" customFormat="false" ht="16.5" hidden="false" customHeight="true" outlineLevel="0" collapsed="false">
      <c r="A515" s="86"/>
      <c r="B515" s="91"/>
      <c r="C515" s="91" t="str">
        <f aca="false">IF(D515="","",IFERROR(INDEX(CADASTRO_VIVO_3CRE!$B$2:$B$150,MATCH(D515,CADASTRO_VIVO_3CRE!$E$2:$E$150,0)),""))</f>
        <v/>
      </c>
      <c r="D515" s="91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8"/>
      <c r="S515" s="92" t="str">
        <f aca="true">IF(R515="","",TODAY()-INT(R515))</f>
        <v/>
      </c>
      <c r="T515" s="86"/>
      <c r="U515" s="86"/>
      <c r="V515" s="86"/>
      <c r="W515" s="88"/>
      <c r="X515" s="92" t="str">
        <f aca="true">IF(W515="","",IF(OR(O515="28 - Encerrado",O515="27 - Instalação concluída"),"Concluído",TODAY()-INT(W515)))</f>
        <v/>
      </c>
      <c r="Y515" s="91" t="str">
        <f aca="false">IF(OR(O515="28 - Encerrado",O515="27 - Instalação concluída"),"OK",IF(AND(B515&lt;&gt;"",S515=""),"ATENÇÃO (Sem data de atualização)",IF(S515="","",IF(S515&gt;30,"CRÍTICO (Sem Atualização &gt;30 dias)",IF(S515&gt;15,"ATENÇÃO (Sem Atualização &gt;15 dias)",IF(X515&gt;90,"CRÍTICO (Aberto &gt;90 dias)","OK"))))))</f>
        <v/>
      </c>
      <c r="Z515" s="90" t="str">
        <f aca="false">IF(B515="","",IF(OR(O515="27 - Instalação concluída",O515="28 - Encerrado"),"OK",IF(NOT(ISNUMBER(X515)),"",IF(X515&gt;365,"MUITO ANTIGO (&gt;1 ano)",IF(X515&gt;180,"ANTIGO (&gt;6 meses)",IF(X515&gt;90,"ATENÇÃO ANTIG. (&gt;3 meses)","OK"))))))</f>
        <v/>
      </c>
      <c r="AA515" s="91"/>
    </row>
    <row r="516" customFormat="false" ht="16.5" hidden="false" customHeight="true" outlineLevel="0" collapsed="false">
      <c r="A516" s="86"/>
      <c r="B516" s="91"/>
      <c r="C516" s="91" t="str">
        <f aca="false">IF(D516="","",IFERROR(INDEX(CADASTRO_VIVO_3CRE!$B$2:$B$150,MATCH(D516,CADASTRO_VIVO_3CRE!$E$2:$E$150,0)),""))</f>
        <v/>
      </c>
      <c r="D516" s="91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8"/>
      <c r="S516" s="92" t="str">
        <f aca="true">IF(R516="","",TODAY()-INT(R516))</f>
        <v/>
      </c>
      <c r="T516" s="86"/>
      <c r="U516" s="86"/>
      <c r="V516" s="86"/>
      <c r="W516" s="88"/>
      <c r="X516" s="92" t="str">
        <f aca="true">IF(W516="","",IF(OR(O516="28 - Encerrado",O516="27 - Instalação concluída"),"Concluído",TODAY()-INT(W516)))</f>
        <v/>
      </c>
      <c r="Y516" s="91" t="str">
        <f aca="false">IF(OR(O516="28 - Encerrado",O516="27 - Instalação concluída"),"OK",IF(AND(B516&lt;&gt;"",S516=""),"ATENÇÃO (Sem data de atualização)",IF(S516="","",IF(S516&gt;30,"CRÍTICO (Sem Atualização &gt;30 dias)",IF(S516&gt;15,"ATENÇÃO (Sem Atualização &gt;15 dias)",IF(X516&gt;90,"CRÍTICO (Aberto &gt;90 dias)","OK"))))))</f>
        <v/>
      </c>
      <c r="Z516" s="90" t="str">
        <f aca="false">IF(B516="","",IF(OR(O516="27 - Instalação concluída",O516="28 - Encerrado"),"OK",IF(NOT(ISNUMBER(X516)),"",IF(X516&gt;365,"MUITO ANTIGO (&gt;1 ano)",IF(X516&gt;180,"ANTIGO (&gt;6 meses)",IF(X516&gt;90,"ATENÇÃO ANTIG. (&gt;3 meses)","OK"))))))</f>
        <v/>
      </c>
      <c r="AA516" s="91"/>
    </row>
    <row r="517" customFormat="false" ht="16.5" hidden="false" customHeight="true" outlineLevel="0" collapsed="false">
      <c r="A517" s="86"/>
      <c r="B517" s="91"/>
      <c r="C517" s="91" t="str">
        <f aca="false">IF(D517="","",IFERROR(INDEX(CADASTRO_VIVO_3CRE!$B$2:$B$150,MATCH(D517,CADASTRO_VIVO_3CRE!$E$2:$E$150,0)),""))</f>
        <v/>
      </c>
      <c r="D517" s="91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8"/>
      <c r="S517" s="92" t="str">
        <f aca="true">IF(R517="","",TODAY()-INT(R517))</f>
        <v/>
      </c>
      <c r="T517" s="86"/>
      <c r="U517" s="86"/>
      <c r="V517" s="86"/>
      <c r="W517" s="88"/>
      <c r="X517" s="92" t="str">
        <f aca="true">IF(W517="","",IF(OR(O517="28 - Encerrado",O517="27 - Instalação concluída"),"Concluído",TODAY()-INT(W517)))</f>
        <v/>
      </c>
      <c r="Y517" s="91" t="str">
        <f aca="false">IF(OR(O517="28 - Encerrado",O517="27 - Instalação concluída"),"OK",IF(AND(B517&lt;&gt;"",S517=""),"ATENÇÃO (Sem data de atualização)",IF(S517="","",IF(S517&gt;30,"CRÍTICO (Sem Atualização &gt;30 dias)",IF(S517&gt;15,"ATENÇÃO (Sem Atualização &gt;15 dias)",IF(X517&gt;90,"CRÍTICO (Aberto &gt;90 dias)","OK"))))))</f>
        <v/>
      </c>
      <c r="Z517" s="90" t="str">
        <f aca="false">IF(B517="","",IF(OR(O517="27 - Instalação concluída",O517="28 - Encerrado"),"OK",IF(NOT(ISNUMBER(X517)),"",IF(X517&gt;365,"MUITO ANTIGO (&gt;1 ano)",IF(X517&gt;180,"ANTIGO (&gt;6 meses)",IF(X517&gt;90,"ATENÇÃO ANTIG. (&gt;3 meses)","OK"))))))</f>
        <v/>
      </c>
      <c r="AA517" s="91"/>
    </row>
    <row r="518" customFormat="false" ht="16.5" hidden="false" customHeight="true" outlineLevel="0" collapsed="false">
      <c r="A518" s="86"/>
      <c r="B518" s="91"/>
      <c r="C518" s="91" t="str">
        <f aca="false">IF(D518="","",IFERROR(INDEX(CADASTRO_VIVO_3CRE!$B$2:$B$150,MATCH(D518,CADASTRO_VIVO_3CRE!$E$2:$E$150,0)),""))</f>
        <v/>
      </c>
      <c r="D518" s="91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8"/>
      <c r="S518" s="92" t="str">
        <f aca="true">IF(R518="","",TODAY()-INT(R518))</f>
        <v/>
      </c>
      <c r="T518" s="86"/>
      <c r="U518" s="86"/>
      <c r="V518" s="86"/>
      <c r="W518" s="88"/>
      <c r="X518" s="92" t="str">
        <f aca="true">IF(W518="","",IF(OR(O518="28 - Encerrado",O518="27 - Instalação concluída"),"Concluído",TODAY()-INT(W518)))</f>
        <v/>
      </c>
      <c r="Y518" s="91" t="str">
        <f aca="false">IF(OR(O518="28 - Encerrado",O518="27 - Instalação concluída"),"OK",IF(AND(B518&lt;&gt;"",S518=""),"ATENÇÃO (Sem data de atualização)",IF(S518="","",IF(S518&gt;30,"CRÍTICO (Sem Atualização &gt;30 dias)",IF(S518&gt;15,"ATENÇÃO (Sem Atualização &gt;15 dias)",IF(X518&gt;90,"CRÍTICO (Aberto &gt;90 dias)","OK"))))))</f>
        <v/>
      </c>
      <c r="Z518" s="90" t="str">
        <f aca="false">IF(B518="","",IF(OR(O518="27 - Instalação concluída",O518="28 - Encerrado"),"OK",IF(NOT(ISNUMBER(X518)),"",IF(X518&gt;365,"MUITO ANTIGO (&gt;1 ano)",IF(X518&gt;180,"ANTIGO (&gt;6 meses)",IF(X518&gt;90,"ATENÇÃO ANTIG. (&gt;3 meses)","OK"))))))</f>
        <v/>
      </c>
      <c r="AA518" s="91"/>
    </row>
    <row r="519" customFormat="false" ht="16.5" hidden="false" customHeight="true" outlineLevel="0" collapsed="false">
      <c r="A519" s="86"/>
      <c r="B519" s="91"/>
      <c r="C519" s="91" t="str">
        <f aca="false">IF(D519="","",IFERROR(INDEX(CADASTRO_VIVO_3CRE!$B$2:$B$150,MATCH(D519,CADASTRO_VIVO_3CRE!$E$2:$E$150,0)),""))</f>
        <v/>
      </c>
      <c r="D519" s="91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8"/>
      <c r="S519" s="92" t="str">
        <f aca="true">IF(R519="","",TODAY()-INT(R519))</f>
        <v/>
      </c>
      <c r="T519" s="86"/>
      <c r="U519" s="86"/>
      <c r="V519" s="86"/>
      <c r="W519" s="88"/>
      <c r="X519" s="92" t="str">
        <f aca="true">IF(W519="","",IF(OR(O519="28 - Encerrado",O519="27 - Instalação concluída"),"Concluído",TODAY()-INT(W519)))</f>
        <v/>
      </c>
      <c r="Y519" s="91" t="str">
        <f aca="false">IF(OR(O519="28 - Encerrado",O519="27 - Instalação concluída"),"OK",IF(AND(B519&lt;&gt;"",S519=""),"ATENÇÃO (Sem data de atualização)",IF(S519="","",IF(S519&gt;30,"CRÍTICO (Sem Atualização &gt;30 dias)",IF(S519&gt;15,"ATENÇÃO (Sem Atualização &gt;15 dias)",IF(X519&gt;90,"CRÍTICO (Aberto &gt;90 dias)","OK"))))))</f>
        <v/>
      </c>
      <c r="Z519" s="90" t="str">
        <f aca="false">IF(B519="","",IF(OR(O519="27 - Instalação concluída",O519="28 - Encerrado"),"OK",IF(NOT(ISNUMBER(X519)),"",IF(X519&gt;365,"MUITO ANTIGO (&gt;1 ano)",IF(X519&gt;180,"ANTIGO (&gt;6 meses)",IF(X519&gt;90,"ATENÇÃO ANTIG. (&gt;3 meses)","OK"))))))</f>
        <v/>
      </c>
      <c r="AA519" s="91"/>
    </row>
    <row r="520" customFormat="false" ht="16.5" hidden="false" customHeight="true" outlineLevel="0" collapsed="false">
      <c r="A520" s="86"/>
      <c r="B520" s="91"/>
      <c r="C520" s="91" t="str">
        <f aca="false">IF(D520="","",IFERROR(INDEX(CADASTRO_VIVO_3CRE!$B$2:$B$150,MATCH(D520,CADASTRO_VIVO_3CRE!$E$2:$E$150,0)),""))</f>
        <v/>
      </c>
      <c r="D520" s="91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8"/>
      <c r="S520" s="92" t="str">
        <f aca="true">IF(R520="","",TODAY()-INT(R520))</f>
        <v/>
      </c>
      <c r="T520" s="86"/>
      <c r="U520" s="86"/>
      <c r="V520" s="86"/>
      <c r="W520" s="88"/>
      <c r="X520" s="92" t="str">
        <f aca="true">IF(W520="","",IF(OR(O520="28 - Encerrado",O520="27 - Instalação concluída"),"Concluído",TODAY()-INT(W520)))</f>
        <v/>
      </c>
      <c r="Y520" s="91" t="str">
        <f aca="false">IF(OR(O520="28 - Encerrado",O520="27 - Instalação concluída"),"OK",IF(AND(B520&lt;&gt;"",S520=""),"ATENÇÃO (Sem data de atualização)",IF(S520="","",IF(S520&gt;30,"CRÍTICO (Sem Atualização &gt;30 dias)",IF(S520&gt;15,"ATENÇÃO (Sem Atualização &gt;15 dias)",IF(X520&gt;90,"CRÍTICO (Aberto &gt;90 dias)","OK"))))))</f>
        <v/>
      </c>
      <c r="Z520" s="90" t="str">
        <f aca="false">IF(B520="","",IF(OR(O520="27 - Instalação concluída",O520="28 - Encerrado"),"OK",IF(NOT(ISNUMBER(X520)),"",IF(X520&gt;365,"MUITO ANTIGO (&gt;1 ano)",IF(X520&gt;180,"ANTIGO (&gt;6 meses)",IF(X520&gt;90,"ATENÇÃO ANTIG. (&gt;3 meses)","OK"))))))</f>
        <v/>
      </c>
      <c r="AA520" s="91"/>
    </row>
    <row r="521" customFormat="false" ht="16.5" hidden="false" customHeight="true" outlineLevel="0" collapsed="false">
      <c r="A521" s="86"/>
      <c r="B521" s="91"/>
      <c r="C521" s="91" t="str">
        <f aca="false">IF(D521="","",IFERROR(INDEX(CADASTRO_VIVO_3CRE!$B$2:$B$150,MATCH(D521,CADASTRO_VIVO_3CRE!$E$2:$E$150,0)),""))</f>
        <v/>
      </c>
      <c r="D521" s="91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8"/>
      <c r="S521" s="92" t="str">
        <f aca="true">IF(R521="","",TODAY()-INT(R521))</f>
        <v/>
      </c>
      <c r="T521" s="86"/>
      <c r="U521" s="86"/>
      <c r="V521" s="86"/>
      <c r="W521" s="88"/>
      <c r="X521" s="92" t="str">
        <f aca="true">IF(W521="","",IF(OR(O521="28 - Encerrado",O521="27 - Instalação concluída"),"Concluído",TODAY()-INT(W521)))</f>
        <v/>
      </c>
      <c r="Y521" s="91" t="str">
        <f aca="false">IF(OR(O521="28 - Encerrado",O521="27 - Instalação concluída"),"OK",IF(AND(B521&lt;&gt;"",S521=""),"ATENÇÃO (Sem data de atualização)",IF(S521="","",IF(S521&gt;30,"CRÍTICO (Sem Atualização &gt;30 dias)",IF(S521&gt;15,"ATENÇÃO (Sem Atualização &gt;15 dias)",IF(X521&gt;90,"CRÍTICO (Aberto &gt;90 dias)","OK"))))))</f>
        <v/>
      </c>
      <c r="Z521" s="90" t="str">
        <f aca="false">IF(B521="","",IF(OR(O521="27 - Instalação concluída",O521="28 - Encerrado"),"OK",IF(NOT(ISNUMBER(X521)),"",IF(X521&gt;365,"MUITO ANTIGO (&gt;1 ano)",IF(X521&gt;180,"ANTIGO (&gt;6 meses)",IF(X521&gt;90,"ATENÇÃO ANTIG. (&gt;3 meses)","OK"))))))</f>
        <v/>
      </c>
      <c r="AA521" s="91"/>
    </row>
    <row r="522" customFormat="false" ht="16.5" hidden="false" customHeight="true" outlineLevel="0" collapsed="false">
      <c r="A522" s="86"/>
      <c r="B522" s="91"/>
      <c r="C522" s="91" t="str">
        <f aca="false">IF(D522="","",IFERROR(INDEX(CADASTRO_VIVO_3CRE!$B$2:$B$150,MATCH(D522,CADASTRO_VIVO_3CRE!$E$2:$E$150,0)),""))</f>
        <v/>
      </c>
      <c r="D522" s="91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8"/>
      <c r="S522" s="92" t="str">
        <f aca="true">IF(R522="","",TODAY()-INT(R522))</f>
        <v/>
      </c>
      <c r="T522" s="86"/>
      <c r="U522" s="86"/>
      <c r="V522" s="86"/>
      <c r="W522" s="88"/>
      <c r="X522" s="92" t="str">
        <f aca="true">IF(W522="","",IF(OR(O522="28 - Encerrado",O522="27 - Instalação concluída"),"Concluído",TODAY()-INT(W522)))</f>
        <v/>
      </c>
      <c r="Y522" s="91" t="str">
        <f aca="false">IF(OR(O522="28 - Encerrado",O522="27 - Instalação concluída"),"OK",IF(AND(B522&lt;&gt;"",S522=""),"ATENÇÃO (Sem data de atualização)",IF(S522="","",IF(S522&gt;30,"CRÍTICO (Sem Atualização &gt;30 dias)",IF(S522&gt;15,"ATENÇÃO (Sem Atualização &gt;15 dias)",IF(X522&gt;90,"CRÍTICO (Aberto &gt;90 dias)","OK"))))))</f>
        <v/>
      </c>
      <c r="Z522" s="90" t="str">
        <f aca="false">IF(B522="","",IF(OR(O522="27 - Instalação concluída",O522="28 - Encerrado"),"OK",IF(NOT(ISNUMBER(X522)),"",IF(X522&gt;365,"MUITO ANTIGO (&gt;1 ano)",IF(X522&gt;180,"ANTIGO (&gt;6 meses)",IF(X522&gt;90,"ATENÇÃO ANTIG. (&gt;3 meses)","OK"))))))</f>
        <v/>
      </c>
      <c r="AA522" s="91"/>
    </row>
    <row r="523" customFormat="false" ht="16.5" hidden="false" customHeight="true" outlineLevel="0" collapsed="false">
      <c r="A523" s="86"/>
      <c r="B523" s="91"/>
      <c r="C523" s="91" t="str">
        <f aca="false">IF(D523="","",IFERROR(INDEX(CADASTRO_VIVO_3CRE!$B$2:$B$150,MATCH(D523,CADASTRO_VIVO_3CRE!$E$2:$E$150,0)),""))</f>
        <v/>
      </c>
      <c r="D523" s="91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8"/>
      <c r="S523" s="92" t="str">
        <f aca="true">IF(R523="","",TODAY()-INT(R523))</f>
        <v/>
      </c>
      <c r="T523" s="86"/>
      <c r="U523" s="86"/>
      <c r="V523" s="86"/>
      <c r="W523" s="88"/>
      <c r="X523" s="92" t="str">
        <f aca="true">IF(W523="","",IF(OR(O523="28 - Encerrado",O523="27 - Instalação concluída"),"Concluído",TODAY()-INT(W523)))</f>
        <v/>
      </c>
      <c r="Y523" s="91" t="str">
        <f aca="false">IF(OR(O523="28 - Encerrado",O523="27 - Instalação concluída"),"OK",IF(AND(B523&lt;&gt;"",S523=""),"ATENÇÃO (Sem data de atualização)",IF(S523="","",IF(S523&gt;30,"CRÍTICO (Sem Atualização &gt;30 dias)",IF(S523&gt;15,"ATENÇÃO (Sem Atualização &gt;15 dias)",IF(X523&gt;90,"CRÍTICO (Aberto &gt;90 dias)","OK"))))))</f>
        <v/>
      </c>
      <c r="Z523" s="90" t="str">
        <f aca="false">IF(B523="","",IF(OR(O523="27 - Instalação concluída",O523="28 - Encerrado"),"OK",IF(NOT(ISNUMBER(X523)),"",IF(X523&gt;365,"MUITO ANTIGO (&gt;1 ano)",IF(X523&gt;180,"ANTIGO (&gt;6 meses)",IF(X523&gt;90,"ATENÇÃO ANTIG. (&gt;3 meses)","OK"))))))</f>
        <v/>
      </c>
      <c r="AA523" s="91"/>
    </row>
    <row r="524" customFormat="false" ht="16.5" hidden="false" customHeight="true" outlineLevel="0" collapsed="false">
      <c r="A524" s="86"/>
      <c r="B524" s="91"/>
      <c r="C524" s="91" t="str">
        <f aca="false">IF(D524="","",IFERROR(INDEX(CADASTRO_VIVO_3CRE!$B$2:$B$150,MATCH(D524,CADASTRO_VIVO_3CRE!$E$2:$E$150,0)),""))</f>
        <v/>
      </c>
      <c r="D524" s="91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8"/>
      <c r="S524" s="92" t="str">
        <f aca="true">IF(R524="","",TODAY()-INT(R524))</f>
        <v/>
      </c>
      <c r="T524" s="86"/>
      <c r="U524" s="86"/>
      <c r="V524" s="86"/>
      <c r="W524" s="88"/>
      <c r="X524" s="92" t="str">
        <f aca="true">IF(W524="","",IF(OR(O524="28 - Encerrado",O524="27 - Instalação concluída"),"Concluído",TODAY()-INT(W524)))</f>
        <v/>
      </c>
      <c r="Y524" s="91" t="str">
        <f aca="false">IF(OR(O524="28 - Encerrado",O524="27 - Instalação concluída"),"OK",IF(AND(B524&lt;&gt;"",S524=""),"ATENÇÃO (Sem data de atualização)",IF(S524="","",IF(S524&gt;30,"CRÍTICO (Sem Atualização &gt;30 dias)",IF(S524&gt;15,"ATENÇÃO (Sem Atualização &gt;15 dias)",IF(X524&gt;90,"CRÍTICO (Aberto &gt;90 dias)","OK"))))))</f>
        <v/>
      </c>
      <c r="Z524" s="90" t="str">
        <f aca="false">IF(B524="","",IF(OR(O524="27 - Instalação concluída",O524="28 - Encerrado"),"OK",IF(NOT(ISNUMBER(X524)),"",IF(X524&gt;365,"MUITO ANTIGO (&gt;1 ano)",IF(X524&gt;180,"ANTIGO (&gt;6 meses)",IF(X524&gt;90,"ATENÇÃO ANTIG. (&gt;3 meses)","OK"))))))</f>
        <v/>
      </c>
      <c r="AA524" s="91"/>
    </row>
    <row r="525" customFormat="false" ht="16.5" hidden="false" customHeight="true" outlineLevel="0" collapsed="false">
      <c r="A525" s="86"/>
      <c r="B525" s="91"/>
      <c r="C525" s="91" t="str">
        <f aca="false">IF(D525="","",IFERROR(INDEX(CADASTRO_VIVO_3CRE!$B$2:$B$150,MATCH(D525,CADASTRO_VIVO_3CRE!$E$2:$E$150,0)),""))</f>
        <v/>
      </c>
      <c r="D525" s="91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8"/>
      <c r="S525" s="92" t="str">
        <f aca="true">IF(R525="","",TODAY()-INT(R525))</f>
        <v/>
      </c>
      <c r="T525" s="86"/>
      <c r="U525" s="86"/>
      <c r="V525" s="86"/>
      <c r="W525" s="88"/>
      <c r="X525" s="92" t="str">
        <f aca="true">IF(W525="","",IF(OR(O525="28 - Encerrado",O525="27 - Instalação concluída"),"Concluído",TODAY()-INT(W525)))</f>
        <v/>
      </c>
      <c r="Y525" s="91" t="str">
        <f aca="false">IF(OR(O525="28 - Encerrado",O525="27 - Instalação concluída"),"OK",IF(AND(B525&lt;&gt;"",S525=""),"ATENÇÃO (Sem data de atualização)",IF(S525="","",IF(S525&gt;30,"CRÍTICO (Sem Atualização &gt;30 dias)",IF(S525&gt;15,"ATENÇÃO (Sem Atualização &gt;15 dias)",IF(X525&gt;90,"CRÍTICO (Aberto &gt;90 dias)","OK"))))))</f>
        <v/>
      </c>
      <c r="Z525" s="90" t="str">
        <f aca="false">IF(B525="","",IF(OR(O525="27 - Instalação concluída",O525="28 - Encerrado"),"OK",IF(NOT(ISNUMBER(X525)),"",IF(X525&gt;365,"MUITO ANTIGO (&gt;1 ano)",IF(X525&gt;180,"ANTIGO (&gt;6 meses)",IF(X525&gt;90,"ATENÇÃO ANTIG. (&gt;3 meses)","OK"))))))</f>
        <v/>
      </c>
      <c r="AA525" s="91"/>
    </row>
    <row r="526" customFormat="false" ht="16.5" hidden="false" customHeight="true" outlineLevel="0" collapsed="false">
      <c r="A526" s="86"/>
      <c r="B526" s="91"/>
      <c r="C526" s="91" t="str">
        <f aca="false">IF(D526="","",IFERROR(INDEX(CADASTRO_VIVO_3CRE!$B$2:$B$150,MATCH(D526,CADASTRO_VIVO_3CRE!$E$2:$E$150,0)),""))</f>
        <v/>
      </c>
      <c r="D526" s="91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8"/>
      <c r="S526" s="92" t="str">
        <f aca="true">IF(R526="","",TODAY()-INT(R526))</f>
        <v/>
      </c>
      <c r="T526" s="86"/>
      <c r="U526" s="86"/>
      <c r="V526" s="86"/>
      <c r="W526" s="88"/>
      <c r="X526" s="92" t="str">
        <f aca="true">IF(W526="","",IF(OR(O526="28 - Encerrado",O526="27 - Instalação concluída"),"Concluído",TODAY()-INT(W526)))</f>
        <v/>
      </c>
      <c r="Y526" s="91" t="str">
        <f aca="false">IF(OR(O526="28 - Encerrado",O526="27 - Instalação concluída"),"OK",IF(AND(B526&lt;&gt;"",S526=""),"ATENÇÃO (Sem data de atualização)",IF(S526="","",IF(S526&gt;30,"CRÍTICO (Sem Atualização &gt;30 dias)",IF(S526&gt;15,"ATENÇÃO (Sem Atualização &gt;15 dias)",IF(X526&gt;90,"CRÍTICO (Aberto &gt;90 dias)","OK"))))))</f>
        <v/>
      </c>
      <c r="Z526" s="90" t="str">
        <f aca="false">IF(B526="","",IF(OR(O526="27 - Instalação concluída",O526="28 - Encerrado"),"OK",IF(NOT(ISNUMBER(X526)),"",IF(X526&gt;365,"MUITO ANTIGO (&gt;1 ano)",IF(X526&gt;180,"ANTIGO (&gt;6 meses)",IF(X526&gt;90,"ATENÇÃO ANTIG. (&gt;3 meses)","OK"))))))</f>
        <v/>
      </c>
      <c r="AA526" s="91"/>
    </row>
    <row r="527" customFormat="false" ht="16.5" hidden="false" customHeight="true" outlineLevel="0" collapsed="false">
      <c r="A527" s="86"/>
      <c r="B527" s="91"/>
      <c r="C527" s="91" t="str">
        <f aca="false">IF(D527="","",IFERROR(INDEX(CADASTRO_VIVO_3CRE!$B$2:$B$150,MATCH(D527,CADASTRO_VIVO_3CRE!$E$2:$E$150,0)),""))</f>
        <v/>
      </c>
      <c r="D527" s="91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8"/>
      <c r="S527" s="92" t="str">
        <f aca="true">IF(R527="","",TODAY()-INT(R527))</f>
        <v/>
      </c>
      <c r="T527" s="86"/>
      <c r="U527" s="86"/>
      <c r="V527" s="86"/>
      <c r="W527" s="88"/>
      <c r="X527" s="92" t="str">
        <f aca="true">IF(W527="","",IF(OR(O527="28 - Encerrado",O527="27 - Instalação concluída"),"Concluído",TODAY()-INT(W527)))</f>
        <v/>
      </c>
      <c r="Y527" s="91" t="str">
        <f aca="false">IF(OR(O527="28 - Encerrado",O527="27 - Instalação concluída"),"OK",IF(AND(B527&lt;&gt;"",S527=""),"ATENÇÃO (Sem data de atualização)",IF(S527="","",IF(S527&gt;30,"CRÍTICO (Sem Atualização &gt;30 dias)",IF(S527&gt;15,"ATENÇÃO (Sem Atualização &gt;15 dias)",IF(X527&gt;90,"CRÍTICO (Aberto &gt;90 dias)","OK"))))))</f>
        <v/>
      </c>
      <c r="Z527" s="90" t="str">
        <f aca="false">IF(B527="","",IF(OR(O527="27 - Instalação concluída",O527="28 - Encerrado"),"OK",IF(NOT(ISNUMBER(X527)),"",IF(X527&gt;365,"MUITO ANTIGO (&gt;1 ano)",IF(X527&gt;180,"ANTIGO (&gt;6 meses)",IF(X527&gt;90,"ATENÇÃO ANTIG. (&gt;3 meses)","OK"))))))</f>
        <v/>
      </c>
      <c r="AA527" s="91"/>
    </row>
    <row r="528" customFormat="false" ht="16.5" hidden="false" customHeight="true" outlineLevel="0" collapsed="false">
      <c r="A528" s="86"/>
      <c r="B528" s="91"/>
      <c r="C528" s="91" t="str">
        <f aca="false">IF(D528="","",IFERROR(INDEX(CADASTRO_VIVO_3CRE!$B$2:$B$150,MATCH(D528,CADASTRO_VIVO_3CRE!$E$2:$E$150,0)),""))</f>
        <v/>
      </c>
      <c r="D528" s="91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8"/>
      <c r="S528" s="92" t="str">
        <f aca="true">IF(R528="","",TODAY()-INT(R528))</f>
        <v/>
      </c>
      <c r="T528" s="86"/>
      <c r="U528" s="86"/>
      <c r="V528" s="86"/>
      <c r="W528" s="88"/>
      <c r="X528" s="92" t="str">
        <f aca="true">IF(W528="","",IF(OR(O528="28 - Encerrado",O528="27 - Instalação concluída"),"Concluído",TODAY()-INT(W528)))</f>
        <v/>
      </c>
      <c r="Y528" s="91" t="str">
        <f aca="false">IF(OR(O528="28 - Encerrado",O528="27 - Instalação concluída"),"OK",IF(AND(B528&lt;&gt;"",S528=""),"ATENÇÃO (Sem data de atualização)",IF(S528="","",IF(S528&gt;30,"CRÍTICO (Sem Atualização &gt;30 dias)",IF(S528&gt;15,"ATENÇÃO (Sem Atualização &gt;15 dias)",IF(X528&gt;90,"CRÍTICO (Aberto &gt;90 dias)","OK"))))))</f>
        <v/>
      </c>
      <c r="Z528" s="90" t="str">
        <f aca="false">IF(B528="","",IF(OR(O528="27 - Instalação concluída",O528="28 - Encerrado"),"OK",IF(NOT(ISNUMBER(X528)),"",IF(X528&gt;365,"MUITO ANTIGO (&gt;1 ano)",IF(X528&gt;180,"ANTIGO (&gt;6 meses)",IF(X528&gt;90,"ATENÇÃO ANTIG. (&gt;3 meses)","OK"))))))</f>
        <v/>
      </c>
      <c r="AA528" s="91"/>
    </row>
    <row r="529" customFormat="false" ht="16.5" hidden="false" customHeight="true" outlineLevel="0" collapsed="false">
      <c r="A529" s="86"/>
      <c r="B529" s="91"/>
      <c r="C529" s="91" t="str">
        <f aca="false">IF(D529="","",IFERROR(INDEX(CADASTRO_VIVO_3CRE!$B$2:$B$150,MATCH(D529,CADASTRO_VIVO_3CRE!$E$2:$E$150,0)),""))</f>
        <v/>
      </c>
      <c r="D529" s="91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8"/>
      <c r="S529" s="92" t="str">
        <f aca="true">IF(R529="","",TODAY()-INT(R529))</f>
        <v/>
      </c>
      <c r="T529" s="86"/>
      <c r="U529" s="86"/>
      <c r="V529" s="86"/>
      <c r="W529" s="88"/>
      <c r="X529" s="92" t="str">
        <f aca="true">IF(W529="","",IF(OR(O529="28 - Encerrado",O529="27 - Instalação concluída"),"Concluído",TODAY()-INT(W529)))</f>
        <v/>
      </c>
      <c r="Y529" s="91" t="str">
        <f aca="false">IF(OR(O529="28 - Encerrado",O529="27 - Instalação concluída"),"OK",IF(AND(B529&lt;&gt;"",S529=""),"ATENÇÃO (Sem data de atualização)",IF(S529="","",IF(S529&gt;30,"CRÍTICO (Sem Atualização &gt;30 dias)",IF(S529&gt;15,"ATENÇÃO (Sem Atualização &gt;15 dias)",IF(X529&gt;90,"CRÍTICO (Aberto &gt;90 dias)","OK"))))))</f>
        <v/>
      </c>
      <c r="Z529" s="90" t="str">
        <f aca="false">IF(B529="","",IF(OR(O529="27 - Instalação concluída",O529="28 - Encerrado"),"OK",IF(NOT(ISNUMBER(X529)),"",IF(X529&gt;365,"MUITO ANTIGO (&gt;1 ano)",IF(X529&gt;180,"ANTIGO (&gt;6 meses)",IF(X529&gt;90,"ATENÇÃO ANTIG. (&gt;3 meses)","OK"))))))</f>
        <v/>
      </c>
      <c r="AA529" s="91"/>
    </row>
    <row r="530" customFormat="false" ht="16.5" hidden="false" customHeight="true" outlineLevel="0" collapsed="false">
      <c r="A530" s="86"/>
      <c r="B530" s="91"/>
      <c r="C530" s="91" t="str">
        <f aca="false">IF(D530="","",IFERROR(INDEX(CADASTRO_VIVO_3CRE!$B$2:$B$150,MATCH(D530,CADASTRO_VIVO_3CRE!$E$2:$E$150,0)),""))</f>
        <v/>
      </c>
      <c r="D530" s="91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8"/>
      <c r="S530" s="92" t="str">
        <f aca="true">IF(R530="","",TODAY()-INT(R530))</f>
        <v/>
      </c>
      <c r="T530" s="86"/>
      <c r="U530" s="86"/>
      <c r="V530" s="86"/>
      <c r="W530" s="88"/>
      <c r="X530" s="92" t="str">
        <f aca="true">IF(W530="","",IF(OR(O530="28 - Encerrado",O530="27 - Instalação concluída"),"Concluído",TODAY()-INT(W530)))</f>
        <v/>
      </c>
      <c r="Y530" s="91" t="str">
        <f aca="false">IF(OR(O530="28 - Encerrado",O530="27 - Instalação concluída"),"OK",IF(AND(B530&lt;&gt;"",S530=""),"ATENÇÃO (Sem data de atualização)",IF(S530="","",IF(S530&gt;30,"CRÍTICO (Sem Atualização &gt;30 dias)",IF(S530&gt;15,"ATENÇÃO (Sem Atualização &gt;15 dias)",IF(X530&gt;90,"CRÍTICO (Aberto &gt;90 dias)","OK"))))))</f>
        <v/>
      </c>
      <c r="Z530" s="90" t="str">
        <f aca="false">IF(B530="","",IF(OR(O530="27 - Instalação concluída",O530="28 - Encerrado"),"OK",IF(NOT(ISNUMBER(X530)),"",IF(X530&gt;365,"MUITO ANTIGO (&gt;1 ano)",IF(X530&gt;180,"ANTIGO (&gt;6 meses)",IF(X530&gt;90,"ATENÇÃO ANTIG. (&gt;3 meses)","OK"))))))</f>
        <v/>
      </c>
      <c r="AA530" s="91"/>
    </row>
    <row r="531" customFormat="false" ht="16.5" hidden="false" customHeight="true" outlineLevel="0" collapsed="false">
      <c r="A531" s="86"/>
      <c r="B531" s="91"/>
      <c r="C531" s="91" t="str">
        <f aca="false">IF(D531="","",IFERROR(INDEX(CADASTRO_VIVO_3CRE!$B$2:$B$150,MATCH(D531,CADASTRO_VIVO_3CRE!$E$2:$E$150,0)),""))</f>
        <v/>
      </c>
      <c r="D531" s="91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8"/>
      <c r="S531" s="92" t="str">
        <f aca="true">IF(R531="","",TODAY()-INT(R531))</f>
        <v/>
      </c>
      <c r="T531" s="86"/>
      <c r="U531" s="86"/>
      <c r="V531" s="86"/>
      <c r="W531" s="88"/>
      <c r="X531" s="92" t="str">
        <f aca="true">IF(W531="","",IF(OR(O531="28 - Encerrado",O531="27 - Instalação concluída"),"Concluído",TODAY()-INT(W531)))</f>
        <v/>
      </c>
      <c r="Y531" s="91" t="str">
        <f aca="false">IF(OR(O531="28 - Encerrado",O531="27 - Instalação concluída"),"OK",IF(AND(B531&lt;&gt;"",S531=""),"ATENÇÃO (Sem data de atualização)",IF(S531="","",IF(S531&gt;30,"CRÍTICO (Sem Atualização &gt;30 dias)",IF(S531&gt;15,"ATENÇÃO (Sem Atualização &gt;15 dias)",IF(X531&gt;90,"CRÍTICO (Aberto &gt;90 dias)","OK"))))))</f>
        <v/>
      </c>
      <c r="Z531" s="90" t="str">
        <f aca="false">IF(B531="","",IF(OR(O531="27 - Instalação concluída",O531="28 - Encerrado"),"OK",IF(NOT(ISNUMBER(X531)),"",IF(X531&gt;365,"MUITO ANTIGO (&gt;1 ano)",IF(X531&gt;180,"ANTIGO (&gt;6 meses)",IF(X531&gt;90,"ATENÇÃO ANTIG. (&gt;3 meses)","OK"))))))</f>
        <v/>
      </c>
      <c r="AA531" s="91"/>
    </row>
    <row r="532" customFormat="false" ht="16.5" hidden="false" customHeight="true" outlineLevel="0" collapsed="false">
      <c r="A532" s="86"/>
      <c r="B532" s="91"/>
      <c r="C532" s="91" t="str">
        <f aca="false">IF(D532="","",IFERROR(INDEX(CADASTRO_VIVO_3CRE!$B$2:$B$150,MATCH(D532,CADASTRO_VIVO_3CRE!$E$2:$E$150,0)),""))</f>
        <v/>
      </c>
      <c r="D532" s="91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8"/>
      <c r="S532" s="92" t="str">
        <f aca="true">IF(R532="","",TODAY()-INT(R532))</f>
        <v/>
      </c>
      <c r="T532" s="86"/>
      <c r="U532" s="86"/>
      <c r="V532" s="86"/>
      <c r="W532" s="88"/>
      <c r="X532" s="92" t="str">
        <f aca="true">IF(W532="","",IF(OR(O532="28 - Encerrado",O532="27 - Instalação concluída"),"Concluído",TODAY()-INT(W532)))</f>
        <v/>
      </c>
      <c r="Y532" s="91" t="str">
        <f aca="false">IF(OR(O532="28 - Encerrado",O532="27 - Instalação concluída"),"OK",IF(AND(B532&lt;&gt;"",S532=""),"ATENÇÃO (Sem data de atualização)",IF(S532="","",IF(S532&gt;30,"CRÍTICO (Sem Atualização &gt;30 dias)",IF(S532&gt;15,"ATENÇÃO (Sem Atualização &gt;15 dias)",IF(X532&gt;90,"CRÍTICO (Aberto &gt;90 dias)","OK"))))))</f>
        <v/>
      </c>
      <c r="Z532" s="90" t="str">
        <f aca="false">IF(B532="","",IF(OR(O532="27 - Instalação concluída",O532="28 - Encerrado"),"OK",IF(NOT(ISNUMBER(X532)),"",IF(X532&gt;365,"MUITO ANTIGO (&gt;1 ano)",IF(X532&gt;180,"ANTIGO (&gt;6 meses)",IF(X532&gt;90,"ATENÇÃO ANTIG. (&gt;3 meses)","OK"))))))</f>
        <v/>
      </c>
      <c r="AA532" s="91"/>
    </row>
    <row r="533" customFormat="false" ht="16.5" hidden="false" customHeight="true" outlineLevel="0" collapsed="false">
      <c r="A533" s="86"/>
      <c r="B533" s="91"/>
      <c r="C533" s="91" t="str">
        <f aca="false">IF(D533="","",IFERROR(INDEX(CADASTRO_VIVO_3CRE!$B$2:$B$150,MATCH(D533,CADASTRO_VIVO_3CRE!$E$2:$E$150,0)),""))</f>
        <v/>
      </c>
      <c r="D533" s="91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8"/>
      <c r="S533" s="92" t="str">
        <f aca="true">IF(R533="","",TODAY()-INT(R533))</f>
        <v/>
      </c>
      <c r="T533" s="86"/>
      <c r="U533" s="86"/>
      <c r="V533" s="86"/>
      <c r="W533" s="88"/>
      <c r="X533" s="92" t="str">
        <f aca="true">IF(W533="","",IF(OR(O533="28 - Encerrado",O533="27 - Instalação concluída"),"Concluído",TODAY()-INT(W533)))</f>
        <v/>
      </c>
      <c r="Y533" s="91" t="str">
        <f aca="false">IF(OR(O533="28 - Encerrado",O533="27 - Instalação concluída"),"OK",IF(AND(B533&lt;&gt;"",S533=""),"ATENÇÃO (Sem data de atualização)",IF(S533="","",IF(S533&gt;30,"CRÍTICO (Sem Atualização &gt;30 dias)",IF(S533&gt;15,"ATENÇÃO (Sem Atualização &gt;15 dias)",IF(X533&gt;90,"CRÍTICO (Aberto &gt;90 dias)","OK"))))))</f>
        <v/>
      </c>
      <c r="Z533" s="90" t="str">
        <f aca="false">IF(B533="","",IF(OR(O533="27 - Instalação concluída",O533="28 - Encerrado"),"OK",IF(NOT(ISNUMBER(X533)),"",IF(X533&gt;365,"MUITO ANTIGO (&gt;1 ano)",IF(X533&gt;180,"ANTIGO (&gt;6 meses)",IF(X533&gt;90,"ATENÇÃO ANTIG. (&gt;3 meses)","OK"))))))</f>
        <v/>
      </c>
      <c r="AA533" s="91"/>
    </row>
    <row r="534" customFormat="false" ht="16.5" hidden="false" customHeight="true" outlineLevel="0" collapsed="false">
      <c r="A534" s="86"/>
      <c r="B534" s="91"/>
      <c r="C534" s="91" t="str">
        <f aca="false">IF(D534="","",IFERROR(INDEX(CADASTRO_VIVO_3CRE!$B$2:$B$150,MATCH(D534,CADASTRO_VIVO_3CRE!$E$2:$E$150,0)),""))</f>
        <v/>
      </c>
      <c r="D534" s="91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8"/>
      <c r="S534" s="92" t="str">
        <f aca="true">IF(R534="","",TODAY()-INT(R534))</f>
        <v/>
      </c>
      <c r="T534" s="86"/>
      <c r="U534" s="86"/>
      <c r="V534" s="86"/>
      <c r="W534" s="88"/>
      <c r="X534" s="92" t="str">
        <f aca="true">IF(W534="","",IF(OR(O534="28 - Encerrado",O534="27 - Instalação concluída"),"Concluído",TODAY()-INT(W534)))</f>
        <v/>
      </c>
      <c r="Y534" s="91" t="str">
        <f aca="false">IF(OR(O534="28 - Encerrado",O534="27 - Instalação concluída"),"OK",IF(AND(B534&lt;&gt;"",S534=""),"ATENÇÃO (Sem data de atualização)",IF(S534="","",IF(S534&gt;30,"CRÍTICO (Sem Atualização &gt;30 dias)",IF(S534&gt;15,"ATENÇÃO (Sem Atualização &gt;15 dias)",IF(X534&gt;90,"CRÍTICO (Aberto &gt;90 dias)","OK"))))))</f>
        <v/>
      </c>
      <c r="Z534" s="90" t="str">
        <f aca="false">IF(B534="","",IF(OR(O534="27 - Instalação concluída",O534="28 - Encerrado"),"OK",IF(NOT(ISNUMBER(X534)),"",IF(X534&gt;365,"MUITO ANTIGO (&gt;1 ano)",IF(X534&gt;180,"ANTIGO (&gt;6 meses)",IF(X534&gt;90,"ATENÇÃO ANTIG. (&gt;3 meses)","OK"))))))</f>
        <v/>
      </c>
      <c r="AA534" s="91"/>
    </row>
    <row r="535" customFormat="false" ht="16.5" hidden="false" customHeight="true" outlineLevel="0" collapsed="false">
      <c r="A535" s="86"/>
      <c r="B535" s="91"/>
      <c r="C535" s="91" t="str">
        <f aca="false">IF(D535="","",IFERROR(INDEX(CADASTRO_VIVO_3CRE!$B$2:$B$150,MATCH(D535,CADASTRO_VIVO_3CRE!$E$2:$E$150,0)),""))</f>
        <v/>
      </c>
      <c r="D535" s="91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8"/>
      <c r="S535" s="92" t="str">
        <f aca="true">IF(R535="","",TODAY()-INT(R535))</f>
        <v/>
      </c>
      <c r="T535" s="86"/>
      <c r="U535" s="86"/>
      <c r="V535" s="86"/>
      <c r="W535" s="88"/>
      <c r="X535" s="92" t="str">
        <f aca="true">IF(W535="","",IF(OR(O535="28 - Encerrado",O535="27 - Instalação concluída"),"Concluído",TODAY()-INT(W535)))</f>
        <v/>
      </c>
      <c r="Y535" s="91" t="str">
        <f aca="false">IF(OR(O535="28 - Encerrado",O535="27 - Instalação concluída"),"OK",IF(AND(B535&lt;&gt;"",S535=""),"ATENÇÃO (Sem data de atualização)",IF(S535="","",IF(S535&gt;30,"CRÍTICO (Sem Atualização &gt;30 dias)",IF(S535&gt;15,"ATENÇÃO (Sem Atualização &gt;15 dias)",IF(X535&gt;90,"CRÍTICO (Aberto &gt;90 dias)","OK"))))))</f>
        <v/>
      </c>
      <c r="Z535" s="90" t="str">
        <f aca="false">IF(B535="","",IF(OR(O535="27 - Instalação concluída",O535="28 - Encerrado"),"OK",IF(NOT(ISNUMBER(X535)),"",IF(X535&gt;365,"MUITO ANTIGO (&gt;1 ano)",IF(X535&gt;180,"ANTIGO (&gt;6 meses)",IF(X535&gt;90,"ATENÇÃO ANTIG. (&gt;3 meses)","OK"))))))</f>
        <v/>
      </c>
      <c r="AA535" s="91"/>
    </row>
    <row r="536" customFormat="false" ht="16.5" hidden="false" customHeight="true" outlineLevel="0" collapsed="false">
      <c r="A536" s="86"/>
      <c r="B536" s="91"/>
      <c r="C536" s="91" t="str">
        <f aca="false">IF(D536="","",IFERROR(INDEX(CADASTRO_VIVO_3CRE!$B$2:$B$150,MATCH(D536,CADASTRO_VIVO_3CRE!$E$2:$E$150,0)),""))</f>
        <v/>
      </c>
      <c r="D536" s="91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8"/>
      <c r="S536" s="92" t="str">
        <f aca="true">IF(R536="","",TODAY()-INT(R536))</f>
        <v/>
      </c>
      <c r="T536" s="86"/>
      <c r="U536" s="86"/>
      <c r="V536" s="86"/>
      <c r="W536" s="88"/>
      <c r="X536" s="92" t="str">
        <f aca="true">IF(W536="","",IF(OR(O536="28 - Encerrado",O536="27 - Instalação concluída"),"Concluído",TODAY()-INT(W536)))</f>
        <v/>
      </c>
      <c r="Y536" s="91" t="str">
        <f aca="false">IF(OR(O536="28 - Encerrado",O536="27 - Instalação concluída"),"OK",IF(AND(B536&lt;&gt;"",S536=""),"ATENÇÃO (Sem data de atualização)",IF(S536="","",IF(S536&gt;30,"CRÍTICO (Sem Atualização &gt;30 dias)",IF(S536&gt;15,"ATENÇÃO (Sem Atualização &gt;15 dias)",IF(X536&gt;90,"CRÍTICO (Aberto &gt;90 dias)","OK"))))))</f>
        <v/>
      </c>
      <c r="Z536" s="90" t="str">
        <f aca="false">IF(B536="","",IF(OR(O536="27 - Instalação concluída",O536="28 - Encerrado"),"OK",IF(NOT(ISNUMBER(X536)),"",IF(X536&gt;365,"MUITO ANTIGO (&gt;1 ano)",IF(X536&gt;180,"ANTIGO (&gt;6 meses)",IF(X536&gt;90,"ATENÇÃO ANTIG. (&gt;3 meses)","OK"))))))</f>
        <v/>
      </c>
      <c r="AA536" s="91"/>
    </row>
    <row r="537" customFormat="false" ht="16.5" hidden="false" customHeight="true" outlineLevel="0" collapsed="false">
      <c r="A537" s="86"/>
      <c r="B537" s="91"/>
      <c r="C537" s="91" t="str">
        <f aca="false">IF(D537="","",IFERROR(INDEX(CADASTRO_VIVO_3CRE!$B$2:$B$150,MATCH(D537,CADASTRO_VIVO_3CRE!$E$2:$E$150,0)),""))</f>
        <v/>
      </c>
      <c r="D537" s="91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8"/>
      <c r="S537" s="92" t="str">
        <f aca="true">IF(R537="","",TODAY()-INT(R537))</f>
        <v/>
      </c>
      <c r="T537" s="86"/>
      <c r="U537" s="86"/>
      <c r="V537" s="86"/>
      <c r="W537" s="88"/>
      <c r="X537" s="92" t="str">
        <f aca="true">IF(W537="","",IF(OR(O537="28 - Encerrado",O537="27 - Instalação concluída"),"Concluído",TODAY()-INT(W537)))</f>
        <v/>
      </c>
      <c r="Y537" s="91" t="str">
        <f aca="false">IF(OR(O537="28 - Encerrado",O537="27 - Instalação concluída"),"OK",IF(AND(B537&lt;&gt;"",S537=""),"ATENÇÃO (Sem data de atualização)",IF(S537="","",IF(S537&gt;30,"CRÍTICO (Sem Atualização &gt;30 dias)",IF(S537&gt;15,"ATENÇÃO (Sem Atualização &gt;15 dias)",IF(X537&gt;90,"CRÍTICO (Aberto &gt;90 dias)","OK"))))))</f>
        <v/>
      </c>
      <c r="Z537" s="90" t="str">
        <f aca="false">IF(B537="","",IF(OR(O537="27 - Instalação concluída",O537="28 - Encerrado"),"OK",IF(NOT(ISNUMBER(X537)),"",IF(X537&gt;365,"MUITO ANTIGO (&gt;1 ano)",IF(X537&gt;180,"ANTIGO (&gt;6 meses)",IF(X537&gt;90,"ATENÇÃO ANTIG. (&gt;3 meses)","OK"))))))</f>
        <v/>
      </c>
      <c r="AA537" s="91"/>
    </row>
    <row r="538" customFormat="false" ht="16.5" hidden="false" customHeight="true" outlineLevel="0" collapsed="false">
      <c r="A538" s="86"/>
      <c r="B538" s="91"/>
      <c r="C538" s="91" t="str">
        <f aca="false">IF(D538="","",IFERROR(INDEX(CADASTRO_VIVO_3CRE!$B$2:$B$150,MATCH(D538,CADASTRO_VIVO_3CRE!$E$2:$E$150,0)),""))</f>
        <v/>
      </c>
      <c r="D538" s="91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8"/>
      <c r="S538" s="92" t="str">
        <f aca="true">IF(R538="","",TODAY()-INT(R538))</f>
        <v/>
      </c>
      <c r="T538" s="86"/>
      <c r="U538" s="86"/>
      <c r="V538" s="86"/>
      <c r="W538" s="88"/>
      <c r="X538" s="92" t="str">
        <f aca="true">IF(W538="","",IF(OR(O538="28 - Encerrado",O538="27 - Instalação concluída"),"Concluído",TODAY()-INT(W538)))</f>
        <v/>
      </c>
      <c r="Y538" s="91" t="str">
        <f aca="false">IF(OR(O538="28 - Encerrado",O538="27 - Instalação concluída"),"OK",IF(AND(B538&lt;&gt;"",S538=""),"ATENÇÃO (Sem data de atualização)",IF(S538="","",IF(S538&gt;30,"CRÍTICO (Sem Atualização &gt;30 dias)",IF(S538&gt;15,"ATENÇÃO (Sem Atualização &gt;15 dias)",IF(X538&gt;90,"CRÍTICO (Aberto &gt;90 dias)","OK"))))))</f>
        <v/>
      </c>
      <c r="Z538" s="90" t="str">
        <f aca="false">IF(B538="","",IF(OR(O538="27 - Instalação concluída",O538="28 - Encerrado"),"OK",IF(NOT(ISNUMBER(X538)),"",IF(X538&gt;365,"MUITO ANTIGO (&gt;1 ano)",IF(X538&gt;180,"ANTIGO (&gt;6 meses)",IF(X538&gt;90,"ATENÇÃO ANTIG. (&gt;3 meses)","OK"))))))</f>
        <v/>
      </c>
      <c r="AA538" s="91"/>
    </row>
    <row r="539" customFormat="false" ht="16.5" hidden="false" customHeight="true" outlineLevel="0" collapsed="false">
      <c r="A539" s="86"/>
      <c r="B539" s="91"/>
      <c r="C539" s="91" t="str">
        <f aca="false">IF(D539="","",IFERROR(INDEX(CADASTRO_VIVO_3CRE!$B$2:$B$150,MATCH(D539,CADASTRO_VIVO_3CRE!$E$2:$E$150,0)),""))</f>
        <v/>
      </c>
      <c r="D539" s="91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8"/>
      <c r="S539" s="92" t="str">
        <f aca="true">IF(R539="","",TODAY()-INT(R539))</f>
        <v/>
      </c>
      <c r="T539" s="86"/>
      <c r="U539" s="86"/>
      <c r="V539" s="86"/>
      <c r="W539" s="88"/>
      <c r="X539" s="92" t="str">
        <f aca="true">IF(W539="","",IF(OR(O539="28 - Encerrado",O539="27 - Instalação concluída"),"Concluído",TODAY()-INT(W539)))</f>
        <v/>
      </c>
      <c r="Y539" s="91" t="str">
        <f aca="false">IF(OR(O539="28 - Encerrado",O539="27 - Instalação concluída"),"OK",IF(AND(B539&lt;&gt;"",S539=""),"ATENÇÃO (Sem data de atualização)",IF(S539="","",IF(S539&gt;30,"CRÍTICO (Sem Atualização &gt;30 dias)",IF(S539&gt;15,"ATENÇÃO (Sem Atualização &gt;15 dias)",IF(X539&gt;90,"CRÍTICO (Aberto &gt;90 dias)","OK"))))))</f>
        <v/>
      </c>
      <c r="Z539" s="90" t="str">
        <f aca="false">IF(B539="","",IF(OR(O539="27 - Instalação concluída",O539="28 - Encerrado"),"OK",IF(NOT(ISNUMBER(X539)),"",IF(X539&gt;365,"MUITO ANTIGO (&gt;1 ano)",IF(X539&gt;180,"ANTIGO (&gt;6 meses)",IF(X539&gt;90,"ATENÇÃO ANTIG. (&gt;3 meses)","OK"))))))</f>
        <v/>
      </c>
      <c r="AA539" s="91"/>
    </row>
    <row r="540" customFormat="false" ht="16.5" hidden="false" customHeight="true" outlineLevel="0" collapsed="false">
      <c r="A540" s="86"/>
      <c r="B540" s="91"/>
      <c r="C540" s="91" t="str">
        <f aca="false">IF(D540="","",IFERROR(INDEX(CADASTRO_VIVO_3CRE!$B$2:$B$150,MATCH(D540,CADASTRO_VIVO_3CRE!$E$2:$E$150,0)),""))</f>
        <v/>
      </c>
      <c r="D540" s="91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8"/>
      <c r="S540" s="92" t="str">
        <f aca="true">IF(R540="","",TODAY()-INT(R540))</f>
        <v/>
      </c>
      <c r="T540" s="86"/>
      <c r="U540" s="86"/>
      <c r="V540" s="86"/>
      <c r="W540" s="88"/>
      <c r="X540" s="92" t="str">
        <f aca="true">IF(W540="","",IF(OR(O540="28 - Encerrado",O540="27 - Instalação concluída"),"Concluído",TODAY()-INT(W540)))</f>
        <v/>
      </c>
      <c r="Y540" s="91" t="str">
        <f aca="false">IF(OR(O540="28 - Encerrado",O540="27 - Instalação concluída"),"OK",IF(AND(B540&lt;&gt;"",S540=""),"ATENÇÃO (Sem data de atualização)",IF(S540="","",IF(S540&gt;30,"CRÍTICO (Sem Atualização &gt;30 dias)",IF(S540&gt;15,"ATENÇÃO (Sem Atualização &gt;15 dias)",IF(X540&gt;90,"CRÍTICO (Aberto &gt;90 dias)","OK"))))))</f>
        <v/>
      </c>
      <c r="Z540" s="90" t="str">
        <f aca="false">IF(B540="","",IF(OR(O540="27 - Instalação concluída",O540="28 - Encerrado"),"OK",IF(NOT(ISNUMBER(X540)),"",IF(X540&gt;365,"MUITO ANTIGO (&gt;1 ano)",IF(X540&gt;180,"ANTIGO (&gt;6 meses)",IF(X540&gt;90,"ATENÇÃO ANTIG. (&gt;3 meses)","OK"))))))</f>
        <v/>
      </c>
      <c r="AA540" s="91"/>
    </row>
    <row r="541" customFormat="false" ht="16.5" hidden="false" customHeight="true" outlineLevel="0" collapsed="false">
      <c r="A541" s="86"/>
      <c r="B541" s="91"/>
      <c r="C541" s="91" t="str">
        <f aca="false">IF(D541="","",IFERROR(INDEX(CADASTRO_VIVO_3CRE!$B$2:$B$150,MATCH(D541,CADASTRO_VIVO_3CRE!$E$2:$E$150,0)),""))</f>
        <v/>
      </c>
      <c r="D541" s="91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8"/>
      <c r="S541" s="92" t="str">
        <f aca="true">IF(R541="","",TODAY()-INT(R541))</f>
        <v/>
      </c>
      <c r="T541" s="86"/>
      <c r="U541" s="86"/>
      <c r="V541" s="86"/>
      <c r="W541" s="88"/>
      <c r="X541" s="92" t="str">
        <f aca="true">IF(W541="","",IF(OR(O541="28 - Encerrado",O541="27 - Instalação concluída"),"Concluído",TODAY()-INT(W541)))</f>
        <v/>
      </c>
      <c r="Y541" s="91" t="str">
        <f aca="false">IF(OR(O541="28 - Encerrado",O541="27 - Instalação concluída"),"OK",IF(AND(B541&lt;&gt;"",S541=""),"ATENÇÃO (Sem data de atualização)",IF(S541="","",IF(S541&gt;30,"CRÍTICO (Sem Atualização &gt;30 dias)",IF(S541&gt;15,"ATENÇÃO (Sem Atualização &gt;15 dias)",IF(X541&gt;90,"CRÍTICO (Aberto &gt;90 dias)","OK"))))))</f>
        <v/>
      </c>
      <c r="Z541" s="90" t="str">
        <f aca="false">IF(B541="","",IF(OR(O541="27 - Instalação concluída",O541="28 - Encerrado"),"OK",IF(NOT(ISNUMBER(X541)),"",IF(X541&gt;365,"MUITO ANTIGO (&gt;1 ano)",IF(X541&gt;180,"ANTIGO (&gt;6 meses)",IF(X541&gt;90,"ATENÇÃO ANTIG. (&gt;3 meses)","OK"))))))</f>
        <v/>
      </c>
      <c r="AA541" s="91"/>
    </row>
    <row r="542" customFormat="false" ht="16.5" hidden="false" customHeight="true" outlineLevel="0" collapsed="false">
      <c r="A542" s="86"/>
      <c r="B542" s="91"/>
      <c r="C542" s="91" t="str">
        <f aca="false">IF(D542="","",IFERROR(INDEX(CADASTRO_VIVO_3CRE!$B$2:$B$150,MATCH(D542,CADASTRO_VIVO_3CRE!$E$2:$E$150,0)),""))</f>
        <v/>
      </c>
      <c r="D542" s="91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8"/>
      <c r="S542" s="92" t="str">
        <f aca="true">IF(R542="","",TODAY()-INT(R542))</f>
        <v/>
      </c>
      <c r="T542" s="86"/>
      <c r="U542" s="86"/>
      <c r="V542" s="86"/>
      <c r="W542" s="88"/>
      <c r="X542" s="92" t="str">
        <f aca="true">IF(W542="","",IF(OR(O542="28 - Encerrado",O542="27 - Instalação concluída"),"Concluído",TODAY()-INT(W542)))</f>
        <v/>
      </c>
      <c r="Y542" s="91" t="str">
        <f aca="false">IF(OR(O542="28 - Encerrado",O542="27 - Instalação concluída"),"OK",IF(AND(B542&lt;&gt;"",S542=""),"ATENÇÃO (Sem data de atualização)",IF(S542="","",IF(S542&gt;30,"CRÍTICO (Sem Atualização &gt;30 dias)",IF(S542&gt;15,"ATENÇÃO (Sem Atualização &gt;15 dias)",IF(X542&gt;90,"CRÍTICO (Aberto &gt;90 dias)","OK"))))))</f>
        <v/>
      </c>
      <c r="Z542" s="90" t="str">
        <f aca="false">IF(B542="","",IF(OR(O542="27 - Instalação concluída",O542="28 - Encerrado"),"OK",IF(NOT(ISNUMBER(X542)),"",IF(X542&gt;365,"MUITO ANTIGO (&gt;1 ano)",IF(X542&gt;180,"ANTIGO (&gt;6 meses)",IF(X542&gt;90,"ATENÇÃO ANTIG. (&gt;3 meses)","OK"))))))</f>
        <v/>
      </c>
      <c r="AA542" s="91"/>
    </row>
    <row r="543" customFormat="false" ht="16.5" hidden="false" customHeight="true" outlineLevel="0" collapsed="false">
      <c r="A543" s="86"/>
      <c r="B543" s="91"/>
      <c r="C543" s="91" t="str">
        <f aca="false">IF(D543="","",IFERROR(INDEX(CADASTRO_VIVO_3CRE!$B$2:$B$150,MATCH(D543,CADASTRO_VIVO_3CRE!$E$2:$E$150,0)),""))</f>
        <v/>
      </c>
      <c r="D543" s="91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8"/>
      <c r="S543" s="92" t="str">
        <f aca="true">IF(R543="","",TODAY()-INT(R543))</f>
        <v/>
      </c>
      <c r="T543" s="86"/>
      <c r="U543" s="86"/>
      <c r="V543" s="86"/>
      <c r="W543" s="88"/>
      <c r="X543" s="92" t="str">
        <f aca="true">IF(W543="","",IF(OR(O543="28 - Encerrado",O543="27 - Instalação concluída"),"Concluído",TODAY()-INT(W543)))</f>
        <v/>
      </c>
      <c r="Y543" s="91" t="str">
        <f aca="false">IF(OR(O543="28 - Encerrado",O543="27 - Instalação concluída"),"OK",IF(AND(B543&lt;&gt;"",S543=""),"ATENÇÃO (Sem data de atualização)",IF(S543="","",IF(S543&gt;30,"CRÍTICO (Sem Atualização &gt;30 dias)",IF(S543&gt;15,"ATENÇÃO (Sem Atualização &gt;15 dias)",IF(X543&gt;90,"CRÍTICO (Aberto &gt;90 dias)","OK"))))))</f>
        <v/>
      </c>
      <c r="Z543" s="90" t="str">
        <f aca="false">IF(B543="","",IF(OR(O543="27 - Instalação concluída",O543="28 - Encerrado"),"OK",IF(NOT(ISNUMBER(X543)),"",IF(X543&gt;365,"MUITO ANTIGO (&gt;1 ano)",IF(X543&gt;180,"ANTIGO (&gt;6 meses)",IF(X543&gt;90,"ATENÇÃO ANTIG. (&gt;3 meses)","OK"))))))</f>
        <v/>
      </c>
      <c r="AA543" s="91"/>
    </row>
    <row r="544" customFormat="false" ht="16.5" hidden="false" customHeight="true" outlineLevel="0" collapsed="false">
      <c r="A544" s="86"/>
      <c r="B544" s="91"/>
      <c r="C544" s="91" t="str">
        <f aca="false">IF(D544="","",IFERROR(INDEX(CADASTRO_VIVO_3CRE!$B$2:$B$150,MATCH(D544,CADASTRO_VIVO_3CRE!$E$2:$E$150,0)),""))</f>
        <v/>
      </c>
      <c r="D544" s="91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8"/>
      <c r="S544" s="92" t="str">
        <f aca="true">IF(R544="","",TODAY()-INT(R544))</f>
        <v/>
      </c>
      <c r="T544" s="86"/>
      <c r="U544" s="86"/>
      <c r="V544" s="86"/>
      <c r="W544" s="88"/>
      <c r="X544" s="92" t="str">
        <f aca="true">IF(W544="","",IF(OR(O544="28 - Encerrado",O544="27 - Instalação concluída"),"Concluído",TODAY()-INT(W544)))</f>
        <v/>
      </c>
      <c r="Y544" s="91" t="str">
        <f aca="false">IF(OR(O544="28 - Encerrado",O544="27 - Instalação concluída"),"OK",IF(AND(B544&lt;&gt;"",S544=""),"ATENÇÃO (Sem data de atualização)",IF(S544="","",IF(S544&gt;30,"CRÍTICO (Sem Atualização &gt;30 dias)",IF(S544&gt;15,"ATENÇÃO (Sem Atualização &gt;15 dias)",IF(X544&gt;90,"CRÍTICO (Aberto &gt;90 dias)","OK"))))))</f>
        <v/>
      </c>
      <c r="Z544" s="90" t="str">
        <f aca="false">IF(B544="","",IF(OR(O544="27 - Instalação concluída",O544="28 - Encerrado"),"OK",IF(NOT(ISNUMBER(X544)),"",IF(X544&gt;365,"MUITO ANTIGO (&gt;1 ano)",IF(X544&gt;180,"ANTIGO (&gt;6 meses)",IF(X544&gt;90,"ATENÇÃO ANTIG. (&gt;3 meses)","OK"))))))</f>
        <v/>
      </c>
      <c r="AA544" s="91"/>
    </row>
    <row r="545" customFormat="false" ht="16.5" hidden="false" customHeight="true" outlineLevel="0" collapsed="false">
      <c r="A545" s="86"/>
      <c r="B545" s="91"/>
      <c r="C545" s="91" t="str">
        <f aca="false">IF(D545="","",IFERROR(INDEX(CADASTRO_VIVO_3CRE!$B$2:$B$150,MATCH(D545,CADASTRO_VIVO_3CRE!$E$2:$E$150,0)),""))</f>
        <v/>
      </c>
      <c r="D545" s="91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8"/>
      <c r="S545" s="92" t="str">
        <f aca="true">IF(R545="","",TODAY()-INT(R545))</f>
        <v/>
      </c>
      <c r="T545" s="86"/>
      <c r="U545" s="86"/>
      <c r="V545" s="86"/>
      <c r="W545" s="88"/>
      <c r="X545" s="92" t="str">
        <f aca="true">IF(W545="","",IF(OR(O545="28 - Encerrado",O545="27 - Instalação concluída"),"Concluído",TODAY()-INT(W545)))</f>
        <v/>
      </c>
      <c r="Y545" s="91" t="str">
        <f aca="false">IF(OR(O545="28 - Encerrado",O545="27 - Instalação concluída"),"OK",IF(AND(B545&lt;&gt;"",S545=""),"ATENÇÃO (Sem data de atualização)",IF(S545="","",IF(S545&gt;30,"CRÍTICO (Sem Atualização &gt;30 dias)",IF(S545&gt;15,"ATENÇÃO (Sem Atualização &gt;15 dias)",IF(X545&gt;90,"CRÍTICO (Aberto &gt;90 dias)","OK"))))))</f>
        <v/>
      </c>
      <c r="Z545" s="90" t="str">
        <f aca="false">IF(B545="","",IF(OR(O545="27 - Instalação concluída",O545="28 - Encerrado"),"OK",IF(NOT(ISNUMBER(X545)),"",IF(X545&gt;365,"MUITO ANTIGO (&gt;1 ano)",IF(X545&gt;180,"ANTIGO (&gt;6 meses)",IF(X545&gt;90,"ATENÇÃO ANTIG. (&gt;3 meses)","OK"))))))</f>
        <v/>
      </c>
      <c r="AA545" s="91"/>
    </row>
    <row r="546" customFormat="false" ht="16.5" hidden="false" customHeight="true" outlineLevel="0" collapsed="false">
      <c r="A546" s="86"/>
      <c r="B546" s="91"/>
      <c r="C546" s="91" t="str">
        <f aca="false">IF(D546="","",IFERROR(INDEX(CADASTRO_VIVO_3CRE!$B$2:$B$150,MATCH(D546,CADASTRO_VIVO_3CRE!$E$2:$E$150,0)),""))</f>
        <v/>
      </c>
      <c r="D546" s="91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8"/>
      <c r="S546" s="92" t="str">
        <f aca="true">IF(R546="","",TODAY()-INT(R546))</f>
        <v/>
      </c>
      <c r="T546" s="86"/>
      <c r="U546" s="86"/>
      <c r="V546" s="86"/>
      <c r="W546" s="88"/>
      <c r="X546" s="92" t="str">
        <f aca="true">IF(W546="","",IF(OR(O546="28 - Encerrado",O546="27 - Instalação concluída"),"Concluído",TODAY()-INT(W546)))</f>
        <v/>
      </c>
      <c r="Y546" s="91" t="str">
        <f aca="false">IF(OR(O546="28 - Encerrado",O546="27 - Instalação concluída"),"OK",IF(AND(B546&lt;&gt;"",S546=""),"ATENÇÃO (Sem data de atualização)",IF(S546="","",IF(S546&gt;30,"CRÍTICO (Sem Atualização &gt;30 dias)",IF(S546&gt;15,"ATENÇÃO (Sem Atualização &gt;15 dias)",IF(X546&gt;90,"CRÍTICO (Aberto &gt;90 dias)","OK"))))))</f>
        <v/>
      </c>
      <c r="Z546" s="90" t="str">
        <f aca="false">IF(B546="","",IF(OR(O546="27 - Instalação concluída",O546="28 - Encerrado"),"OK",IF(NOT(ISNUMBER(X546)),"",IF(X546&gt;365,"MUITO ANTIGO (&gt;1 ano)",IF(X546&gt;180,"ANTIGO (&gt;6 meses)",IF(X546&gt;90,"ATENÇÃO ANTIG. (&gt;3 meses)","OK"))))))</f>
        <v/>
      </c>
      <c r="AA546" s="91"/>
    </row>
    <row r="547" customFormat="false" ht="16.5" hidden="false" customHeight="true" outlineLevel="0" collapsed="false">
      <c r="A547" s="86"/>
      <c r="B547" s="91"/>
      <c r="C547" s="91" t="str">
        <f aca="false">IF(D547="","",IFERROR(INDEX(CADASTRO_VIVO_3CRE!$B$2:$B$150,MATCH(D547,CADASTRO_VIVO_3CRE!$E$2:$E$150,0)),""))</f>
        <v/>
      </c>
      <c r="D547" s="91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8"/>
      <c r="S547" s="92" t="str">
        <f aca="true">IF(R547="","",TODAY()-INT(R547))</f>
        <v/>
      </c>
      <c r="T547" s="86"/>
      <c r="U547" s="86"/>
      <c r="V547" s="86"/>
      <c r="W547" s="88"/>
      <c r="X547" s="92" t="str">
        <f aca="true">IF(W547="","",IF(OR(O547="28 - Encerrado",O547="27 - Instalação concluída"),"Concluído",TODAY()-INT(W547)))</f>
        <v/>
      </c>
      <c r="Y547" s="91" t="str">
        <f aca="false">IF(OR(O547="28 - Encerrado",O547="27 - Instalação concluída"),"OK",IF(AND(B547&lt;&gt;"",S547=""),"ATENÇÃO (Sem data de atualização)",IF(S547="","",IF(S547&gt;30,"CRÍTICO (Sem Atualização &gt;30 dias)",IF(S547&gt;15,"ATENÇÃO (Sem Atualização &gt;15 dias)",IF(X547&gt;90,"CRÍTICO (Aberto &gt;90 dias)","OK"))))))</f>
        <v/>
      </c>
      <c r="Z547" s="90" t="str">
        <f aca="false">IF(B547="","",IF(OR(O547="27 - Instalação concluída",O547="28 - Encerrado"),"OK",IF(NOT(ISNUMBER(X547)),"",IF(X547&gt;365,"MUITO ANTIGO (&gt;1 ano)",IF(X547&gt;180,"ANTIGO (&gt;6 meses)",IF(X547&gt;90,"ATENÇÃO ANTIG. (&gt;3 meses)","OK"))))))</f>
        <v/>
      </c>
      <c r="AA547" s="91"/>
    </row>
    <row r="548" customFormat="false" ht="16.5" hidden="false" customHeight="true" outlineLevel="0" collapsed="false">
      <c r="A548" s="86"/>
      <c r="B548" s="91"/>
      <c r="C548" s="91" t="str">
        <f aca="false">IF(D548="","",IFERROR(INDEX(CADASTRO_VIVO_3CRE!$B$2:$B$150,MATCH(D548,CADASTRO_VIVO_3CRE!$E$2:$E$150,0)),""))</f>
        <v/>
      </c>
      <c r="D548" s="91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8"/>
      <c r="S548" s="92" t="str">
        <f aca="true">IF(R548="","",TODAY()-INT(R548))</f>
        <v/>
      </c>
      <c r="T548" s="86"/>
      <c r="U548" s="86"/>
      <c r="V548" s="86"/>
      <c r="W548" s="88"/>
      <c r="X548" s="92" t="str">
        <f aca="true">IF(W548="","",IF(OR(O548="28 - Encerrado",O548="27 - Instalação concluída"),"Concluído",TODAY()-INT(W548)))</f>
        <v/>
      </c>
      <c r="Y548" s="91" t="str">
        <f aca="false">IF(OR(O548="28 - Encerrado",O548="27 - Instalação concluída"),"OK",IF(AND(B548&lt;&gt;"",S548=""),"ATENÇÃO (Sem data de atualização)",IF(S548="","",IF(S548&gt;30,"CRÍTICO (Sem Atualização &gt;30 dias)",IF(S548&gt;15,"ATENÇÃO (Sem Atualização &gt;15 dias)",IF(X548&gt;90,"CRÍTICO (Aberto &gt;90 dias)","OK"))))))</f>
        <v/>
      </c>
      <c r="Z548" s="90" t="str">
        <f aca="false">IF(B548="","",IF(OR(O548="27 - Instalação concluída",O548="28 - Encerrado"),"OK",IF(NOT(ISNUMBER(X548)),"",IF(X548&gt;365,"MUITO ANTIGO (&gt;1 ano)",IF(X548&gt;180,"ANTIGO (&gt;6 meses)",IF(X548&gt;90,"ATENÇÃO ANTIG. (&gt;3 meses)","OK"))))))</f>
        <v/>
      </c>
      <c r="AA548" s="91"/>
    </row>
    <row r="549" customFormat="false" ht="16.5" hidden="false" customHeight="true" outlineLevel="0" collapsed="false">
      <c r="A549" s="86"/>
      <c r="B549" s="91"/>
      <c r="C549" s="91" t="str">
        <f aca="false">IF(D549="","",IFERROR(INDEX(CADASTRO_VIVO_3CRE!$B$2:$B$150,MATCH(D549,CADASTRO_VIVO_3CRE!$E$2:$E$150,0)),""))</f>
        <v/>
      </c>
      <c r="D549" s="91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8"/>
      <c r="S549" s="92" t="str">
        <f aca="true">IF(R549="","",TODAY()-INT(R549))</f>
        <v/>
      </c>
      <c r="T549" s="86"/>
      <c r="U549" s="86"/>
      <c r="V549" s="86"/>
      <c r="W549" s="88"/>
      <c r="X549" s="92" t="str">
        <f aca="true">IF(W549="","",IF(OR(O549="28 - Encerrado",O549="27 - Instalação concluída"),"Concluído",TODAY()-INT(W549)))</f>
        <v/>
      </c>
      <c r="Y549" s="91" t="str">
        <f aca="false">IF(OR(O549="28 - Encerrado",O549="27 - Instalação concluída"),"OK",IF(AND(B549&lt;&gt;"",S549=""),"ATENÇÃO (Sem data de atualização)",IF(S549="","",IF(S549&gt;30,"CRÍTICO (Sem Atualização &gt;30 dias)",IF(S549&gt;15,"ATENÇÃO (Sem Atualização &gt;15 dias)",IF(X549&gt;90,"CRÍTICO (Aberto &gt;90 dias)","OK"))))))</f>
        <v/>
      </c>
      <c r="Z549" s="90" t="str">
        <f aca="false">IF(B549="","",IF(OR(O549="27 - Instalação concluída",O549="28 - Encerrado"),"OK",IF(NOT(ISNUMBER(X549)),"",IF(X549&gt;365,"MUITO ANTIGO (&gt;1 ano)",IF(X549&gt;180,"ANTIGO (&gt;6 meses)",IF(X549&gt;90,"ATENÇÃO ANTIG. (&gt;3 meses)","OK"))))))</f>
        <v/>
      </c>
      <c r="AA549" s="91"/>
    </row>
    <row r="550" customFormat="false" ht="16.5" hidden="false" customHeight="true" outlineLevel="0" collapsed="false">
      <c r="A550" s="86"/>
      <c r="B550" s="91"/>
      <c r="C550" s="91" t="str">
        <f aca="false">IF(D550="","",IFERROR(INDEX(CADASTRO_VIVO_3CRE!$B$2:$B$150,MATCH(D550,CADASTRO_VIVO_3CRE!$E$2:$E$150,0)),""))</f>
        <v/>
      </c>
      <c r="D550" s="91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8"/>
      <c r="S550" s="92" t="str">
        <f aca="true">IF(R550="","",TODAY()-INT(R550))</f>
        <v/>
      </c>
      <c r="T550" s="86"/>
      <c r="U550" s="86"/>
      <c r="V550" s="86"/>
      <c r="W550" s="88"/>
      <c r="X550" s="92" t="str">
        <f aca="true">IF(W550="","",IF(OR(O550="28 - Encerrado",O550="27 - Instalação concluída"),"Concluído",TODAY()-INT(W550)))</f>
        <v/>
      </c>
      <c r="Y550" s="91" t="str">
        <f aca="false">IF(OR(O550="28 - Encerrado",O550="27 - Instalação concluída"),"OK",IF(AND(B550&lt;&gt;"",S550=""),"ATENÇÃO (Sem data de atualização)",IF(S550="","",IF(S550&gt;30,"CRÍTICO (Sem Atualização &gt;30 dias)",IF(S550&gt;15,"ATENÇÃO (Sem Atualização &gt;15 dias)",IF(X550&gt;90,"CRÍTICO (Aberto &gt;90 dias)","OK"))))))</f>
        <v/>
      </c>
      <c r="Z550" s="90" t="str">
        <f aca="false">IF(B550="","",IF(OR(O550="27 - Instalação concluída",O550="28 - Encerrado"),"OK",IF(NOT(ISNUMBER(X550)),"",IF(X550&gt;365,"MUITO ANTIGO (&gt;1 ano)",IF(X550&gt;180,"ANTIGO (&gt;6 meses)",IF(X550&gt;90,"ATENÇÃO ANTIG. (&gt;3 meses)","OK"))))))</f>
        <v/>
      </c>
      <c r="AA550" s="91"/>
    </row>
    <row r="551" customFormat="false" ht="16.5" hidden="false" customHeight="true" outlineLevel="0" collapsed="false">
      <c r="A551" s="86"/>
      <c r="B551" s="91"/>
      <c r="C551" s="91" t="str">
        <f aca="false">IF(D551="","",IFERROR(INDEX(CADASTRO_VIVO_3CRE!$B$2:$B$150,MATCH(D551,CADASTRO_VIVO_3CRE!$E$2:$E$150,0)),""))</f>
        <v/>
      </c>
      <c r="D551" s="91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8"/>
      <c r="S551" s="92" t="str">
        <f aca="true">IF(R551="","",TODAY()-INT(R551))</f>
        <v/>
      </c>
      <c r="T551" s="86"/>
      <c r="U551" s="86"/>
      <c r="V551" s="86"/>
      <c r="W551" s="88"/>
      <c r="X551" s="92" t="str">
        <f aca="true">IF(W551="","",IF(OR(O551="28 - Encerrado",O551="27 - Instalação concluída"),"Concluído",TODAY()-INT(W551)))</f>
        <v/>
      </c>
      <c r="Y551" s="91" t="str">
        <f aca="false">IF(OR(O551="28 - Encerrado",O551="27 - Instalação concluída"),"OK",IF(AND(B551&lt;&gt;"",S551=""),"ATENÇÃO (Sem data de atualização)",IF(S551="","",IF(S551&gt;30,"CRÍTICO (Sem Atualização &gt;30 dias)",IF(S551&gt;15,"ATENÇÃO (Sem Atualização &gt;15 dias)",IF(X551&gt;90,"CRÍTICO (Aberto &gt;90 dias)","OK"))))))</f>
        <v/>
      </c>
      <c r="Z551" s="90" t="str">
        <f aca="false">IF(B551="","",IF(OR(O551="27 - Instalação concluída",O551="28 - Encerrado"),"OK",IF(NOT(ISNUMBER(X551)),"",IF(X551&gt;365,"MUITO ANTIGO (&gt;1 ano)",IF(X551&gt;180,"ANTIGO (&gt;6 meses)",IF(X551&gt;90,"ATENÇÃO ANTIG. (&gt;3 meses)","OK"))))))</f>
        <v/>
      </c>
      <c r="AA551" s="91"/>
    </row>
    <row r="552" customFormat="false" ht="16.5" hidden="false" customHeight="true" outlineLevel="0" collapsed="false">
      <c r="A552" s="86"/>
      <c r="B552" s="91"/>
      <c r="C552" s="91" t="str">
        <f aca="false">IF(D552="","",IFERROR(INDEX(CADASTRO_VIVO_3CRE!$B$2:$B$150,MATCH(D552,CADASTRO_VIVO_3CRE!$E$2:$E$150,0)),""))</f>
        <v/>
      </c>
      <c r="D552" s="91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8"/>
      <c r="S552" s="92" t="str">
        <f aca="true">IF(R552="","",TODAY()-INT(R552))</f>
        <v/>
      </c>
      <c r="T552" s="86"/>
      <c r="U552" s="86"/>
      <c r="V552" s="86"/>
      <c r="W552" s="88"/>
      <c r="X552" s="92" t="str">
        <f aca="true">IF(W552="","",IF(OR(O552="28 - Encerrado",O552="27 - Instalação concluída"),"Concluído",TODAY()-INT(W552)))</f>
        <v/>
      </c>
      <c r="Y552" s="91" t="str">
        <f aca="false">IF(OR(O552="28 - Encerrado",O552="27 - Instalação concluída"),"OK",IF(AND(B552&lt;&gt;"",S552=""),"ATENÇÃO (Sem data de atualização)",IF(S552="","",IF(S552&gt;30,"CRÍTICO (Sem Atualização &gt;30 dias)",IF(S552&gt;15,"ATENÇÃO (Sem Atualização &gt;15 dias)",IF(X552&gt;90,"CRÍTICO (Aberto &gt;90 dias)","OK"))))))</f>
        <v/>
      </c>
      <c r="Z552" s="90" t="str">
        <f aca="false">IF(B552="","",IF(OR(O552="27 - Instalação concluída",O552="28 - Encerrado"),"OK",IF(NOT(ISNUMBER(X552)),"",IF(X552&gt;365,"MUITO ANTIGO (&gt;1 ano)",IF(X552&gt;180,"ANTIGO (&gt;6 meses)",IF(X552&gt;90,"ATENÇÃO ANTIG. (&gt;3 meses)","OK"))))))</f>
        <v/>
      </c>
      <c r="AA552" s="91"/>
    </row>
    <row r="553" customFormat="false" ht="16.5" hidden="false" customHeight="true" outlineLevel="0" collapsed="false">
      <c r="A553" s="86"/>
      <c r="B553" s="91"/>
      <c r="C553" s="91" t="str">
        <f aca="false">IF(D553="","",IFERROR(INDEX(CADASTRO_VIVO_3CRE!$B$2:$B$150,MATCH(D553,CADASTRO_VIVO_3CRE!$E$2:$E$150,0)),""))</f>
        <v/>
      </c>
      <c r="D553" s="91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8"/>
      <c r="S553" s="92" t="str">
        <f aca="true">IF(R553="","",TODAY()-INT(R553))</f>
        <v/>
      </c>
      <c r="T553" s="86"/>
      <c r="U553" s="86"/>
      <c r="V553" s="86"/>
      <c r="W553" s="88"/>
      <c r="X553" s="92" t="str">
        <f aca="true">IF(W553="","",IF(OR(O553="28 - Encerrado",O553="27 - Instalação concluída"),"Concluído",TODAY()-INT(W553)))</f>
        <v/>
      </c>
      <c r="Y553" s="91" t="str">
        <f aca="false">IF(OR(O553="28 - Encerrado",O553="27 - Instalação concluída"),"OK",IF(AND(B553&lt;&gt;"",S553=""),"ATENÇÃO (Sem data de atualização)",IF(S553="","",IF(S553&gt;30,"CRÍTICO (Sem Atualização &gt;30 dias)",IF(S553&gt;15,"ATENÇÃO (Sem Atualização &gt;15 dias)",IF(X553&gt;90,"CRÍTICO (Aberto &gt;90 dias)","OK"))))))</f>
        <v/>
      </c>
      <c r="Z553" s="90" t="str">
        <f aca="false">IF(B553="","",IF(OR(O553="27 - Instalação concluída",O553="28 - Encerrado"),"OK",IF(NOT(ISNUMBER(X553)),"",IF(X553&gt;365,"MUITO ANTIGO (&gt;1 ano)",IF(X553&gt;180,"ANTIGO (&gt;6 meses)",IF(X553&gt;90,"ATENÇÃO ANTIG. (&gt;3 meses)","OK"))))))</f>
        <v/>
      </c>
      <c r="AA553" s="91"/>
    </row>
    <row r="554" customFormat="false" ht="16.5" hidden="false" customHeight="true" outlineLevel="0" collapsed="false">
      <c r="A554" s="86"/>
      <c r="B554" s="91"/>
      <c r="C554" s="91" t="str">
        <f aca="false">IF(D554="","",IFERROR(INDEX(CADASTRO_VIVO_3CRE!$B$2:$B$150,MATCH(D554,CADASTRO_VIVO_3CRE!$E$2:$E$150,0)),""))</f>
        <v/>
      </c>
      <c r="D554" s="91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8"/>
      <c r="S554" s="92" t="str">
        <f aca="true">IF(R554="","",TODAY()-INT(R554))</f>
        <v/>
      </c>
      <c r="T554" s="86"/>
      <c r="U554" s="86"/>
      <c r="V554" s="86"/>
      <c r="W554" s="88"/>
      <c r="X554" s="92" t="str">
        <f aca="true">IF(W554="","",IF(OR(O554="28 - Encerrado",O554="27 - Instalação concluída"),"Concluído",TODAY()-INT(W554)))</f>
        <v/>
      </c>
      <c r="Y554" s="91" t="str">
        <f aca="false">IF(OR(O554="28 - Encerrado",O554="27 - Instalação concluída"),"OK",IF(AND(B554&lt;&gt;"",S554=""),"ATENÇÃO (Sem data de atualização)",IF(S554="","",IF(S554&gt;30,"CRÍTICO (Sem Atualização &gt;30 dias)",IF(S554&gt;15,"ATENÇÃO (Sem Atualização &gt;15 dias)",IF(X554&gt;90,"CRÍTICO (Aberto &gt;90 dias)","OK"))))))</f>
        <v/>
      </c>
      <c r="Z554" s="90" t="str">
        <f aca="false">IF(B554="","",IF(OR(O554="27 - Instalação concluída",O554="28 - Encerrado"),"OK",IF(NOT(ISNUMBER(X554)),"",IF(X554&gt;365,"MUITO ANTIGO (&gt;1 ano)",IF(X554&gt;180,"ANTIGO (&gt;6 meses)",IF(X554&gt;90,"ATENÇÃO ANTIG. (&gt;3 meses)","OK"))))))</f>
        <v/>
      </c>
      <c r="AA554" s="91"/>
    </row>
    <row r="555" customFormat="false" ht="16.5" hidden="false" customHeight="true" outlineLevel="0" collapsed="false">
      <c r="A555" s="86"/>
      <c r="B555" s="91"/>
      <c r="C555" s="91" t="str">
        <f aca="false">IF(D555="","",IFERROR(INDEX(CADASTRO_VIVO_3CRE!$B$2:$B$150,MATCH(D555,CADASTRO_VIVO_3CRE!$E$2:$E$150,0)),""))</f>
        <v/>
      </c>
      <c r="D555" s="91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8"/>
      <c r="S555" s="92" t="str">
        <f aca="true">IF(R555="","",TODAY()-INT(R555))</f>
        <v/>
      </c>
      <c r="T555" s="86"/>
      <c r="U555" s="86"/>
      <c r="V555" s="86"/>
      <c r="W555" s="88"/>
      <c r="X555" s="92" t="str">
        <f aca="true">IF(W555="","",IF(OR(O555="28 - Encerrado",O555="27 - Instalação concluída"),"Concluído",TODAY()-INT(W555)))</f>
        <v/>
      </c>
      <c r="Y555" s="91" t="str">
        <f aca="false">IF(OR(O555="28 - Encerrado",O555="27 - Instalação concluída"),"OK",IF(AND(B555&lt;&gt;"",S555=""),"ATENÇÃO (Sem data de atualização)",IF(S555="","",IF(S555&gt;30,"CRÍTICO (Sem Atualização &gt;30 dias)",IF(S555&gt;15,"ATENÇÃO (Sem Atualização &gt;15 dias)",IF(X555&gt;90,"CRÍTICO (Aberto &gt;90 dias)","OK"))))))</f>
        <v/>
      </c>
      <c r="Z555" s="90" t="str">
        <f aca="false">IF(B555="","",IF(OR(O555="27 - Instalação concluída",O555="28 - Encerrado"),"OK",IF(NOT(ISNUMBER(X555)),"",IF(X555&gt;365,"MUITO ANTIGO (&gt;1 ano)",IF(X555&gt;180,"ANTIGO (&gt;6 meses)",IF(X555&gt;90,"ATENÇÃO ANTIG. (&gt;3 meses)","OK"))))))</f>
        <v/>
      </c>
      <c r="AA555" s="91"/>
    </row>
    <row r="556" customFormat="false" ht="16.5" hidden="false" customHeight="true" outlineLevel="0" collapsed="false">
      <c r="A556" s="86"/>
      <c r="B556" s="91"/>
      <c r="C556" s="91" t="str">
        <f aca="false">IF(D556="","",IFERROR(INDEX(CADASTRO_VIVO_3CRE!$B$2:$B$150,MATCH(D556,CADASTRO_VIVO_3CRE!$E$2:$E$150,0)),""))</f>
        <v/>
      </c>
      <c r="D556" s="91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8"/>
      <c r="S556" s="92" t="str">
        <f aca="true">IF(R556="","",TODAY()-INT(R556))</f>
        <v/>
      </c>
      <c r="T556" s="86"/>
      <c r="U556" s="86"/>
      <c r="V556" s="86"/>
      <c r="W556" s="88"/>
      <c r="X556" s="92" t="str">
        <f aca="true">IF(W556="","",IF(OR(O556="28 - Encerrado",O556="27 - Instalação concluída"),"Concluído",TODAY()-INT(W556)))</f>
        <v/>
      </c>
      <c r="Y556" s="91" t="str">
        <f aca="false">IF(OR(O556="28 - Encerrado",O556="27 - Instalação concluída"),"OK",IF(AND(B556&lt;&gt;"",S556=""),"ATENÇÃO (Sem data de atualização)",IF(S556="","",IF(S556&gt;30,"CRÍTICO (Sem Atualização &gt;30 dias)",IF(S556&gt;15,"ATENÇÃO (Sem Atualização &gt;15 dias)",IF(X556&gt;90,"CRÍTICO (Aberto &gt;90 dias)","OK"))))))</f>
        <v/>
      </c>
      <c r="Z556" s="90" t="str">
        <f aca="false">IF(B556="","",IF(OR(O556="27 - Instalação concluída",O556="28 - Encerrado"),"OK",IF(NOT(ISNUMBER(X556)),"",IF(X556&gt;365,"MUITO ANTIGO (&gt;1 ano)",IF(X556&gt;180,"ANTIGO (&gt;6 meses)",IF(X556&gt;90,"ATENÇÃO ANTIG. (&gt;3 meses)","OK"))))))</f>
        <v/>
      </c>
      <c r="AA556" s="91"/>
    </row>
    <row r="557" customFormat="false" ht="16.5" hidden="false" customHeight="true" outlineLevel="0" collapsed="false">
      <c r="A557" s="86"/>
      <c r="B557" s="91"/>
      <c r="C557" s="91" t="str">
        <f aca="false">IF(D557="","",IFERROR(INDEX(CADASTRO_VIVO_3CRE!$B$2:$B$150,MATCH(D557,CADASTRO_VIVO_3CRE!$E$2:$E$150,0)),""))</f>
        <v/>
      </c>
      <c r="D557" s="91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8"/>
      <c r="S557" s="92" t="str">
        <f aca="true">IF(R557="","",TODAY()-INT(R557))</f>
        <v/>
      </c>
      <c r="T557" s="86"/>
      <c r="U557" s="86"/>
      <c r="V557" s="86"/>
      <c r="W557" s="88"/>
      <c r="X557" s="92" t="str">
        <f aca="true">IF(W557="","",IF(OR(O557="28 - Encerrado",O557="27 - Instalação concluída"),"Concluído",TODAY()-INT(W557)))</f>
        <v/>
      </c>
      <c r="Y557" s="91" t="str">
        <f aca="false">IF(OR(O557="28 - Encerrado",O557="27 - Instalação concluída"),"OK",IF(AND(B557&lt;&gt;"",S557=""),"ATENÇÃO (Sem data de atualização)",IF(S557="","",IF(S557&gt;30,"CRÍTICO (Sem Atualização &gt;30 dias)",IF(S557&gt;15,"ATENÇÃO (Sem Atualização &gt;15 dias)",IF(X557&gt;90,"CRÍTICO (Aberto &gt;90 dias)","OK"))))))</f>
        <v/>
      </c>
      <c r="Z557" s="90" t="str">
        <f aca="false">IF(B557="","",IF(OR(O557="27 - Instalação concluída",O557="28 - Encerrado"),"OK",IF(NOT(ISNUMBER(X557)),"",IF(X557&gt;365,"MUITO ANTIGO (&gt;1 ano)",IF(X557&gt;180,"ANTIGO (&gt;6 meses)",IF(X557&gt;90,"ATENÇÃO ANTIG. (&gt;3 meses)","OK"))))))</f>
        <v/>
      </c>
      <c r="AA557" s="91"/>
    </row>
    <row r="558" customFormat="false" ht="16.5" hidden="false" customHeight="true" outlineLevel="0" collapsed="false">
      <c r="A558" s="86"/>
      <c r="B558" s="91"/>
      <c r="C558" s="91" t="str">
        <f aca="false">IF(D558="","",IFERROR(INDEX(CADASTRO_VIVO_3CRE!$B$2:$B$150,MATCH(D558,CADASTRO_VIVO_3CRE!$E$2:$E$150,0)),""))</f>
        <v/>
      </c>
      <c r="D558" s="91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8"/>
      <c r="S558" s="92" t="str">
        <f aca="true">IF(R558="","",TODAY()-INT(R558))</f>
        <v/>
      </c>
      <c r="T558" s="86"/>
      <c r="U558" s="86"/>
      <c r="V558" s="86"/>
      <c r="W558" s="88"/>
      <c r="X558" s="92" t="str">
        <f aca="true">IF(W558="","",IF(OR(O558="28 - Encerrado",O558="27 - Instalação concluída"),"Concluído",TODAY()-INT(W558)))</f>
        <v/>
      </c>
      <c r="Y558" s="91" t="str">
        <f aca="false">IF(OR(O558="28 - Encerrado",O558="27 - Instalação concluída"),"OK",IF(AND(B558&lt;&gt;"",S558=""),"ATENÇÃO (Sem data de atualização)",IF(S558="","",IF(S558&gt;30,"CRÍTICO (Sem Atualização &gt;30 dias)",IF(S558&gt;15,"ATENÇÃO (Sem Atualização &gt;15 dias)",IF(X558&gt;90,"CRÍTICO (Aberto &gt;90 dias)","OK"))))))</f>
        <v/>
      </c>
      <c r="Z558" s="90" t="str">
        <f aca="false">IF(B558="","",IF(OR(O558="27 - Instalação concluída",O558="28 - Encerrado"),"OK",IF(NOT(ISNUMBER(X558)),"",IF(X558&gt;365,"MUITO ANTIGO (&gt;1 ano)",IF(X558&gt;180,"ANTIGO (&gt;6 meses)",IF(X558&gt;90,"ATENÇÃO ANTIG. (&gt;3 meses)","OK"))))))</f>
        <v/>
      </c>
      <c r="AA558" s="91"/>
    </row>
    <row r="559" customFormat="false" ht="16.5" hidden="false" customHeight="true" outlineLevel="0" collapsed="false">
      <c r="A559" s="86"/>
      <c r="B559" s="91"/>
      <c r="C559" s="91" t="str">
        <f aca="false">IF(D559="","",IFERROR(INDEX(CADASTRO_VIVO_3CRE!$B$2:$B$150,MATCH(D559,CADASTRO_VIVO_3CRE!$E$2:$E$150,0)),""))</f>
        <v/>
      </c>
      <c r="D559" s="91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8"/>
      <c r="S559" s="92" t="str">
        <f aca="true">IF(R559="","",TODAY()-INT(R559))</f>
        <v/>
      </c>
      <c r="T559" s="86"/>
      <c r="U559" s="86"/>
      <c r="V559" s="86"/>
      <c r="W559" s="88"/>
      <c r="X559" s="92" t="str">
        <f aca="true">IF(W559="","",IF(OR(O559="28 - Encerrado",O559="27 - Instalação concluída"),"Concluído",TODAY()-INT(W559)))</f>
        <v/>
      </c>
      <c r="Y559" s="91" t="str">
        <f aca="false">IF(OR(O559="28 - Encerrado",O559="27 - Instalação concluída"),"OK",IF(AND(B559&lt;&gt;"",S559=""),"ATENÇÃO (Sem data de atualização)",IF(S559="","",IF(S559&gt;30,"CRÍTICO (Sem Atualização &gt;30 dias)",IF(S559&gt;15,"ATENÇÃO (Sem Atualização &gt;15 dias)",IF(X559&gt;90,"CRÍTICO (Aberto &gt;90 dias)","OK"))))))</f>
        <v/>
      </c>
      <c r="Z559" s="90" t="str">
        <f aca="false">IF(B559="","",IF(OR(O559="27 - Instalação concluída",O559="28 - Encerrado"),"OK",IF(NOT(ISNUMBER(X559)),"",IF(X559&gt;365,"MUITO ANTIGO (&gt;1 ano)",IF(X559&gt;180,"ANTIGO (&gt;6 meses)",IF(X559&gt;90,"ATENÇÃO ANTIG. (&gt;3 meses)","OK"))))))</f>
        <v/>
      </c>
      <c r="AA559" s="91"/>
    </row>
    <row r="560" customFormat="false" ht="16.5" hidden="false" customHeight="true" outlineLevel="0" collapsed="false">
      <c r="A560" s="86"/>
      <c r="B560" s="91"/>
      <c r="C560" s="91" t="str">
        <f aca="false">IF(D560="","",IFERROR(INDEX(CADASTRO_VIVO_3CRE!$B$2:$B$150,MATCH(D560,CADASTRO_VIVO_3CRE!$E$2:$E$150,0)),""))</f>
        <v/>
      </c>
      <c r="D560" s="91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8"/>
      <c r="S560" s="92" t="str">
        <f aca="true">IF(R560="","",TODAY()-INT(R560))</f>
        <v/>
      </c>
      <c r="T560" s="86"/>
      <c r="U560" s="86"/>
      <c r="V560" s="86"/>
      <c r="W560" s="88"/>
      <c r="X560" s="92" t="str">
        <f aca="true">IF(W560="","",IF(OR(O560="28 - Encerrado",O560="27 - Instalação concluída"),"Concluído",TODAY()-INT(W560)))</f>
        <v/>
      </c>
      <c r="Y560" s="91" t="str">
        <f aca="false">IF(OR(O560="28 - Encerrado",O560="27 - Instalação concluída"),"OK",IF(AND(B560&lt;&gt;"",S560=""),"ATENÇÃO (Sem data de atualização)",IF(S560="","",IF(S560&gt;30,"CRÍTICO (Sem Atualização &gt;30 dias)",IF(S560&gt;15,"ATENÇÃO (Sem Atualização &gt;15 dias)",IF(X560&gt;90,"CRÍTICO (Aberto &gt;90 dias)","OK"))))))</f>
        <v/>
      </c>
      <c r="Z560" s="90" t="str">
        <f aca="false">IF(B560="","",IF(OR(O560="27 - Instalação concluída",O560="28 - Encerrado"),"OK",IF(NOT(ISNUMBER(X560)),"",IF(X560&gt;365,"MUITO ANTIGO (&gt;1 ano)",IF(X560&gt;180,"ANTIGO (&gt;6 meses)",IF(X560&gt;90,"ATENÇÃO ANTIG. (&gt;3 meses)","OK"))))))</f>
        <v/>
      </c>
      <c r="AA560" s="91"/>
    </row>
    <row r="561" customFormat="false" ht="16.5" hidden="false" customHeight="true" outlineLevel="0" collapsed="false">
      <c r="A561" s="86"/>
      <c r="B561" s="91"/>
      <c r="C561" s="91" t="str">
        <f aca="false">IF(D561="","",IFERROR(INDEX(CADASTRO_VIVO_3CRE!$B$2:$B$150,MATCH(D561,CADASTRO_VIVO_3CRE!$E$2:$E$150,0)),""))</f>
        <v/>
      </c>
      <c r="D561" s="91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8"/>
      <c r="S561" s="92" t="str">
        <f aca="true">IF(R561="","",TODAY()-INT(R561))</f>
        <v/>
      </c>
      <c r="T561" s="86"/>
      <c r="U561" s="86"/>
      <c r="V561" s="86"/>
      <c r="W561" s="88"/>
      <c r="X561" s="92" t="str">
        <f aca="true">IF(W561="","",IF(OR(O561="28 - Encerrado",O561="27 - Instalação concluída"),"Concluído",TODAY()-INT(W561)))</f>
        <v/>
      </c>
      <c r="Y561" s="91" t="str">
        <f aca="false">IF(OR(O561="28 - Encerrado",O561="27 - Instalação concluída"),"OK",IF(AND(B561&lt;&gt;"",S561=""),"ATENÇÃO (Sem data de atualização)",IF(S561="","",IF(S561&gt;30,"CRÍTICO (Sem Atualização &gt;30 dias)",IF(S561&gt;15,"ATENÇÃO (Sem Atualização &gt;15 dias)",IF(X561&gt;90,"CRÍTICO (Aberto &gt;90 dias)","OK"))))))</f>
        <v/>
      </c>
      <c r="Z561" s="90" t="str">
        <f aca="false">IF(B561="","",IF(OR(O561="27 - Instalação concluída",O561="28 - Encerrado"),"OK",IF(NOT(ISNUMBER(X561)),"",IF(X561&gt;365,"MUITO ANTIGO (&gt;1 ano)",IF(X561&gt;180,"ANTIGO (&gt;6 meses)",IF(X561&gt;90,"ATENÇÃO ANTIG. (&gt;3 meses)","OK"))))))</f>
        <v/>
      </c>
      <c r="AA561" s="91"/>
    </row>
    <row r="562" customFormat="false" ht="16.5" hidden="false" customHeight="true" outlineLevel="0" collapsed="false">
      <c r="A562" s="86"/>
      <c r="B562" s="91"/>
      <c r="C562" s="91" t="str">
        <f aca="false">IF(D562="","",IFERROR(INDEX(CADASTRO_VIVO_3CRE!$B$2:$B$150,MATCH(D562,CADASTRO_VIVO_3CRE!$E$2:$E$150,0)),""))</f>
        <v/>
      </c>
      <c r="D562" s="91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8"/>
      <c r="S562" s="92" t="str">
        <f aca="true">IF(R562="","",TODAY()-INT(R562))</f>
        <v/>
      </c>
      <c r="T562" s="86"/>
      <c r="U562" s="86"/>
      <c r="V562" s="86"/>
      <c r="W562" s="88"/>
      <c r="X562" s="92" t="str">
        <f aca="true">IF(W562="","",IF(OR(O562="28 - Encerrado",O562="27 - Instalação concluída"),"Concluído",TODAY()-INT(W562)))</f>
        <v/>
      </c>
      <c r="Y562" s="91" t="str">
        <f aca="false">IF(OR(O562="28 - Encerrado",O562="27 - Instalação concluída"),"OK",IF(AND(B562&lt;&gt;"",S562=""),"ATENÇÃO (Sem data de atualização)",IF(S562="","",IF(S562&gt;30,"CRÍTICO (Sem Atualização &gt;30 dias)",IF(S562&gt;15,"ATENÇÃO (Sem Atualização &gt;15 dias)",IF(X562&gt;90,"CRÍTICO (Aberto &gt;90 dias)","OK"))))))</f>
        <v/>
      </c>
      <c r="Z562" s="90" t="str">
        <f aca="false">IF(B562="","",IF(OR(O562="27 - Instalação concluída",O562="28 - Encerrado"),"OK",IF(NOT(ISNUMBER(X562)),"",IF(X562&gt;365,"MUITO ANTIGO (&gt;1 ano)",IF(X562&gt;180,"ANTIGO (&gt;6 meses)",IF(X562&gt;90,"ATENÇÃO ANTIG. (&gt;3 meses)","OK"))))))</f>
        <v/>
      </c>
      <c r="AA562" s="91"/>
    </row>
    <row r="563" customFormat="false" ht="16.5" hidden="false" customHeight="true" outlineLevel="0" collapsed="false">
      <c r="A563" s="86"/>
      <c r="B563" s="91"/>
      <c r="C563" s="91" t="str">
        <f aca="false">IF(D563="","",IFERROR(INDEX(CADASTRO_VIVO_3CRE!$B$2:$B$150,MATCH(D563,CADASTRO_VIVO_3CRE!$E$2:$E$150,0)),""))</f>
        <v/>
      </c>
      <c r="D563" s="91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8"/>
      <c r="S563" s="92" t="str">
        <f aca="true">IF(R563="","",TODAY()-INT(R563))</f>
        <v/>
      </c>
      <c r="T563" s="86"/>
      <c r="U563" s="86"/>
      <c r="V563" s="86"/>
      <c r="W563" s="88"/>
      <c r="X563" s="92" t="str">
        <f aca="true">IF(W563="","",IF(OR(O563="28 - Encerrado",O563="27 - Instalação concluída"),"Concluído",TODAY()-INT(W563)))</f>
        <v/>
      </c>
      <c r="Y563" s="91" t="str">
        <f aca="false">IF(OR(O563="28 - Encerrado",O563="27 - Instalação concluída"),"OK",IF(AND(B563&lt;&gt;"",S563=""),"ATENÇÃO (Sem data de atualização)",IF(S563="","",IF(S563&gt;30,"CRÍTICO (Sem Atualização &gt;30 dias)",IF(S563&gt;15,"ATENÇÃO (Sem Atualização &gt;15 dias)",IF(X563&gt;90,"CRÍTICO (Aberto &gt;90 dias)","OK"))))))</f>
        <v/>
      </c>
      <c r="Z563" s="90" t="str">
        <f aca="false">IF(B563="","",IF(OR(O563="27 - Instalação concluída",O563="28 - Encerrado"),"OK",IF(NOT(ISNUMBER(X563)),"",IF(X563&gt;365,"MUITO ANTIGO (&gt;1 ano)",IF(X563&gt;180,"ANTIGO (&gt;6 meses)",IF(X563&gt;90,"ATENÇÃO ANTIG. (&gt;3 meses)","OK"))))))</f>
        <v/>
      </c>
      <c r="AA563" s="91"/>
    </row>
    <row r="564" customFormat="false" ht="16.5" hidden="false" customHeight="true" outlineLevel="0" collapsed="false">
      <c r="A564" s="86"/>
      <c r="B564" s="91"/>
      <c r="C564" s="91" t="str">
        <f aca="false">IF(D564="","",IFERROR(INDEX(CADASTRO_VIVO_3CRE!$B$2:$B$150,MATCH(D564,CADASTRO_VIVO_3CRE!$E$2:$E$150,0)),""))</f>
        <v/>
      </c>
      <c r="D564" s="91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8"/>
      <c r="S564" s="92" t="str">
        <f aca="true">IF(R564="","",TODAY()-INT(R564))</f>
        <v/>
      </c>
      <c r="T564" s="86"/>
      <c r="U564" s="86"/>
      <c r="V564" s="86"/>
      <c r="W564" s="88"/>
      <c r="X564" s="92" t="str">
        <f aca="true">IF(W564="","",IF(OR(O564="28 - Encerrado",O564="27 - Instalação concluída"),"Concluído",TODAY()-INT(W564)))</f>
        <v/>
      </c>
      <c r="Y564" s="91" t="str">
        <f aca="false">IF(OR(O564="28 - Encerrado",O564="27 - Instalação concluída"),"OK",IF(AND(B564&lt;&gt;"",S564=""),"ATENÇÃO (Sem data de atualização)",IF(S564="","",IF(S564&gt;30,"CRÍTICO (Sem Atualização &gt;30 dias)",IF(S564&gt;15,"ATENÇÃO (Sem Atualização &gt;15 dias)",IF(X564&gt;90,"CRÍTICO (Aberto &gt;90 dias)","OK"))))))</f>
        <v/>
      </c>
      <c r="Z564" s="90" t="str">
        <f aca="false">IF(B564="","",IF(OR(O564="27 - Instalação concluída",O564="28 - Encerrado"),"OK",IF(NOT(ISNUMBER(X564)),"",IF(X564&gt;365,"MUITO ANTIGO (&gt;1 ano)",IF(X564&gt;180,"ANTIGO (&gt;6 meses)",IF(X564&gt;90,"ATENÇÃO ANTIG. (&gt;3 meses)","OK"))))))</f>
        <v/>
      </c>
      <c r="AA564" s="91"/>
    </row>
    <row r="565" customFormat="false" ht="16.5" hidden="false" customHeight="true" outlineLevel="0" collapsed="false">
      <c r="A565" s="86"/>
      <c r="B565" s="91"/>
      <c r="C565" s="91" t="str">
        <f aca="false">IF(D565="","",IFERROR(INDEX(CADASTRO_VIVO_3CRE!$B$2:$B$150,MATCH(D565,CADASTRO_VIVO_3CRE!$E$2:$E$150,0)),""))</f>
        <v/>
      </c>
      <c r="D565" s="91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8"/>
      <c r="S565" s="92" t="str">
        <f aca="true">IF(R565="","",TODAY()-INT(R565))</f>
        <v/>
      </c>
      <c r="T565" s="86"/>
      <c r="U565" s="86"/>
      <c r="V565" s="86"/>
      <c r="W565" s="88"/>
      <c r="X565" s="92" t="str">
        <f aca="true">IF(W565="","",IF(OR(O565="28 - Encerrado",O565="27 - Instalação concluída"),"Concluído",TODAY()-INT(W565)))</f>
        <v/>
      </c>
      <c r="Y565" s="91" t="str">
        <f aca="false">IF(OR(O565="28 - Encerrado",O565="27 - Instalação concluída"),"OK",IF(AND(B565&lt;&gt;"",S565=""),"ATENÇÃO (Sem data de atualização)",IF(S565="","",IF(S565&gt;30,"CRÍTICO (Sem Atualização &gt;30 dias)",IF(S565&gt;15,"ATENÇÃO (Sem Atualização &gt;15 dias)",IF(X565&gt;90,"CRÍTICO (Aberto &gt;90 dias)","OK"))))))</f>
        <v/>
      </c>
      <c r="Z565" s="90" t="str">
        <f aca="false">IF(B565="","",IF(OR(O565="27 - Instalação concluída",O565="28 - Encerrado"),"OK",IF(NOT(ISNUMBER(X565)),"",IF(X565&gt;365,"MUITO ANTIGO (&gt;1 ano)",IF(X565&gt;180,"ANTIGO (&gt;6 meses)",IF(X565&gt;90,"ATENÇÃO ANTIG. (&gt;3 meses)","OK"))))))</f>
        <v/>
      </c>
      <c r="AA565" s="91"/>
    </row>
    <row r="566" customFormat="false" ht="16.5" hidden="false" customHeight="true" outlineLevel="0" collapsed="false">
      <c r="A566" s="86"/>
      <c r="B566" s="91"/>
      <c r="C566" s="91" t="str">
        <f aca="false">IF(D566="","",IFERROR(INDEX(CADASTRO_VIVO_3CRE!$B$2:$B$150,MATCH(D566,CADASTRO_VIVO_3CRE!$E$2:$E$150,0)),""))</f>
        <v/>
      </c>
      <c r="D566" s="91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8"/>
      <c r="S566" s="92" t="str">
        <f aca="true">IF(R566="","",TODAY()-INT(R566))</f>
        <v/>
      </c>
      <c r="T566" s="86"/>
      <c r="U566" s="86"/>
      <c r="V566" s="86"/>
      <c r="W566" s="88"/>
      <c r="X566" s="92" t="str">
        <f aca="true">IF(W566="","",IF(OR(O566="28 - Encerrado",O566="27 - Instalação concluída"),"Concluído",TODAY()-INT(W566)))</f>
        <v/>
      </c>
      <c r="Y566" s="91" t="str">
        <f aca="false">IF(OR(O566="28 - Encerrado",O566="27 - Instalação concluída"),"OK",IF(AND(B566&lt;&gt;"",S566=""),"ATENÇÃO (Sem data de atualização)",IF(S566="","",IF(S566&gt;30,"CRÍTICO (Sem Atualização &gt;30 dias)",IF(S566&gt;15,"ATENÇÃO (Sem Atualização &gt;15 dias)",IF(X566&gt;90,"CRÍTICO (Aberto &gt;90 dias)","OK"))))))</f>
        <v/>
      </c>
      <c r="Z566" s="90" t="str">
        <f aca="false">IF(B566="","",IF(OR(O566="27 - Instalação concluída",O566="28 - Encerrado"),"OK",IF(NOT(ISNUMBER(X566)),"",IF(X566&gt;365,"MUITO ANTIGO (&gt;1 ano)",IF(X566&gt;180,"ANTIGO (&gt;6 meses)",IF(X566&gt;90,"ATENÇÃO ANTIG. (&gt;3 meses)","OK"))))))</f>
        <v/>
      </c>
      <c r="AA566" s="91"/>
    </row>
    <row r="567" customFormat="false" ht="16.5" hidden="false" customHeight="true" outlineLevel="0" collapsed="false">
      <c r="A567" s="86"/>
      <c r="B567" s="91"/>
      <c r="C567" s="91" t="str">
        <f aca="false">IF(D567="","",IFERROR(INDEX(CADASTRO_VIVO_3CRE!$B$2:$B$150,MATCH(D567,CADASTRO_VIVO_3CRE!$E$2:$E$150,0)),""))</f>
        <v/>
      </c>
      <c r="D567" s="91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8"/>
      <c r="S567" s="92" t="str">
        <f aca="true">IF(R567="","",TODAY()-INT(R567))</f>
        <v/>
      </c>
      <c r="T567" s="86"/>
      <c r="U567" s="86"/>
      <c r="V567" s="86"/>
      <c r="W567" s="88"/>
      <c r="X567" s="92" t="str">
        <f aca="true">IF(W567="","",IF(OR(O567="28 - Encerrado",O567="27 - Instalação concluída"),"Concluído",TODAY()-INT(W567)))</f>
        <v/>
      </c>
      <c r="Y567" s="91" t="str">
        <f aca="false">IF(OR(O567="28 - Encerrado",O567="27 - Instalação concluída"),"OK",IF(AND(B567&lt;&gt;"",S567=""),"ATENÇÃO (Sem data de atualização)",IF(S567="","",IF(S567&gt;30,"CRÍTICO (Sem Atualização &gt;30 dias)",IF(S567&gt;15,"ATENÇÃO (Sem Atualização &gt;15 dias)",IF(X567&gt;90,"CRÍTICO (Aberto &gt;90 dias)","OK"))))))</f>
        <v/>
      </c>
      <c r="Z567" s="90" t="str">
        <f aca="false">IF(B567="","",IF(OR(O567="27 - Instalação concluída",O567="28 - Encerrado"),"OK",IF(NOT(ISNUMBER(X567)),"",IF(X567&gt;365,"MUITO ANTIGO (&gt;1 ano)",IF(X567&gt;180,"ANTIGO (&gt;6 meses)",IF(X567&gt;90,"ATENÇÃO ANTIG. (&gt;3 meses)","OK"))))))</f>
        <v/>
      </c>
      <c r="AA567" s="91"/>
    </row>
    <row r="568" customFormat="false" ht="16.5" hidden="false" customHeight="true" outlineLevel="0" collapsed="false">
      <c r="A568" s="86"/>
      <c r="B568" s="91"/>
      <c r="C568" s="91" t="str">
        <f aca="false">IF(D568="","",IFERROR(INDEX(CADASTRO_VIVO_3CRE!$B$2:$B$150,MATCH(D568,CADASTRO_VIVO_3CRE!$E$2:$E$150,0)),""))</f>
        <v/>
      </c>
      <c r="D568" s="91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8"/>
      <c r="S568" s="92" t="str">
        <f aca="true">IF(R568="","",TODAY()-INT(R568))</f>
        <v/>
      </c>
      <c r="T568" s="86"/>
      <c r="U568" s="86"/>
      <c r="V568" s="86"/>
      <c r="W568" s="88"/>
      <c r="X568" s="92" t="str">
        <f aca="true">IF(W568="","",IF(OR(O568="28 - Encerrado",O568="27 - Instalação concluída"),"Concluído",TODAY()-INT(W568)))</f>
        <v/>
      </c>
      <c r="Y568" s="91" t="str">
        <f aca="false">IF(OR(O568="28 - Encerrado",O568="27 - Instalação concluída"),"OK",IF(AND(B568&lt;&gt;"",S568=""),"ATENÇÃO (Sem data de atualização)",IF(S568="","",IF(S568&gt;30,"CRÍTICO (Sem Atualização &gt;30 dias)",IF(S568&gt;15,"ATENÇÃO (Sem Atualização &gt;15 dias)",IF(X568&gt;90,"CRÍTICO (Aberto &gt;90 dias)","OK"))))))</f>
        <v/>
      </c>
      <c r="Z568" s="90" t="str">
        <f aca="false">IF(B568="","",IF(OR(O568="27 - Instalação concluída",O568="28 - Encerrado"),"OK",IF(NOT(ISNUMBER(X568)),"",IF(X568&gt;365,"MUITO ANTIGO (&gt;1 ano)",IF(X568&gt;180,"ANTIGO (&gt;6 meses)",IF(X568&gt;90,"ATENÇÃO ANTIG. (&gt;3 meses)","OK"))))))</f>
        <v/>
      </c>
      <c r="AA568" s="91"/>
    </row>
    <row r="569" customFormat="false" ht="16.5" hidden="false" customHeight="true" outlineLevel="0" collapsed="false">
      <c r="A569" s="86"/>
      <c r="B569" s="91"/>
      <c r="C569" s="91" t="str">
        <f aca="false">IF(D569="","",IFERROR(INDEX(CADASTRO_VIVO_3CRE!$B$2:$B$150,MATCH(D569,CADASTRO_VIVO_3CRE!$E$2:$E$150,0)),""))</f>
        <v/>
      </c>
      <c r="D569" s="91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8"/>
      <c r="S569" s="92" t="str">
        <f aca="true">IF(R569="","",TODAY()-INT(R569))</f>
        <v/>
      </c>
      <c r="T569" s="86"/>
      <c r="U569" s="86"/>
      <c r="V569" s="86"/>
      <c r="W569" s="88"/>
      <c r="X569" s="92" t="str">
        <f aca="true">IF(W569="","",IF(OR(O569="28 - Encerrado",O569="27 - Instalação concluída"),"Concluído",TODAY()-INT(W569)))</f>
        <v/>
      </c>
      <c r="Y569" s="91" t="str">
        <f aca="false">IF(OR(O569="28 - Encerrado",O569="27 - Instalação concluída"),"OK",IF(AND(B569&lt;&gt;"",S569=""),"ATENÇÃO (Sem data de atualização)",IF(S569="","",IF(S569&gt;30,"CRÍTICO (Sem Atualização &gt;30 dias)",IF(S569&gt;15,"ATENÇÃO (Sem Atualização &gt;15 dias)",IF(X569&gt;90,"CRÍTICO (Aberto &gt;90 dias)","OK"))))))</f>
        <v/>
      </c>
      <c r="Z569" s="90" t="str">
        <f aca="false">IF(B569="","",IF(OR(O569="27 - Instalação concluída",O569="28 - Encerrado"),"OK",IF(NOT(ISNUMBER(X569)),"",IF(X569&gt;365,"MUITO ANTIGO (&gt;1 ano)",IF(X569&gt;180,"ANTIGO (&gt;6 meses)",IF(X569&gt;90,"ATENÇÃO ANTIG. (&gt;3 meses)","OK"))))))</f>
        <v/>
      </c>
      <c r="AA569" s="91"/>
    </row>
    <row r="570" customFormat="false" ht="16.5" hidden="false" customHeight="true" outlineLevel="0" collapsed="false">
      <c r="A570" s="86"/>
      <c r="B570" s="91"/>
      <c r="C570" s="91" t="str">
        <f aca="false">IF(D570="","",IFERROR(INDEX(CADASTRO_VIVO_3CRE!$B$2:$B$150,MATCH(D570,CADASTRO_VIVO_3CRE!$E$2:$E$150,0)),""))</f>
        <v/>
      </c>
      <c r="D570" s="91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8"/>
      <c r="S570" s="92" t="str">
        <f aca="true">IF(R570="","",TODAY()-INT(R570))</f>
        <v/>
      </c>
      <c r="T570" s="86"/>
      <c r="U570" s="86"/>
      <c r="V570" s="86"/>
      <c r="W570" s="88"/>
      <c r="X570" s="92" t="str">
        <f aca="true">IF(W570="","",IF(OR(O570="28 - Encerrado",O570="27 - Instalação concluída"),"Concluído",TODAY()-INT(W570)))</f>
        <v/>
      </c>
      <c r="Y570" s="91" t="str">
        <f aca="false">IF(OR(O570="28 - Encerrado",O570="27 - Instalação concluída"),"OK",IF(AND(B570&lt;&gt;"",S570=""),"ATENÇÃO (Sem data de atualização)",IF(S570="","",IF(S570&gt;30,"CRÍTICO (Sem Atualização &gt;30 dias)",IF(S570&gt;15,"ATENÇÃO (Sem Atualização &gt;15 dias)",IF(X570&gt;90,"CRÍTICO (Aberto &gt;90 dias)","OK"))))))</f>
        <v/>
      </c>
      <c r="Z570" s="90" t="str">
        <f aca="false">IF(B570="","",IF(OR(O570="27 - Instalação concluída",O570="28 - Encerrado"),"OK",IF(NOT(ISNUMBER(X570)),"",IF(X570&gt;365,"MUITO ANTIGO (&gt;1 ano)",IF(X570&gt;180,"ANTIGO (&gt;6 meses)",IF(X570&gt;90,"ATENÇÃO ANTIG. (&gt;3 meses)","OK"))))))</f>
        <v/>
      </c>
      <c r="AA570" s="91"/>
    </row>
    <row r="571" customFormat="false" ht="16.5" hidden="false" customHeight="true" outlineLevel="0" collapsed="false">
      <c r="A571" s="86"/>
      <c r="B571" s="91"/>
      <c r="C571" s="91" t="str">
        <f aca="false">IF(D571="","",IFERROR(INDEX(CADASTRO_VIVO_3CRE!$B$2:$B$150,MATCH(D571,CADASTRO_VIVO_3CRE!$E$2:$E$150,0)),""))</f>
        <v/>
      </c>
      <c r="D571" s="91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8"/>
      <c r="S571" s="92" t="str">
        <f aca="true">IF(R571="","",TODAY()-INT(R571))</f>
        <v/>
      </c>
      <c r="T571" s="86"/>
      <c r="U571" s="86"/>
      <c r="V571" s="86"/>
      <c r="W571" s="88"/>
      <c r="X571" s="92" t="str">
        <f aca="true">IF(W571="","",IF(OR(O571="28 - Encerrado",O571="27 - Instalação concluída"),"Concluído",TODAY()-INT(W571)))</f>
        <v/>
      </c>
      <c r="Y571" s="91" t="str">
        <f aca="false">IF(OR(O571="28 - Encerrado",O571="27 - Instalação concluída"),"OK",IF(AND(B571&lt;&gt;"",S571=""),"ATENÇÃO (Sem data de atualização)",IF(S571="","",IF(S571&gt;30,"CRÍTICO (Sem Atualização &gt;30 dias)",IF(S571&gt;15,"ATENÇÃO (Sem Atualização &gt;15 dias)",IF(X571&gt;90,"CRÍTICO (Aberto &gt;90 dias)","OK"))))))</f>
        <v/>
      </c>
      <c r="Z571" s="90" t="str">
        <f aca="false">IF(B571="","",IF(OR(O571="27 - Instalação concluída",O571="28 - Encerrado"),"OK",IF(NOT(ISNUMBER(X571)),"",IF(X571&gt;365,"MUITO ANTIGO (&gt;1 ano)",IF(X571&gt;180,"ANTIGO (&gt;6 meses)",IF(X571&gt;90,"ATENÇÃO ANTIG. (&gt;3 meses)","OK"))))))</f>
        <v/>
      </c>
      <c r="AA571" s="91"/>
    </row>
    <row r="572" customFormat="false" ht="16.5" hidden="false" customHeight="true" outlineLevel="0" collapsed="false">
      <c r="A572" s="86"/>
      <c r="B572" s="91"/>
      <c r="C572" s="91" t="str">
        <f aca="false">IF(D572="","",IFERROR(INDEX(CADASTRO_VIVO_3CRE!$B$2:$B$150,MATCH(D572,CADASTRO_VIVO_3CRE!$E$2:$E$150,0)),""))</f>
        <v/>
      </c>
      <c r="D572" s="91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8"/>
      <c r="S572" s="92" t="str">
        <f aca="true">IF(R572="","",TODAY()-INT(R572))</f>
        <v/>
      </c>
      <c r="T572" s="86"/>
      <c r="U572" s="86"/>
      <c r="V572" s="86"/>
      <c r="W572" s="88"/>
      <c r="X572" s="92" t="str">
        <f aca="true">IF(W572="","",IF(OR(O572="28 - Encerrado",O572="27 - Instalação concluída"),"Concluído",TODAY()-INT(W572)))</f>
        <v/>
      </c>
      <c r="Y572" s="91" t="str">
        <f aca="false">IF(OR(O572="28 - Encerrado",O572="27 - Instalação concluída"),"OK",IF(AND(B572&lt;&gt;"",S572=""),"ATENÇÃO (Sem data de atualização)",IF(S572="","",IF(S572&gt;30,"CRÍTICO (Sem Atualização &gt;30 dias)",IF(S572&gt;15,"ATENÇÃO (Sem Atualização &gt;15 dias)",IF(X572&gt;90,"CRÍTICO (Aberto &gt;90 dias)","OK"))))))</f>
        <v/>
      </c>
      <c r="Z572" s="90" t="str">
        <f aca="false">IF(B572="","",IF(OR(O572="27 - Instalação concluída",O572="28 - Encerrado"),"OK",IF(NOT(ISNUMBER(X572)),"",IF(X572&gt;365,"MUITO ANTIGO (&gt;1 ano)",IF(X572&gt;180,"ANTIGO (&gt;6 meses)",IF(X572&gt;90,"ATENÇÃO ANTIG. (&gt;3 meses)","OK"))))))</f>
        <v/>
      </c>
      <c r="AA572" s="91"/>
    </row>
    <row r="573" customFormat="false" ht="16.5" hidden="false" customHeight="true" outlineLevel="0" collapsed="false">
      <c r="A573" s="86"/>
      <c r="B573" s="91"/>
      <c r="C573" s="91" t="str">
        <f aca="false">IF(D573="","",IFERROR(INDEX(CADASTRO_VIVO_3CRE!$B$2:$B$150,MATCH(D573,CADASTRO_VIVO_3CRE!$E$2:$E$150,0)),""))</f>
        <v/>
      </c>
      <c r="D573" s="91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8"/>
      <c r="S573" s="92" t="str">
        <f aca="true">IF(R573="","",TODAY()-INT(R573))</f>
        <v/>
      </c>
      <c r="T573" s="86"/>
      <c r="U573" s="86"/>
      <c r="V573" s="86"/>
      <c r="W573" s="88"/>
      <c r="X573" s="92" t="str">
        <f aca="true">IF(W573="","",IF(OR(O573="28 - Encerrado",O573="27 - Instalação concluída"),"Concluído",TODAY()-INT(W573)))</f>
        <v/>
      </c>
      <c r="Y573" s="91" t="str">
        <f aca="false">IF(OR(O573="28 - Encerrado",O573="27 - Instalação concluída"),"OK",IF(AND(B573&lt;&gt;"",S573=""),"ATENÇÃO (Sem data de atualização)",IF(S573="","",IF(S573&gt;30,"CRÍTICO (Sem Atualização &gt;30 dias)",IF(S573&gt;15,"ATENÇÃO (Sem Atualização &gt;15 dias)",IF(X573&gt;90,"CRÍTICO (Aberto &gt;90 dias)","OK"))))))</f>
        <v/>
      </c>
      <c r="Z573" s="90" t="str">
        <f aca="false">IF(B573="","",IF(OR(O573="27 - Instalação concluída",O573="28 - Encerrado"),"OK",IF(NOT(ISNUMBER(X573)),"",IF(X573&gt;365,"MUITO ANTIGO (&gt;1 ano)",IF(X573&gt;180,"ANTIGO (&gt;6 meses)",IF(X573&gt;90,"ATENÇÃO ANTIG. (&gt;3 meses)","OK"))))))</f>
        <v/>
      </c>
      <c r="AA573" s="91"/>
    </row>
    <row r="574" customFormat="false" ht="16.5" hidden="false" customHeight="true" outlineLevel="0" collapsed="false">
      <c r="A574" s="86"/>
      <c r="B574" s="91"/>
      <c r="C574" s="91" t="str">
        <f aca="false">IF(D574="","",IFERROR(INDEX(CADASTRO_VIVO_3CRE!$B$2:$B$150,MATCH(D574,CADASTRO_VIVO_3CRE!$E$2:$E$150,0)),""))</f>
        <v/>
      </c>
      <c r="D574" s="91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8"/>
      <c r="S574" s="92" t="str">
        <f aca="true">IF(R574="","",TODAY()-INT(R574))</f>
        <v/>
      </c>
      <c r="T574" s="86"/>
      <c r="U574" s="86"/>
      <c r="V574" s="86"/>
      <c r="W574" s="88"/>
      <c r="X574" s="92" t="str">
        <f aca="true">IF(W574="","",IF(OR(O574="28 - Encerrado",O574="27 - Instalação concluída"),"Concluído",TODAY()-INT(W574)))</f>
        <v/>
      </c>
      <c r="Y574" s="91" t="str">
        <f aca="false">IF(OR(O574="28 - Encerrado",O574="27 - Instalação concluída"),"OK",IF(AND(B574&lt;&gt;"",S574=""),"ATENÇÃO (Sem data de atualização)",IF(S574="","",IF(S574&gt;30,"CRÍTICO (Sem Atualização &gt;30 dias)",IF(S574&gt;15,"ATENÇÃO (Sem Atualização &gt;15 dias)",IF(X574&gt;90,"CRÍTICO (Aberto &gt;90 dias)","OK"))))))</f>
        <v/>
      </c>
      <c r="Z574" s="90" t="str">
        <f aca="false">IF(B574="","",IF(OR(O574="27 - Instalação concluída",O574="28 - Encerrado"),"OK",IF(NOT(ISNUMBER(X574)),"",IF(X574&gt;365,"MUITO ANTIGO (&gt;1 ano)",IF(X574&gt;180,"ANTIGO (&gt;6 meses)",IF(X574&gt;90,"ATENÇÃO ANTIG. (&gt;3 meses)","OK"))))))</f>
        <v/>
      </c>
      <c r="AA574" s="91"/>
    </row>
    <row r="575" customFormat="false" ht="16.5" hidden="false" customHeight="true" outlineLevel="0" collapsed="false">
      <c r="A575" s="86"/>
      <c r="B575" s="91"/>
      <c r="C575" s="91" t="str">
        <f aca="false">IF(D575="","",IFERROR(INDEX(CADASTRO_VIVO_3CRE!$B$2:$B$150,MATCH(D575,CADASTRO_VIVO_3CRE!$E$2:$E$150,0)),""))</f>
        <v/>
      </c>
      <c r="D575" s="91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8"/>
      <c r="S575" s="92" t="str">
        <f aca="true">IF(R575="","",TODAY()-INT(R575))</f>
        <v/>
      </c>
      <c r="T575" s="86"/>
      <c r="U575" s="86"/>
      <c r="V575" s="86"/>
      <c r="W575" s="88"/>
      <c r="X575" s="92" t="str">
        <f aca="true">IF(W575="","",IF(OR(O575="28 - Encerrado",O575="27 - Instalação concluída"),"Concluído",TODAY()-INT(W575)))</f>
        <v/>
      </c>
      <c r="Y575" s="91" t="str">
        <f aca="false">IF(OR(O575="28 - Encerrado",O575="27 - Instalação concluída"),"OK",IF(AND(B575&lt;&gt;"",S575=""),"ATENÇÃO (Sem data de atualização)",IF(S575="","",IF(S575&gt;30,"CRÍTICO (Sem Atualização &gt;30 dias)",IF(S575&gt;15,"ATENÇÃO (Sem Atualização &gt;15 dias)",IF(X575&gt;90,"CRÍTICO (Aberto &gt;90 dias)","OK"))))))</f>
        <v/>
      </c>
      <c r="Z575" s="90" t="str">
        <f aca="false">IF(B575="","",IF(OR(O575="27 - Instalação concluída",O575="28 - Encerrado"),"OK",IF(NOT(ISNUMBER(X575)),"",IF(X575&gt;365,"MUITO ANTIGO (&gt;1 ano)",IF(X575&gt;180,"ANTIGO (&gt;6 meses)",IF(X575&gt;90,"ATENÇÃO ANTIG. (&gt;3 meses)","OK"))))))</f>
        <v/>
      </c>
      <c r="AA575" s="91"/>
    </row>
    <row r="576" customFormat="false" ht="16.5" hidden="false" customHeight="true" outlineLevel="0" collapsed="false">
      <c r="A576" s="86"/>
      <c r="B576" s="91"/>
      <c r="C576" s="91" t="str">
        <f aca="false">IF(D576="","",IFERROR(INDEX(CADASTRO_VIVO_3CRE!$B$2:$B$150,MATCH(D576,CADASTRO_VIVO_3CRE!$E$2:$E$150,0)),""))</f>
        <v/>
      </c>
      <c r="D576" s="91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8"/>
      <c r="S576" s="92" t="str">
        <f aca="true">IF(R576="","",TODAY()-INT(R576))</f>
        <v/>
      </c>
      <c r="T576" s="86"/>
      <c r="U576" s="86"/>
      <c r="V576" s="86"/>
      <c r="W576" s="88"/>
      <c r="X576" s="92" t="str">
        <f aca="true">IF(W576="","",IF(OR(O576="28 - Encerrado",O576="27 - Instalação concluída"),"Concluído",TODAY()-INT(W576)))</f>
        <v/>
      </c>
      <c r="Y576" s="91" t="str">
        <f aca="false">IF(OR(O576="28 - Encerrado",O576="27 - Instalação concluída"),"OK",IF(AND(B576&lt;&gt;"",S576=""),"ATENÇÃO (Sem data de atualização)",IF(S576="","",IF(S576&gt;30,"CRÍTICO (Sem Atualização &gt;30 dias)",IF(S576&gt;15,"ATENÇÃO (Sem Atualização &gt;15 dias)",IF(X576&gt;90,"CRÍTICO (Aberto &gt;90 dias)","OK"))))))</f>
        <v/>
      </c>
      <c r="Z576" s="90" t="str">
        <f aca="false">IF(B576="","",IF(OR(O576="27 - Instalação concluída",O576="28 - Encerrado"),"OK",IF(NOT(ISNUMBER(X576)),"",IF(X576&gt;365,"MUITO ANTIGO (&gt;1 ano)",IF(X576&gt;180,"ANTIGO (&gt;6 meses)",IF(X576&gt;90,"ATENÇÃO ANTIG. (&gt;3 meses)","OK"))))))</f>
        <v/>
      </c>
      <c r="AA576" s="91"/>
    </row>
    <row r="577" customFormat="false" ht="16.5" hidden="false" customHeight="true" outlineLevel="0" collapsed="false">
      <c r="A577" s="86"/>
      <c r="B577" s="91"/>
      <c r="C577" s="91" t="str">
        <f aca="false">IF(D577="","",IFERROR(INDEX(CADASTRO_VIVO_3CRE!$B$2:$B$150,MATCH(D577,CADASTRO_VIVO_3CRE!$E$2:$E$150,0)),""))</f>
        <v/>
      </c>
      <c r="D577" s="91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8"/>
      <c r="S577" s="92" t="str">
        <f aca="true">IF(R577="","",TODAY()-INT(R577))</f>
        <v/>
      </c>
      <c r="T577" s="86"/>
      <c r="U577" s="86"/>
      <c r="V577" s="86"/>
      <c r="W577" s="88"/>
      <c r="X577" s="92" t="str">
        <f aca="true">IF(W577="","",IF(OR(O577="28 - Encerrado",O577="27 - Instalação concluída"),"Concluído",TODAY()-INT(W577)))</f>
        <v/>
      </c>
      <c r="Y577" s="91" t="str">
        <f aca="false">IF(OR(O577="28 - Encerrado",O577="27 - Instalação concluída"),"OK",IF(AND(B577&lt;&gt;"",S577=""),"ATENÇÃO (Sem data de atualização)",IF(S577="","",IF(S577&gt;30,"CRÍTICO (Sem Atualização &gt;30 dias)",IF(S577&gt;15,"ATENÇÃO (Sem Atualização &gt;15 dias)",IF(X577&gt;90,"CRÍTICO (Aberto &gt;90 dias)","OK"))))))</f>
        <v/>
      </c>
      <c r="Z577" s="90" t="str">
        <f aca="false">IF(B577="","",IF(OR(O577="27 - Instalação concluída",O577="28 - Encerrado"),"OK",IF(NOT(ISNUMBER(X577)),"",IF(X577&gt;365,"MUITO ANTIGO (&gt;1 ano)",IF(X577&gt;180,"ANTIGO (&gt;6 meses)",IF(X577&gt;90,"ATENÇÃO ANTIG. (&gt;3 meses)","OK"))))))</f>
        <v/>
      </c>
      <c r="AA577" s="91"/>
    </row>
    <row r="578" customFormat="false" ht="16.5" hidden="false" customHeight="true" outlineLevel="0" collapsed="false">
      <c r="A578" s="86"/>
      <c r="B578" s="91"/>
      <c r="C578" s="91" t="str">
        <f aca="false">IF(D578="","",IFERROR(INDEX(CADASTRO_VIVO_3CRE!$B$2:$B$150,MATCH(D578,CADASTRO_VIVO_3CRE!$E$2:$E$150,0)),""))</f>
        <v/>
      </c>
      <c r="D578" s="91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8"/>
      <c r="S578" s="92" t="str">
        <f aca="true">IF(R578="","",TODAY()-INT(R578))</f>
        <v/>
      </c>
      <c r="T578" s="86"/>
      <c r="U578" s="86"/>
      <c r="V578" s="86"/>
      <c r="W578" s="88"/>
      <c r="X578" s="92" t="str">
        <f aca="true">IF(W578="","",IF(OR(O578="28 - Encerrado",O578="27 - Instalação concluída"),"Concluído",TODAY()-INT(W578)))</f>
        <v/>
      </c>
      <c r="Y578" s="91" t="str">
        <f aca="false">IF(OR(O578="28 - Encerrado",O578="27 - Instalação concluída"),"OK",IF(AND(B578&lt;&gt;"",S578=""),"ATENÇÃO (Sem data de atualização)",IF(S578="","",IF(S578&gt;30,"CRÍTICO (Sem Atualização &gt;30 dias)",IF(S578&gt;15,"ATENÇÃO (Sem Atualização &gt;15 dias)",IF(X578&gt;90,"CRÍTICO (Aberto &gt;90 dias)","OK"))))))</f>
        <v/>
      </c>
      <c r="Z578" s="90" t="str">
        <f aca="false">IF(B578="","",IF(OR(O578="27 - Instalação concluída",O578="28 - Encerrado"),"OK",IF(NOT(ISNUMBER(X578)),"",IF(X578&gt;365,"MUITO ANTIGO (&gt;1 ano)",IF(X578&gt;180,"ANTIGO (&gt;6 meses)",IF(X578&gt;90,"ATENÇÃO ANTIG. (&gt;3 meses)","OK"))))))</f>
        <v/>
      </c>
      <c r="AA578" s="91"/>
    </row>
    <row r="579" customFormat="false" ht="16.5" hidden="false" customHeight="true" outlineLevel="0" collapsed="false">
      <c r="A579" s="86"/>
      <c r="B579" s="91"/>
      <c r="C579" s="91" t="str">
        <f aca="false">IF(D579="","",IFERROR(INDEX(CADASTRO_VIVO_3CRE!$B$2:$B$150,MATCH(D579,CADASTRO_VIVO_3CRE!$E$2:$E$150,0)),""))</f>
        <v/>
      </c>
      <c r="D579" s="91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8"/>
      <c r="S579" s="92" t="str">
        <f aca="true">IF(R579="","",TODAY()-INT(R579))</f>
        <v/>
      </c>
      <c r="T579" s="86"/>
      <c r="U579" s="86"/>
      <c r="V579" s="86"/>
      <c r="W579" s="88"/>
      <c r="X579" s="92" t="str">
        <f aca="true">IF(W579="","",IF(OR(O579="28 - Encerrado",O579="27 - Instalação concluída"),"Concluído",TODAY()-INT(W579)))</f>
        <v/>
      </c>
      <c r="Y579" s="91" t="str">
        <f aca="false">IF(OR(O579="28 - Encerrado",O579="27 - Instalação concluída"),"OK",IF(AND(B579&lt;&gt;"",S579=""),"ATENÇÃO (Sem data de atualização)",IF(S579="","",IF(S579&gt;30,"CRÍTICO (Sem Atualização &gt;30 dias)",IF(S579&gt;15,"ATENÇÃO (Sem Atualização &gt;15 dias)",IF(X579&gt;90,"CRÍTICO (Aberto &gt;90 dias)","OK"))))))</f>
        <v/>
      </c>
      <c r="Z579" s="90" t="str">
        <f aca="false">IF(B579="","",IF(OR(O579="27 - Instalação concluída",O579="28 - Encerrado"),"OK",IF(NOT(ISNUMBER(X579)),"",IF(X579&gt;365,"MUITO ANTIGO (&gt;1 ano)",IF(X579&gt;180,"ANTIGO (&gt;6 meses)",IF(X579&gt;90,"ATENÇÃO ANTIG. (&gt;3 meses)","OK"))))))</f>
        <v/>
      </c>
      <c r="AA579" s="91"/>
    </row>
    <row r="580" customFormat="false" ht="16.5" hidden="false" customHeight="true" outlineLevel="0" collapsed="false">
      <c r="A580" s="86"/>
      <c r="B580" s="91"/>
      <c r="C580" s="91" t="str">
        <f aca="false">IF(D580="","",IFERROR(INDEX(CADASTRO_VIVO_3CRE!$B$2:$B$150,MATCH(D580,CADASTRO_VIVO_3CRE!$E$2:$E$150,0)),""))</f>
        <v/>
      </c>
      <c r="D580" s="91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8"/>
      <c r="S580" s="92" t="str">
        <f aca="true">IF(R580="","",TODAY()-INT(R580))</f>
        <v/>
      </c>
      <c r="T580" s="86"/>
      <c r="U580" s="86"/>
      <c r="V580" s="86"/>
      <c r="W580" s="88"/>
      <c r="X580" s="92" t="str">
        <f aca="true">IF(W580="","",IF(OR(O580="28 - Encerrado",O580="27 - Instalação concluída"),"Concluído",TODAY()-INT(W580)))</f>
        <v/>
      </c>
      <c r="Y580" s="91" t="str">
        <f aca="false">IF(OR(O580="28 - Encerrado",O580="27 - Instalação concluída"),"OK",IF(AND(B580&lt;&gt;"",S580=""),"ATENÇÃO (Sem data de atualização)",IF(S580="","",IF(S580&gt;30,"CRÍTICO (Sem Atualização &gt;30 dias)",IF(S580&gt;15,"ATENÇÃO (Sem Atualização &gt;15 dias)",IF(X580&gt;90,"CRÍTICO (Aberto &gt;90 dias)","OK"))))))</f>
        <v/>
      </c>
      <c r="Z580" s="90" t="str">
        <f aca="false">IF(B580="","",IF(OR(O580="27 - Instalação concluída",O580="28 - Encerrado"),"OK",IF(NOT(ISNUMBER(X580)),"",IF(X580&gt;365,"MUITO ANTIGO (&gt;1 ano)",IF(X580&gt;180,"ANTIGO (&gt;6 meses)",IF(X580&gt;90,"ATENÇÃO ANTIG. (&gt;3 meses)","OK"))))))</f>
        <v/>
      </c>
      <c r="AA580" s="91"/>
    </row>
    <row r="581" customFormat="false" ht="16.5" hidden="false" customHeight="true" outlineLevel="0" collapsed="false">
      <c r="A581" s="86"/>
      <c r="B581" s="91"/>
      <c r="C581" s="91" t="str">
        <f aca="false">IF(D581="","",IFERROR(INDEX(CADASTRO_VIVO_3CRE!$B$2:$B$150,MATCH(D581,CADASTRO_VIVO_3CRE!$E$2:$E$150,0)),""))</f>
        <v/>
      </c>
      <c r="D581" s="91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8"/>
      <c r="S581" s="92" t="str">
        <f aca="true">IF(R581="","",TODAY()-INT(R581))</f>
        <v/>
      </c>
      <c r="T581" s="86"/>
      <c r="U581" s="86"/>
      <c r="V581" s="86"/>
      <c r="W581" s="88"/>
      <c r="X581" s="92" t="str">
        <f aca="true">IF(W581="","",IF(OR(O581="28 - Encerrado",O581="27 - Instalação concluída"),"Concluído",TODAY()-INT(W581)))</f>
        <v/>
      </c>
      <c r="Y581" s="91" t="str">
        <f aca="false">IF(OR(O581="28 - Encerrado",O581="27 - Instalação concluída"),"OK",IF(AND(B581&lt;&gt;"",S581=""),"ATENÇÃO (Sem data de atualização)",IF(S581="","",IF(S581&gt;30,"CRÍTICO (Sem Atualização &gt;30 dias)",IF(S581&gt;15,"ATENÇÃO (Sem Atualização &gt;15 dias)",IF(X581&gt;90,"CRÍTICO (Aberto &gt;90 dias)","OK"))))))</f>
        <v/>
      </c>
      <c r="Z581" s="90" t="str">
        <f aca="false">IF(B581="","",IF(OR(O581="27 - Instalação concluída",O581="28 - Encerrado"),"OK",IF(NOT(ISNUMBER(X581)),"",IF(X581&gt;365,"MUITO ANTIGO (&gt;1 ano)",IF(X581&gt;180,"ANTIGO (&gt;6 meses)",IF(X581&gt;90,"ATENÇÃO ANTIG. (&gt;3 meses)","OK"))))))</f>
        <v/>
      </c>
      <c r="AA581" s="91"/>
    </row>
    <row r="582" customFormat="false" ht="16.5" hidden="false" customHeight="true" outlineLevel="0" collapsed="false">
      <c r="A582" s="86"/>
      <c r="B582" s="91"/>
      <c r="C582" s="91" t="str">
        <f aca="false">IF(D582="","",IFERROR(INDEX(CADASTRO_VIVO_3CRE!$B$2:$B$150,MATCH(D582,CADASTRO_VIVO_3CRE!$E$2:$E$150,0)),""))</f>
        <v/>
      </c>
      <c r="D582" s="91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8"/>
      <c r="S582" s="92" t="str">
        <f aca="true">IF(R582="","",TODAY()-INT(R582))</f>
        <v/>
      </c>
      <c r="T582" s="86"/>
      <c r="U582" s="86"/>
      <c r="V582" s="86"/>
      <c r="W582" s="88"/>
      <c r="X582" s="92" t="str">
        <f aca="true">IF(W582="","",IF(OR(O582="28 - Encerrado",O582="27 - Instalação concluída"),"Concluído",TODAY()-INT(W582)))</f>
        <v/>
      </c>
      <c r="Y582" s="91" t="str">
        <f aca="false">IF(OR(O582="28 - Encerrado",O582="27 - Instalação concluída"),"OK",IF(AND(B582&lt;&gt;"",S582=""),"ATENÇÃO (Sem data de atualização)",IF(S582="","",IF(S582&gt;30,"CRÍTICO (Sem Atualização &gt;30 dias)",IF(S582&gt;15,"ATENÇÃO (Sem Atualização &gt;15 dias)",IF(X582&gt;90,"CRÍTICO (Aberto &gt;90 dias)","OK"))))))</f>
        <v/>
      </c>
      <c r="Z582" s="90" t="str">
        <f aca="false">IF(B582="","",IF(OR(O582="27 - Instalação concluída",O582="28 - Encerrado"),"OK",IF(NOT(ISNUMBER(X582)),"",IF(X582&gt;365,"MUITO ANTIGO (&gt;1 ano)",IF(X582&gt;180,"ANTIGO (&gt;6 meses)",IF(X582&gt;90,"ATENÇÃO ANTIG. (&gt;3 meses)","OK"))))))</f>
        <v/>
      </c>
      <c r="AA582" s="91"/>
    </row>
    <row r="583" customFormat="false" ht="16.5" hidden="false" customHeight="true" outlineLevel="0" collapsed="false">
      <c r="A583" s="86"/>
      <c r="B583" s="91"/>
      <c r="C583" s="91" t="str">
        <f aca="false">IF(D583="","",IFERROR(INDEX(CADASTRO_VIVO_3CRE!$B$2:$B$150,MATCH(D583,CADASTRO_VIVO_3CRE!$E$2:$E$150,0)),""))</f>
        <v/>
      </c>
      <c r="D583" s="91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8"/>
      <c r="S583" s="92" t="str">
        <f aca="true">IF(R583="","",TODAY()-INT(R583))</f>
        <v/>
      </c>
      <c r="T583" s="86"/>
      <c r="U583" s="86"/>
      <c r="V583" s="86"/>
      <c r="W583" s="88"/>
      <c r="X583" s="92" t="str">
        <f aca="true">IF(W583="","",IF(OR(O583="28 - Encerrado",O583="27 - Instalação concluída"),"Concluído",TODAY()-INT(W583)))</f>
        <v/>
      </c>
      <c r="Y583" s="91" t="str">
        <f aca="false">IF(OR(O583="28 - Encerrado",O583="27 - Instalação concluída"),"OK",IF(AND(B583&lt;&gt;"",S583=""),"ATENÇÃO (Sem data de atualização)",IF(S583="","",IF(S583&gt;30,"CRÍTICO (Sem Atualização &gt;30 dias)",IF(S583&gt;15,"ATENÇÃO (Sem Atualização &gt;15 dias)",IF(X583&gt;90,"CRÍTICO (Aberto &gt;90 dias)","OK"))))))</f>
        <v/>
      </c>
      <c r="Z583" s="90" t="str">
        <f aca="false">IF(B583="","",IF(OR(O583="27 - Instalação concluída",O583="28 - Encerrado"),"OK",IF(NOT(ISNUMBER(X583)),"",IF(X583&gt;365,"MUITO ANTIGO (&gt;1 ano)",IF(X583&gt;180,"ANTIGO (&gt;6 meses)",IF(X583&gt;90,"ATENÇÃO ANTIG. (&gt;3 meses)","OK"))))))</f>
        <v/>
      </c>
      <c r="AA583" s="91"/>
    </row>
    <row r="584" customFormat="false" ht="16.5" hidden="false" customHeight="true" outlineLevel="0" collapsed="false">
      <c r="A584" s="86"/>
      <c r="B584" s="91"/>
      <c r="C584" s="91" t="str">
        <f aca="false">IF(D584="","",IFERROR(INDEX(CADASTRO_VIVO_3CRE!$B$2:$B$150,MATCH(D584,CADASTRO_VIVO_3CRE!$E$2:$E$150,0)),""))</f>
        <v/>
      </c>
      <c r="D584" s="91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8"/>
      <c r="S584" s="92" t="str">
        <f aca="true">IF(R584="","",TODAY()-INT(R584))</f>
        <v/>
      </c>
      <c r="T584" s="86"/>
      <c r="U584" s="86"/>
      <c r="V584" s="86"/>
      <c r="W584" s="88"/>
      <c r="X584" s="92" t="str">
        <f aca="true">IF(W584="","",IF(OR(O584="28 - Encerrado",O584="27 - Instalação concluída"),"Concluído",TODAY()-INT(W584)))</f>
        <v/>
      </c>
      <c r="Y584" s="91" t="str">
        <f aca="false">IF(OR(O584="28 - Encerrado",O584="27 - Instalação concluída"),"OK",IF(AND(B584&lt;&gt;"",S584=""),"ATENÇÃO (Sem data de atualização)",IF(S584="","",IF(S584&gt;30,"CRÍTICO (Sem Atualização &gt;30 dias)",IF(S584&gt;15,"ATENÇÃO (Sem Atualização &gt;15 dias)",IF(X584&gt;90,"CRÍTICO (Aberto &gt;90 dias)","OK"))))))</f>
        <v/>
      </c>
      <c r="Z584" s="90" t="str">
        <f aca="false">IF(B584="","",IF(OR(O584="27 - Instalação concluída",O584="28 - Encerrado"),"OK",IF(NOT(ISNUMBER(X584)),"",IF(X584&gt;365,"MUITO ANTIGO (&gt;1 ano)",IF(X584&gt;180,"ANTIGO (&gt;6 meses)",IF(X584&gt;90,"ATENÇÃO ANTIG. (&gt;3 meses)","OK"))))))</f>
        <v/>
      </c>
      <c r="AA584" s="91"/>
    </row>
    <row r="585" customFormat="false" ht="16.5" hidden="false" customHeight="true" outlineLevel="0" collapsed="false">
      <c r="A585" s="86"/>
      <c r="B585" s="91"/>
      <c r="C585" s="91" t="str">
        <f aca="false">IF(D585="","",IFERROR(INDEX(CADASTRO_VIVO_3CRE!$B$2:$B$150,MATCH(D585,CADASTRO_VIVO_3CRE!$E$2:$E$150,0)),""))</f>
        <v/>
      </c>
      <c r="D585" s="91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8"/>
      <c r="S585" s="92" t="str">
        <f aca="true">IF(R585="","",TODAY()-INT(R585))</f>
        <v/>
      </c>
      <c r="T585" s="86"/>
      <c r="U585" s="86"/>
      <c r="V585" s="86"/>
      <c r="W585" s="88"/>
      <c r="X585" s="92" t="str">
        <f aca="true">IF(W585="","",IF(OR(O585="28 - Encerrado",O585="27 - Instalação concluída"),"Concluído",TODAY()-INT(W585)))</f>
        <v/>
      </c>
      <c r="Y585" s="91" t="str">
        <f aca="false">IF(OR(O585="28 - Encerrado",O585="27 - Instalação concluída"),"OK",IF(AND(B585&lt;&gt;"",S585=""),"ATENÇÃO (Sem data de atualização)",IF(S585="","",IF(S585&gt;30,"CRÍTICO (Sem Atualização &gt;30 dias)",IF(S585&gt;15,"ATENÇÃO (Sem Atualização &gt;15 dias)",IF(X585&gt;90,"CRÍTICO (Aberto &gt;90 dias)","OK"))))))</f>
        <v/>
      </c>
      <c r="Z585" s="90" t="str">
        <f aca="false">IF(B585="","",IF(OR(O585="27 - Instalação concluída",O585="28 - Encerrado"),"OK",IF(NOT(ISNUMBER(X585)),"",IF(X585&gt;365,"MUITO ANTIGO (&gt;1 ano)",IF(X585&gt;180,"ANTIGO (&gt;6 meses)",IF(X585&gt;90,"ATENÇÃO ANTIG. (&gt;3 meses)","OK"))))))</f>
        <v/>
      </c>
      <c r="AA585" s="91"/>
    </row>
    <row r="586" customFormat="false" ht="16.5" hidden="false" customHeight="true" outlineLevel="0" collapsed="false">
      <c r="A586" s="86"/>
      <c r="B586" s="91"/>
      <c r="C586" s="91" t="str">
        <f aca="false">IF(D586="","",IFERROR(INDEX(CADASTRO_VIVO_3CRE!$B$2:$B$150,MATCH(D586,CADASTRO_VIVO_3CRE!$E$2:$E$150,0)),""))</f>
        <v/>
      </c>
      <c r="D586" s="91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8"/>
      <c r="S586" s="92" t="str">
        <f aca="true">IF(R586="","",TODAY()-INT(R586))</f>
        <v/>
      </c>
      <c r="T586" s="86"/>
      <c r="U586" s="86"/>
      <c r="V586" s="86"/>
      <c r="W586" s="88"/>
      <c r="X586" s="92" t="str">
        <f aca="true">IF(W586="","",IF(OR(O586="28 - Encerrado",O586="27 - Instalação concluída"),"Concluído",TODAY()-INT(W586)))</f>
        <v/>
      </c>
      <c r="Y586" s="91" t="str">
        <f aca="false">IF(OR(O586="28 - Encerrado",O586="27 - Instalação concluída"),"OK",IF(AND(B586&lt;&gt;"",S586=""),"ATENÇÃO (Sem data de atualização)",IF(S586="","",IF(S586&gt;30,"CRÍTICO (Sem Atualização &gt;30 dias)",IF(S586&gt;15,"ATENÇÃO (Sem Atualização &gt;15 dias)",IF(X586&gt;90,"CRÍTICO (Aberto &gt;90 dias)","OK"))))))</f>
        <v/>
      </c>
      <c r="Z586" s="90" t="str">
        <f aca="false">IF(B586="","",IF(OR(O586="27 - Instalação concluída",O586="28 - Encerrado"),"OK",IF(NOT(ISNUMBER(X586)),"",IF(X586&gt;365,"MUITO ANTIGO (&gt;1 ano)",IF(X586&gt;180,"ANTIGO (&gt;6 meses)",IF(X586&gt;90,"ATENÇÃO ANTIG. (&gt;3 meses)","OK"))))))</f>
        <v/>
      </c>
      <c r="AA586" s="91"/>
    </row>
    <row r="587" customFormat="false" ht="16.5" hidden="false" customHeight="true" outlineLevel="0" collapsed="false">
      <c r="A587" s="86"/>
      <c r="B587" s="91"/>
      <c r="C587" s="91" t="str">
        <f aca="false">IF(D587="","",IFERROR(INDEX(CADASTRO_VIVO_3CRE!$B$2:$B$150,MATCH(D587,CADASTRO_VIVO_3CRE!$E$2:$E$150,0)),""))</f>
        <v/>
      </c>
      <c r="D587" s="91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8"/>
      <c r="S587" s="92" t="str">
        <f aca="true">IF(R587="","",TODAY()-INT(R587))</f>
        <v/>
      </c>
      <c r="T587" s="86"/>
      <c r="U587" s="86"/>
      <c r="V587" s="86"/>
      <c r="W587" s="88"/>
      <c r="X587" s="92" t="str">
        <f aca="true">IF(W587="","",IF(OR(O587="28 - Encerrado",O587="27 - Instalação concluída"),"Concluído",TODAY()-INT(W587)))</f>
        <v/>
      </c>
      <c r="Y587" s="91" t="str">
        <f aca="false">IF(OR(O587="28 - Encerrado",O587="27 - Instalação concluída"),"OK",IF(AND(B587&lt;&gt;"",S587=""),"ATENÇÃO (Sem data de atualização)",IF(S587="","",IF(S587&gt;30,"CRÍTICO (Sem Atualização &gt;30 dias)",IF(S587&gt;15,"ATENÇÃO (Sem Atualização &gt;15 dias)",IF(X587&gt;90,"CRÍTICO (Aberto &gt;90 dias)","OK"))))))</f>
        <v/>
      </c>
      <c r="Z587" s="90" t="str">
        <f aca="false">IF(B587="","",IF(OR(O587="27 - Instalação concluída",O587="28 - Encerrado"),"OK",IF(NOT(ISNUMBER(X587)),"",IF(X587&gt;365,"MUITO ANTIGO (&gt;1 ano)",IF(X587&gt;180,"ANTIGO (&gt;6 meses)",IF(X587&gt;90,"ATENÇÃO ANTIG. (&gt;3 meses)","OK"))))))</f>
        <v/>
      </c>
      <c r="AA587" s="91"/>
    </row>
    <row r="588" customFormat="false" ht="16.5" hidden="false" customHeight="true" outlineLevel="0" collapsed="false">
      <c r="A588" s="86"/>
      <c r="B588" s="91"/>
      <c r="C588" s="91" t="str">
        <f aca="false">IF(D588="","",IFERROR(INDEX(CADASTRO_VIVO_3CRE!$B$2:$B$150,MATCH(D588,CADASTRO_VIVO_3CRE!$E$2:$E$150,0)),""))</f>
        <v/>
      </c>
      <c r="D588" s="91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8"/>
      <c r="S588" s="92" t="str">
        <f aca="true">IF(R588="","",TODAY()-INT(R588))</f>
        <v/>
      </c>
      <c r="T588" s="86"/>
      <c r="U588" s="86"/>
      <c r="V588" s="86"/>
      <c r="W588" s="88"/>
      <c r="X588" s="92" t="str">
        <f aca="true">IF(W588="","",IF(OR(O588="28 - Encerrado",O588="27 - Instalação concluída"),"Concluído",TODAY()-INT(W588)))</f>
        <v/>
      </c>
      <c r="Y588" s="91" t="str">
        <f aca="false">IF(OR(O588="28 - Encerrado",O588="27 - Instalação concluída"),"OK",IF(AND(B588&lt;&gt;"",S588=""),"ATENÇÃO (Sem data de atualização)",IF(S588="","",IF(S588&gt;30,"CRÍTICO (Sem Atualização &gt;30 dias)",IF(S588&gt;15,"ATENÇÃO (Sem Atualização &gt;15 dias)",IF(X588&gt;90,"CRÍTICO (Aberto &gt;90 dias)","OK"))))))</f>
        <v/>
      </c>
      <c r="Z588" s="90" t="str">
        <f aca="false">IF(B588="","",IF(OR(O588="27 - Instalação concluída",O588="28 - Encerrado"),"OK",IF(NOT(ISNUMBER(X588)),"",IF(X588&gt;365,"MUITO ANTIGO (&gt;1 ano)",IF(X588&gt;180,"ANTIGO (&gt;6 meses)",IF(X588&gt;90,"ATENÇÃO ANTIG. (&gt;3 meses)","OK"))))))</f>
        <v/>
      </c>
      <c r="AA588" s="91"/>
    </row>
    <row r="589" customFormat="false" ht="16.5" hidden="false" customHeight="true" outlineLevel="0" collapsed="false">
      <c r="A589" s="86"/>
      <c r="B589" s="91"/>
      <c r="C589" s="91" t="str">
        <f aca="false">IF(D589="","",IFERROR(INDEX(CADASTRO_VIVO_3CRE!$B$2:$B$150,MATCH(D589,CADASTRO_VIVO_3CRE!$E$2:$E$150,0)),""))</f>
        <v/>
      </c>
      <c r="D589" s="91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8"/>
      <c r="S589" s="92" t="str">
        <f aca="true">IF(R589="","",TODAY()-INT(R589))</f>
        <v/>
      </c>
      <c r="T589" s="86"/>
      <c r="U589" s="86"/>
      <c r="V589" s="86"/>
      <c r="W589" s="88"/>
      <c r="X589" s="92" t="str">
        <f aca="true">IF(W589="","",IF(OR(O589="28 - Encerrado",O589="27 - Instalação concluída"),"Concluído",TODAY()-INT(W589)))</f>
        <v/>
      </c>
      <c r="Y589" s="91" t="str">
        <f aca="false">IF(OR(O589="28 - Encerrado",O589="27 - Instalação concluída"),"OK",IF(AND(B589&lt;&gt;"",S589=""),"ATENÇÃO (Sem data de atualização)",IF(S589="","",IF(S589&gt;30,"CRÍTICO (Sem Atualização &gt;30 dias)",IF(S589&gt;15,"ATENÇÃO (Sem Atualização &gt;15 dias)",IF(X589&gt;90,"CRÍTICO (Aberto &gt;90 dias)","OK"))))))</f>
        <v/>
      </c>
      <c r="Z589" s="90" t="str">
        <f aca="false">IF(B589="","",IF(OR(O589="27 - Instalação concluída",O589="28 - Encerrado"),"OK",IF(NOT(ISNUMBER(X589)),"",IF(X589&gt;365,"MUITO ANTIGO (&gt;1 ano)",IF(X589&gt;180,"ANTIGO (&gt;6 meses)",IF(X589&gt;90,"ATENÇÃO ANTIG. (&gt;3 meses)","OK"))))))</f>
        <v/>
      </c>
      <c r="AA589" s="91"/>
    </row>
    <row r="590" customFormat="false" ht="16.5" hidden="false" customHeight="true" outlineLevel="0" collapsed="false">
      <c r="A590" s="86"/>
      <c r="B590" s="91"/>
      <c r="C590" s="91" t="str">
        <f aca="false">IF(D590="","",IFERROR(INDEX(CADASTRO_VIVO_3CRE!$B$2:$B$150,MATCH(D590,CADASTRO_VIVO_3CRE!$E$2:$E$150,0)),""))</f>
        <v/>
      </c>
      <c r="D590" s="91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8"/>
      <c r="S590" s="92" t="str">
        <f aca="true">IF(R590="","",TODAY()-INT(R590))</f>
        <v/>
      </c>
      <c r="T590" s="86"/>
      <c r="U590" s="86"/>
      <c r="V590" s="86"/>
      <c r="W590" s="88"/>
      <c r="X590" s="92" t="str">
        <f aca="true">IF(W590="","",IF(OR(O590="28 - Encerrado",O590="27 - Instalação concluída"),"Concluído",TODAY()-INT(W590)))</f>
        <v/>
      </c>
      <c r="Y590" s="91" t="str">
        <f aca="false">IF(OR(O590="28 - Encerrado",O590="27 - Instalação concluída"),"OK",IF(AND(B590&lt;&gt;"",S590=""),"ATENÇÃO (Sem data de atualização)",IF(S590="","",IF(S590&gt;30,"CRÍTICO (Sem Atualização &gt;30 dias)",IF(S590&gt;15,"ATENÇÃO (Sem Atualização &gt;15 dias)",IF(X590&gt;90,"CRÍTICO (Aberto &gt;90 dias)","OK"))))))</f>
        <v/>
      </c>
      <c r="Z590" s="90" t="str">
        <f aca="false">IF(B590="","",IF(OR(O590="27 - Instalação concluída",O590="28 - Encerrado"),"OK",IF(NOT(ISNUMBER(X590)),"",IF(X590&gt;365,"MUITO ANTIGO (&gt;1 ano)",IF(X590&gt;180,"ANTIGO (&gt;6 meses)",IF(X590&gt;90,"ATENÇÃO ANTIG. (&gt;3 meses)","OK"))))))</f>
        <v/>
      </c>
      <c r="AA590" s="91"/>
    </row>
    <row r="591" customFormat="false" ht="16.5" hidden="false" customHeight="true" outlineLevel="0" collapsed="false">
      <c r="A591" s="86"/>
      <c r="B591" s="91"/>
      <c r="C591" s="91" t="str">
        <f aca="false">IF(D591="","",IFERROR(INDEX(CADASTRO_VIVO_3CRE!$B$2:$B$150,MATCH(D591,CADASTRO_VIVO_3CRE!$E$2:$E$150,0)),""))</f>
        <v/>
      </c>
      <c r="D591" s="91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8"/>
      <c r="S591" s="92" t="str">
        <f aca="true">IF(R591="","",TODAY()-INT(R591))</f>
        <v/>
      </c>
      <c r="T591" s="86"/>
      <c r="U591" s="86"/>
      <c r="V591" s="86"/>
      <c r="W591" s="88"/>
      <c r="X591" s="92" t="str">
        <f aca="true">IF(W591="","",IF(OR(O591="28 - Encerrado",O591="27 - Instalação concluída"),"Concluído",TODAY()-INT(W591)))</f>
        <v/>
      </c>
      <c r="Y591" s="91" t="str">
        <f aca="false">IF(OR(O591="28 - Encerrado",O591="27 - Instalação concluída"),"OK",IF(AND(B591&lt;&gt;"",S591=""),"ATENÇÃO (Sem data de atualização)",IF(S591="","",IF(S591&gt;30,"CRÍTICO (Sem Atualização &gt;30 dias)",IF(S591&gt;15,"ATENÇÃO (Sem Atualização &gt;15 dias)",IF(X591&gt;90,"CRÍTICO (Aberto &gt;90 dias)","OK"))))))</f>
        <v/>
      </c>
      <c r="Z591" s="90" t="str">
        <f aca="false">IF(B591="","",IF(OR(O591="27 - Instalação concluída",O591="28 - Encerrado"),"OK",IF(NOT(ISNUMBER(X591)),"",IF(X591&gt;365,"MUITO ANTIGO (&gt;1 ano)",IF(X591&gt;180,"ANTIGO (&gt;6 meses)",IF(X591&gt;90,"ATENÇÃO ANTIG. (&gt;3 meses)","OK"))))))</f>
        <v/>
      </c>
      <c r="AA591" s="91"/>
    </row>
    <row r="592" customFormat="false" ht="16.5" hidden="false" customHeight="true" outlineLevel="0" collapsed="false">
      <c r="A592" s="86"/>
      <c r="B592" s="91"/>
      <c r="C592" s="91" t="str">
        <f aca="false">IF(D592="","",IFERROR(INDEX(CADASTRO_VIVO_3CRE!$B$2:$B$150,MATCH(D592,CADASTRO_VIVO_3CRE!$E$2:$E$150,0)),""))</f>
        <v/>
      </c>
      <c r="D592" s="91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8"/>
      <c r="S592" s="92" t="str">
        <f aca="true">IF(R592="","",TODAY()-INT(R592))</f>
        <v/>
      </c>
      <c r="T592" s="86"/>
      <c r="U592" s="86"/>
      <c r="V592" s="86"/>
      <c r="W592" s="88"/>
      <c r="X592" s="92" t="str">
        <f aca="true">IF(W592="","",IF(OR(O592="28 - Encerrado",O592="27 - Instalação concluída"),"Concluído",TODAY()-INT(W592)))</f>
        <v/>
      </c>
      <c r="Y592" s="91" t="str">
        <f aca="false">IF(OR(O592="28 - Encerrado",O592="27 - Instalação concluída"),"OK",IF(AND(B592&lt;&gt;"",S592=""),"ATENÇÃO (Sem data de atualização)",IF(S592="","",IF(S592&gt;30,"CRÍTICO (Sem Atualização &gt;30 dias)",IF(S592&gt;15,"ATENÇÃO (Sem Atualização &gt;15 dias)",IF(X592&gt;90,"CRÍTICO (Aberto &gt;90 dias)","OK"))))))</f>
        <v/>
      </c>
      <c r="Z592" s="90" t="str">
        <f aca="false">IF(B592="","",IF(OR(O592="27 - Instalação concluída",O592="28 - Encerrado"),"OK",IF(NOT(ISNUMBER(X592)),"",IF(X592&gt;365,"MUITO ANTIGO (&gt;1 ano)",IF(X592&gt;180,"ANTIGO (&gt;6 meses)",IF(X592&gt;90,"ATENÇÃO ANTIG. (&gt;3 meses)","OK"))))))</f>
        <v/>
      </c>
      <c r="AA592" s="91"/>
    </row>
    <row r="593" customFormat="false" ht="16.5" hidden="false" customHeight="true" outlineLevel="0" collapsed="false">
      <c r="A593" s="86"/>
      <c r="B593" s="91"/>
      <c r="C593" s="91" t="str">
        <f aca="false">IF(D593="","",IFERROR(INDEX(CADASTRO_VIVO_3CRE!$B$2:$B$150,MATCH(D593,CADASTRO_VIVO_3CRE!$E$2:$E$150,0)),""))</f>
        <v/>
      </c>
      <c r="D593" s="91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8"/>
      <c r="S593" s="92" t="str">
        <f aca="true">IF(R593="","",TODAY()-INT(R593))</f>
        <v/>
      </c>
      <c r="T593" s="86"/>
      <c r="U593" s="86"/>
      <c r="V593" s="86"/>
      <c r="W593" s="88"/>
      <c r="X593" s="92" t="str">
        <f aca="true">IF(W593="","",IF(OR(O593="28 - Encerrado",O593="27 - Instalação concluída"),"Concluído",TODAY()-INT(W593)))</f>
        <v/>
      </c>
      <c r="Y593" s="91" t="str">
        <f aca="false">IF(OR(O593="28 - Encerrado",O593="27 - Instalação concluída"),"OK",IF(AND(B593&lt;&gt;"",S593=""),"ATENÇÃO (Sem data de atualização)",IF(S593="","",IF(S593&gt;30,"CRÍTICO (Sem Atualização &gt;30 dias)",IF(S593&gt;15,"ATENÇÃO (Sem Atualização &gt;15 dias)",IF(X593&gt;90,"CRÍTICO (Aberto &gt;90 dias)","OK"))))))</f>
        <v/>
      </c>
      <c r="Z593" s="90" t="str">
        <f aca="false">IF(B593="","",IF(OR(O593="27 - Instalação concluída",O593="28 - Encerrado"),"OK",IF(NOT(ISNUMBER(X593)),"",IF(X593&gt;365,"MUITO ANTIGO (&gt;1 ano)",IF(X593&gt;180,"ANTIGO (&gt;6 meses)",IF(X593&gt;90,"ATENÇÃO ANTIG. (&gt;3 meses)","OK"))))))</f>
        <v/>
      </c>
      <c r="AA593" s="91"/>
    </row>
    <row r="594" customFormat="false" ht="16.5" hidden="false" customHeight="true" outlineLevel="0" collapsed="false">
      <c r="A594" s="86"/>
      <c r="B594" s="91"/>
      <c r="C594" s="91" t="str">
        <f aca="false">IF(D594="","",IFERROR(INDEX(CADASTRO_VIVO_3CRE!$B$2:$B$150,MATCH(D594,CADASTRO_VIVO_3CRE!$E$2:$E$150,0)),""))</f>
        <v/>
      </c>
      <c r="D594" s="91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8"/>
      <c r="S594" s="92" t="str">
        <f aca="true">IF(R594="","",TODAY()-INT(R594))</f>
        <v/>
      </c>
      <c r="T594" s="86"/>
      <c r="U594" s="86"/>
      <c r="V594" s="86"/>
      <c r="W594" s="88"/>
      <c r="X594" s="92" t="str">
        <f aca="true">IF(W594="","",IF(OR(O594="28 - Encerrado",O594="27 - Instalação concluída"),"Concluído",TODAY()-INT(W594)))</f>
        <v/>
      </c>
      <c r="Y594" s="91" t="str">
        <f aca="false">IF(OR(O594="28 - Encerrado",O594="27 - Instalação concluída"),"OK",IF(AND(B594&lt;&gt;"",S594=""),"ATENÇÃO (Sem data de atualização)",IF(S594="","",IF(S594&gt;30,"CRÍTICO (Sem Atualização &gt;30 dias)",IF(S594&gt;15,"ATENÇÃO (Sem Atualização &gt;15 dias)",IF(X594&gt;90,"CRÍTICO (Aberto &gt;90 dias)","OK"))))))</f>
        <v/>
      </c>
      <c r="Z594" s="90" t="str">
        <f aca="false">IF(B594="","",IF(OR(O594="27 - Instalação concluída",O594="28 - Encerrado"),"OK",IF(NOT(ISNUMBER(X594)),"",IF(X594&gt;365,"MUITO ANTIGO (&gt;1 ano)",IF(X594&gt;180,"ANTIGO (&gt;6 meses)",IF(X594&gt;90,"ATENÇÃO ANTIG. (&gt;3 meses)","OK"))))))</f>
        <v/>
      </c>
      <c r="AA594" s="91"/>
    </row>
    <row r="595" customFormat="false" ht="16.5" hidden="false" customHeight="true" outlineLevel="0" collapsed="false">
      <c r="A595" s="86"/>
      <c r="B595" s="91"/>
      <c r="C595" s="91" t="str">
        <f aca="false">IF(D595="","",IFERROR(INDEX(CADASTRO_VIVO_3CRE!$B$2:$B$150,MATCH(D595,CADASTRO_VIVO_3CRE!$E$2:$E$150,0)),""))</f>
        <v/>
      </c>
      <c r="D595" s="91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8"/>
      <c r="S595" s="92" t="str">
        <f aca="true">IF(R595="","",TODAY()-INT(R595))</f>
        <v/>
      </c>
      <c r="T595" s="86"/>
      <c r="U595" s="86"/>
      <c r="V595" s="86"/>
      <c r="W595" s="88"/>
      <c r="X595" s="92" t="str">
        <f aca="true">IF(W595="","",IF(OR(O595="28 - Encerrado",O595="27 - Instalação concluída"),"Concluído",TODAY()-INT(W595)))</f>
        <v/>
      </c>
      <c r="Y595" s="91" t="str">
        <f aca="false">IF(OR(O595="28 - Encerrado",O595="27 - Instalação concluída"),"OK",IF(AND(B595&lt;&gt;"",S595=""),"ATENÇÃO (Sem data de atualização)",IF(S595="","",IF(S595&gt;30,"CRÍTICO (Sem Atualização &gt;30 dias)",IF(S595&gt;15,"ATENÇÃO (Sem Atualização &gt;15 dias)",IF(X595&gt;90,"CRÍTICO (Aberto &gt;90 dias)","OK"))))))</f>
        <v/>
      </c>
      <c r="Z595" s="90" t="str">
        <f aca="false">IF(B595="","",IF(OR(O595="27 - Instalação concluída",O595="28 - Encerrado"),"OK",IF(NOT(ISNUMBER(X595)),"",IF(X595&gt;365,"MUITO ANTIGO (&gt;1 ano)",IF(X595&gt;180,"ANTIGO (&gt;6 meses)",IF(X595&gt;90,"ATENÇÃO ANTIG. (&gt;3 meses)","OK"))))))</f>
        <v/>
      </c>
      <c r="AA595" s="91"/>
    </row>
    <row r="596" customFormat="false" ht="16.5" hidden="false" customHeight="true" outlineLevel="0" collapsed="false">
      <c r="A596" s="86"/>
      <c r="B596" s="91"/>
      <c r="C596" s="91" t="str">
        <f aca="false">IF(D596="","",IFERROR(INDEX(CADASTRO_VIVO_3CRE!$B$2:$B$150,MATCH(D596,CADASTRO_VIVO_3CRE!$E$2:$E$150,0)),""))</f>
        <v/>
      </c>
      <c r="D596" s="91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8"/>
      <c r="S596" s="92" t="str">
        <f aca="true">IF(R596="","",TODAY()-INT(R596))</f>
        <v/>
      </c>
      <c r="T596" s="86"/>
      <c r="U596" s="86"/>
      <c r="V596" s="86"/>
      <c r="W596" s="88"/>
      <c r="X596" s="92" t="str">
        <f aca="true">IF(W596="","",IF(OR(O596="28 - Encerrado",O596="27 - Instalação concluída"),"Concluído",TODAY()-INT(W596)))</f>
        <v/>
      </c>
      <c r="Y596" s="91" t="str">
        <f aca="false">IF(OR(O596="28 - Encerrado",O596="27 - Instalação concluída"),"OK",IF(AND(B596&lt;&gt;"",S596=""),"ATENÇÃO (Sem data de atualização)",IF(S596="","",IF(S596&gt;30,"CRÍTICO (Sem Atualização &gt;30 dias)",IF(S596&gt;15,"ATENÇÃO (Sem Atualização &gt;15 dias)",IF(X596&gt;90,"CRÍTICO (Aberto &gt;90 dias)","OK"))))))</f>
        <v/>
      </c>
      <c r="Z596" s="90" t="str">
        <f aca="false">IF(B596="","",IF(OR(O596="27 - Instalação concluída",O596="28 - Encerrado"),"OK",IF(NOT(ISNUMBER(X596)),"",IF(X596&gt;365,"MUITO ANTIGO (&gt;1 ano)",IF(X596&gt;180,"ANTIGO (&gt;6 meses)",IF(X596&gt;90,"ATENÇÃO ANTIG. (&gt;3 meses)","OK"))))))</f>
        <v/>
      </c>
      <c r="AA596" s="91"/>
    </row>
    <row r="597" customFormat="false" ht="16.5" hidden="false" customHeight="true" outlineLevel="0" collapsed="false">
      <c r="A597" s="86"/>
      <c r="B597" s="91"/>
      <c r="C597" s="91" t="str">
        <f aca="false">IF(D597="","",IFERROR(INDEX(CADASTRO_VIVO_3CRE!$B$2:$B$150,MATCH(D597,CADASTRO_VIVO_3CRE!$E$2:$E$150,0)),""))</f>
        <v/>
      </c>
      <c r="D597" s="91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8"/>
      <c r="S597" s="92" t="str">
        <f aca="true">IF(R597="","",TODAY()-INT(R597))</f>
        <v/>
      </c>
      <c r="T597" s="86"/>
      <c r="U597" s="86"/>
      <c r="V597" s="86"/>
      <c r="W597" s="88"/>
      <c r="X597" s="92" t="str">
        <f aca="true">IF(W597="","",IF(OR(O597="28 - Encerrado",O597="27 - Instalação concluída"),"Concluído",TODAY()-INT(W597)))</f>
        <v/>
      </c>
      <c r="Y597" s="91" t="str">
        <f aca="false">IF(OR(O597="28 - Encerrado",O597="27 - Instalação concluída"),"OK",IF(AND(B597&lt;&gt;"",S597=""),"ATENÇÃO (Sem data de atualização)",IF(S597="","",IF(S597&gt;30,"CRÍTICO (Sem Atualização &gt;30 dias)",IF(S597&gt;15,"ATENÇÃO (Sem Atualização &gt;15 dias)",IF(X597&gt;90,"CRÍTICO (Aberto &gt;90 dias)","OK"))))))</f>
        <v/>
      </c>
      <c r="Z597" s="90" t="str">
        <f aca="false">IF(B597="","",IF(OR(O597="27 - Instalação concluída",O597="28 - Encerrado"),"OK",IF(NOT(ISNUMBER(X597)),"",IF(X597&gt;365,"MUITO ANTIGO (&gt;1 ano)",IF(X597&gt;180,"ANTIGO (&gt;6 meses)",IF(X597&gt;90,"ATENÇÃO ANTIG. (&gt;3 meses)","OK"))))))</f>
        <v/>
      </c>
      <c r="AA597" s="91"/>
    </row>
    <row r="598" customFormat="false" ht="16.5" hidden="false" customHeight="true" outlineLevel="0" collapsed="false">
      <c r="A598" s="86"/>
      <c r="B598" s="91"/>
      <c r="C598" s="91" t="str">
        <f aca="false">IF(D598="","",IFERROR(INDEX(CADASTRO_VIVO_3CRE!$B$2:$B$150,MATCH(D598,CADASTRO_VIVO_3CRE!$E$2:$E$150,0)),""))</f>
        <v/>
      </c>
      <c r="D598" s="91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8"/>
      <c r="S598" s="92" t="str">
        <f aca="true">IF(R598="","",TODAY()-INT(R598))</f>
        <v/>
      </c>
      <c r="T598" s="86"/>
      <c r="U598" s="86"/>
      <c r="V598" s="86"/>
      <c r="W598" s="88"/>
      <c r="X598" s="92" t="str">
        <f aca="true">IF(W598="","",IF(OR(O598="28 - Encerrado",O598="27 - Instalação concluída"),"Concluído",TODAY()-INT(W598)))</f>
        <v/>
      </c>
      <c r="Y598" s="91" t="str">
        <f aca="false">IF(OR(O598="28 - Encerrado",O598="27 - Instalação concluída"),"OK",IF(AND(B598&lt;&gt;"",S598=""),"ATENÇÃO (Sem data de atualização)",IF(S598="","",IF(S598&gt;30,"CRÍTICO (Sem Atualização &gt;30 dias)",IF(S598&gt;15,"ATENÇÃO (Sem Atualização &gt;15 dias)",IF(X598&gt;90,"CRÍTICO (Aberto &gt;90 dias)","OK"))))))</f>
        <v/>
      </c>
      <c r="Z598" s="90" t="str">
        <f aca="false">IF(B598="","",IF(OR(O598="27 - Instalação concluída",O598="28 - Encerrado"),"OK",IF(NOT(ISNUMBER(X598)),"",IF(X598&gt;365,"MUITO ANTIGO (&gt;1 ano)",IF(X598&gt;180,"ANTIGO (&gt;6 meses)",IF(X598&gt;90,"ATENÇÃO ANTIG. (&gt;3 meses)","OK"))))))</f>
        <v/>
      </c>
      <c r="AA598" s="91"/>
    </row>
    <row r="599" customFormat="false" ht="16.5" hidden="false" customHeight="true" outlineLevel="0" collapsed="false">
      <c r="A599" s="86"/>
      <c r="B599" s="91"/>
      <c r="C599" s="91" t="str">
        <f aca="false">IF(D599="","",IFERROR(INDEX(CADASTRO_VIVO_3CRE!$B$2:$B$150,MATCH(D599,CADASTRO_VIVO_3CRE!$E$2:$E$150,0)),""))</f>
        <v/>
      </c>
      <c r="D599" s="91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8"/>
      <c r="S599" s="92" t="str">
        <f aca="true">IF(R599="","",TODAY()-INT(R599))</f>
        <v/>
      </c>
      <c r="T599" s="86"/>
      <c r="U599" s="86"/>
      <c r="V599" s="86"/>
      <c r="W599" s="88"/>
      <c r="X599" s="92" t="str">
        <f aca="true">IF(W599="","",IF(OR(O599="28 - Encerrado",O599="27 - Instalação concluída"),"Concluído",TODAY()-INT(W599)))</f>
        <v/>
      </c>
      <c r="Y599" s="91" t="str">
        <f aca="false">IF(OR(O599="28 - Encerrado",O599="27 - Instalação concluída"),"OK",IF(AND(B599&lt;&gt;"",S599=""),"ATENÇÃO (Sem data de atualização)",IF(S599="","",IF(S599&gt;30,"CRÍTICO (Sem Atualização &gt;30 dias)",IF(S599&gt;15,"ATENÇÃO (Sem Atualização &gt;15 dias)",IF(X599&gt;90,"CRÍTICO (Aberto &gt;90 dias)","OK"))))))</f>
        <v/>
      </c>
      <c r="Z599" s="90" t="str">
        <f aca="false">IF(B599="","",IF(OR(O599="27 - Instalação concluída",O599="28 - Encerrado"),"OK",IF(NOT(ISNUMBER(X599)),"",IF(X599&gt;365,"MUITO ANTIGO (&gt;1 ano)",IF(X599&gt;180,"ANTIGO (&gt;6 meses)",IF(X599&gt;90,"ATENÇÃO ANTIG. (&gt;3 meses)","OK"))))))</f>
        <v/>
      </c>
      <c r="AA599" s="91"/>
    </row>
    <row r="600" customFormat="false" ht="16.5" hidden="false" customHeight="true" outlineLevel="0" collapsed="false">
      <c r="A600" s="86"/>
      <c r="B600" s="91"/>
      <c r="C600" s="91" t="str">
        <f aca="false">IF(D600="","",IFERROR(INDEX(CADASTRO_VIVO_3CRE!$B$2:$B$150,MATCH(D600,CADASTRO_VIVO_3CRE!$E$2:$E$150,0)),""))</f>
        <v/>
      </c>
      <c r="D600" s="91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8"/>
      <c r="S600" s="92" t="str">
        <f aca="true">IF(R600="","",TODAY()-INT(R600))</f>
        <v/>
      </c>
      <c r="T600" s="86"/>
      <c r="U600" s="86"/>
      <c r="V600" s="86"/>
      <c r="W600" s="88"/>
      <c r="X600" s="92" t="str">
        <f aca="true">IF(W600="","",IF(OR(O600="28 - Encerrado",O600="27 - Instalação concluída"),"Concluído",TODAY()-INT(W600)))</f>
        <v/>
      </c>
      <c r="Y600" s="91" t="str">
        <f aca="false">IF(OR(O600="28 - Encerrado",O600="27 - Instalação concluída"),"OK",IF(AND(B600&lt;&gt;"",S600=""),"ATENÇÃO (Sem data de atualização)",IF(S600="","",IF(S600&gt;30,"CRÍTICO (Sem Atualização &gt;30 dias)",IF(S600&gt;15,"ATENÇÃO (Sem Atualização &gt;15 dias)",IF(X600&gt;90,"CRÍTICO (Aberto &gt;90 dias)","OK"))))))</f>
        <v/>
      </c>
      <c r="Z600" s="90" t="str">
        <f aca="false">IF(B600="","",IF(OR(O600="27 - Instalação concluída",O600="28 - Encerrado"),"OK",IF(NOT(ISNUMBER(X600)),"",IF(X600&gt;365,"MUITO ANTIGO (&gt;1 ano)",IF(X600&gt;180,"ANTIGO (&gt;6 meses)",IF(X600&gt;90,"ATENÇÃO ANTIG. (&gt;3 meses)","OK"))))))</f>
        <v/>
      </c>
      <c r="AA600" s="91"/>
    </row>
    <row r="601" customFormat="false" ht="16.5" hidden="false" customHeight="true" outlineLevel="0" collapsed="false">
      <c r="A601" s="86"/>
      <c r="B601" s="91"/>
      <c r="C601" s="91" t="str">
        <f aca="false">IF(D601="","",IFERROR(INDEX(CADASTRO_VIVO_3CRE!$B$2:$B$150,MATCH(D601,CADASTRO_VIVO_3CRE!$E$2:$E$150,0)),""))</f>
        <v/>
      </c>
      <c r="D601" s="91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8"/>
      <c r="S601" s="92" t="str">
        <f aca="true">IF(R601="","",TODAY()-INT(R601))</f>
        <v/>
      </c>
      <c r="T601" s="86"/>
      <c r="U601" s="86"/>
      <c r="V601" s="86"/>
      <c r="W601" s="88"/>
      <c r="X601" s="92" t="str">
        <f aca="true">IF(W601="","",IF(OR(O601="28 - Encerrado",O601="27 - Instalação concluída"),"Concluído",TODAY()-INT(W601)))</f>
        <v/>
      </c>
      <c r="Y601" s="91" t="str">
        <f aca="false">IF(OR(O601="28 - Encerrado",O601="27 - Instalação concluída"),"OK",IF(AND(B601&lt;&gt;"",S601=""),"ATENÇÃO (Sem data de atualização)",IF(S601="","",IF(S601&gt;30,"CRÍTICO (Sem Atualização &gt;30 dias)",IF(S601&gt;15,"ATENÇÃO (Sem Atualização &gt;15 dias)",IF(X601&gt;90,"CRÍTICO (Aberto &gt;90 dias)","OK"))))))</f>
        <v/>
      </c>
      <c r="Z601" s="90" t="str">
        <f aca="false">IF(B601="","",IF(OR(O601="27 - Instalação concluída",O601="28 - Encerrado"),"OK",IF(NOT(ISNUMBER(X601)),"",IF(X601&gt;365,"MUITO ANTIGO (&gt;1 ano)",IF(X601&gt;180,"ANTIGO (&gt;6 meses)",IF(X601&gt;90,"ATENÇÃO ANTIG. (&gt;3 meses)","OK"))))))</f>
        <v/>
      </c>
      <c r="AA601" s="91"/>
    </row>
    <row r="602" customFormat="false" ht="16.5" hidden="false" customHeight="true" outlineLevel="0" collapsed="false">
      <c r="A602" s="86"/>
      <c r="B602" s="91"/>
      <c r="C602" s="91" t="str">
        <f aca="false">IF(D602="","",IFERROR(INDEX(CADASTRO_VIVO_3CRE!$B$2:$B$150,MATCH(D602,CADASTRO_VIVO_3CRE!$E$2:$E$150,0)),""))</f>
        <v/>
      </c>
      <c r="D602" s="91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8"/>
      <c r="S602" s="92" t="str">
        <f aca="true">IF(R602="","",TODAY()-INT(R602))</f>
        <v/>
      </c>
      <c r="T602" s="86"/>
      <c r="U602" s="86"/>
      <c r="V602" s="86"/>
      <c r="W602" s="88"/>
      <c r="X602" s="92" t="str">
        <f aca="true">IF(W602="","",IF(OR(O602="28 - Encerrado",O602="27 - Instalação concluída"),"Concluído",TODAY()-INT(W602)))</f>
        <v/>
      </c>
      <c r="Y602" s="91" t="str">
        <f aca="false">IF(OR(O602="28 - Encerrado",O602="27 - Instalação concluída"),"OK",IF(AND(B602&lt;&gt;"",S602=""),"ATENÇÃO (Sem data de atualização)",IF(S602="","",IF(S602&gt;30,"CRÍTICO (Sem Atualização &gt;30 dias)",IF(S602&gt;15,"ATENÇÃO (Sem Atualização &gt;15 dias)",IF(X602&gt;90,"CRÍTICO (Aberto &gt;90 dias)","OK"))))))</f>
        <v/>
      </c>
      <c r="Z602" s="90" t="str">
        <f aca="false">IF(B602="","",IF(OR(O602="27 - Instalação concluída",O602="28 - Encerrado"),"OK",IF(NOT(ISNUMBER(X602)),"",IF(X602&gt;365,"MUITO ANTIGO (&gt;1 ano)",IF(X602&gt;180,"ANTIGO (&gt;6 meses)",IF(X602&gt;90,"ATENÇÃO ANTIG. (&gt;3 meses)","OK"))))))</f>
        <v/>
      </c>
      <c r="AA602" s="91"/>
    </row>
    <row r="603" customFormat="false" ht="16.5" hidden="false" customHeight="true" outlineLevel="0" collapsed="false">
      <c r="A603" s="86"/>
      <c r="B603" s="91"/>
      <c r="C603" s="91" t="str">
        <f aca="false">IF(D603="","",IFERROR(INDEX(CADASTRO_VIVO_3CRE!$B$2:$B$150,MATCH(D603,CADASTRO_VIVO_3CRE!$E$2:$E$150,0)),""))</f>
        <v/>
      </c>
      <c r="D603" s="91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8"/>
      <c r="S603" s="92" t="str">
        <f aca="true">IF(R603="","",TODAY()-INT(R603))</f>
        <v/>
      </c>
      <c r="T603" s="86"/>
      <c r="U603" s="86"/>
      <c r="V603" s="86"/>
      <c r="W603" s="88"/>
      <c r="X603" s="92" t="str">
        <f aca="true">IF(W603="","",IF(OR(O603="28 - Encerrado",O603="27 - Instalação concluída"),"Concluído",TODAY()-INT(W603)))</f>
        <v/>
      </c>
      <c r="Y603" s="91" t="str">
        <f aca="false">IF(OR(O603="28 - Encerrado",O603="27 - Instalação concluída"),"OK",IF(AND(B603&lt;&gt;"",S603=""),"ATENÇÃO (Sem data de atualização)",IF(S603="","",IF(S603&gt;30,"CRÍTICO (Sem Atualização &gt;30 dias)",IF(S603&gt;15,"ATENÇÃO (Sem Atualização &gt;15 dias)",IF(X603&gt;90,"CRÍTICO (Aberto &gt;90 dias)","OK"))))))</f>
        <v/>
      </c>
      <c r="Z603" s="90" t="str">
        <f aca="false">IF(B603="","",IF(OR(O603="27 - Instalação concluída",O603="28 - Encerrado"),"OK",IF(NOT(ISNUMBER(X603)),"",IF(X603&gt;365,"MUITO ANTIGO (&gt;1 ano)",IF(X603&gt;180,"ANTIGO (&gt;6 meses)",IF(X603&gt;90,"ATENÇÃO ANTIG. (&gt;3 meses)","OK"))))))</f>
        <v/>
      </c>
      <c r="AA603" s="91"/>
    </row>
    <row r="604" customFormat="false" ht="16.5" hidden="false" customHeight="true" outlineLevel="0" collapsed="false">
      <c r="A604" s="86"/>
      <c r="B604" s="91"/>
      <c r="C604" s="91" t="str">
        <f aca="false">IF(D604="","",IFERROR(INDEX(CADASTRO_VIVO_3CRE!$B$2:$B$150,MATCH(D604,CADASTRO_VIVO_3CRE!$E$2:$E$150,0)),""))</f>
        <v/>
      </c>
      <c r="D604" s="91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8"/>
      <c r="S604" s="92" t="str">
        <f aca="true">IF(R604="","",TODAY()-INT(R604))</f>
        <v/>
      </c>
      <c r="T604" s="86"/>
      <c r="U604" s="86"/>
      <c r="V604" s="86"/>
      <c r="W604" s="88"/>
      <c r="X604" s="92" t="str">
        <f aca="true">IF(W604="","",IF(OR(O604="28 - Encerrado",O604="27 - Instalação concluída"),"Concluído",TODAY()-INT(W604)))</f>
        <v/>
      </c>
      <c r="Y604" s="91" t="str">
        <f aca="false">IF(OR(O604="28 - Encerrado",O604="27 - Instalação concluída"),"OK",IF(AND(B604&lt;&gt;"",S604=""),"ATENÇÃO (Sem data de atualização)",IF(S604="","",IF(S604&gt;30,"CRÍTICO (Sem Atualização &gt;30 dias)",IF(S604&gt;15,"ATENÇÃO (Sem Atualização &gt;15 dias)",IF(X604&gt;90,"CRÍTICO (Aberto &gt;90 dias)","OK"))))))</f>
        <v/>
      </c>
      <c r="Z604" s="90" t="str">
        <f aca="false">IF(B604="","",IF(OR(O604="27 - Instalação concluída",O604="28 - Encerrado"),"OK",IF(NOT(ISNUMBER(X604)),"",IF(X604&gt;365,"MUITO ANTIGO (&gt;1 ano)",IF(X604&gt;180,"ANTIGO (&gt;6 meses)",IF(X604&gt;90,"ATENÇÃO ANTIG. (&gt;3 meses)","OK"))))))</f>
        <v/>
      </c>
      <c r="AA604" s="91"/>
    </row>
    <row r="605" customFormat="false" ht="16.5" hidden="false" customHeight="true" outlineLevel="0" collapsed="false">
      <c r="A605" s="86"/>
      <c r="B605" s="91"/>
      <c r="C605" s="91" t="str">
        <f aca="false">IF(D605="","",IFERROR(INDEX(CADASTRO_VIVO_3CRE!$B$2:$B$150,MATCH(D605,CADASTRO_VIVO_3CRE!$E$2:$E$150,0)),""))</f>
        <v/>
      </c>
      <c r="D605" s="91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8"/>
      <c r="S605" s="92" t="str">
        <f aca="true">IF(R605="","",TODAY()-INT(R605))</f>
        <v/>
      </c>
      <c r="T605" s="86"/>
      <c r="U605" s="86"/>
      <c r="V605" s="86"/>
      <c r="W605" s="88"/>
      <c r="X605" s="92" t="str">
        <f aca="true">IF(W605="","",IF(OR(O605="28 - Encerrado",O605="27 - Instalação concluída"),"Concluído",TODAY()-INT(W605)))</f>
        <v/>
      </c>
      <c r="Y605" s="91" t="str">
        <f aca="false">IF(OR(O605="28 - Encerrado",O605="27 - Instalação concluída"),"OK",IF(AND(B605&lt;&gt;"",S605=""),"ATENÇÃO (Sem data de atualização)",IF(S605="","",IF(S605&gt;30,"CRÍTICO (Sem Atualização &gt;30 dias)",IF(S605&gt;15,"ATENÇÃO (Sem Atualização &gt;15 dias)",IF(X605&gt;90,"CRÍTICO (Aberto &gt;90 dias)","OK"))))))</f>
        <v/>
      </c>
      <c r="Z605" s="90" t="str">
        <f aca="false">IF(B605="","",IF(OR(O605="27 - Instalação concluída",O605="28 - Encerrado"),"OK",IF(NOT(ISNUMBER(X605)),"",IF(X605&gt;365,"MUITO ANTIGO (&gt;1 ano)",IF(X605&gt;180,"ANTIGO (&gt;6 meses)",IF(X605&gt;90,"ATENÇÃO ANTIG. (&gt;3 meses)","OK"))))))</f>
        <v/>
      </c>
      <c r="AA605" s="91"/>
    </row>
    <row r="606" customFormat="false" ht="16.5" hidden="false" customHeight="true" outlineLevel="0" collapsed="false">
      <c r="A606" s="86"/>
      <c r="B606" s="91"/>
      <c r="C606" s="91" t="str">
        <f aca="false">IF(D606="","",IFERROR(INDEX(CADASTRO_VIVO_3CRE!$B$2:$B$150,MATCH(D606,CADASTRO_VIVO_3CRE!$E$2:$E$150,0)),""))</f>
        <v/>
      </c>
      <c r="D606" s="91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8"/>
      <c r="S606" s="92" t="str">
        <f aca="true">IF(R606="","",TODAY()-INT(R606))</f>
        <v/>
      </c>
      <c r="T606" s="86"/>
      <c r="U606" s="86"/>
      <c r="V606" s="86"/>
      <c r="W606" s="88"/>
      <c r="X606" s="92" t="str">
        <f aca="true">IF(W606="","",IF(OR(O606="28 - Encerrado",O606="27 - Instalação concluída"),"Concluído",TODAY()-INT(W606)))</f>
        <v/>
      </c>
      <c r="Y606" s="91" t="str">
        <f aca="false">IF(OR(O606="28 - Encerrado",O606="27 - Instalação concluída"),"OK",IF(AND(B606&lt;&gt;"",S606=""),"ATENÇÃO (Sem data de atualização)",IF(S606="","",IF(S606&gt;30,"CRÍTICO (Sem Atualização &gt;30 dias)",IF(S606&gt;15,"ATENÇÃO (Sem Atualização &gt;15 dias)",IF(X606&gt;90,"CRÍTICO (Aberto &gt;90 dias)","OK"))))))</f>
        <v/>
      </c>
      <c r="Z606" s="90" t="str">
        <f aca="false">IF(B606="","",IF(OR(O606="27 - Instalação concluída",O606="28 - Encerrado"),"OK",IF(NOT(ISNUMBER(X606)),"",IF(X606&gt;365,"MUITO ANTIGO (&gt;1 ano)",IF(X606&gt;180,"ANTIGO (&gt;6 meses)",IF(X606&gt;90,"ATENÇÃO ANTIG. (&gt;3 meses)","OK"))))))</f>
        <v/>
      </c>
      <c r="AA606" s="91"/>
    </row>
    <row r="607" customFormat="false" ht="16.5" hidden="false" customHeight="true" outlineLevel="0" collapsed="false">
      <c r="A607" s="86"/>
      <c r="B607" s="91"/>
      <c r="C607" s="91" t="str">
        <f aca="false">IF(D607="","",IFERROR(INDEX(CADASTRO_VIVO_3CRE!$B$2:$B$150,MATCH(D607,CADASTRO_VIVO_3CRE!$E$2:$E$150,0)),""))</f>
        <v/>
      </c>
      <c r="D607" s="91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8"/>
      <c r="S607" s="92" t="str">
        <f aca="true">IF(R607="","",TODAY()-INT(R607))</f>
        <v/>
      </c>
      <c r="T607" s="86"/>
      <c r="U607" s="86"/>
      <c r="V607" s="86"/>
      <c r="W607" s="88"/>
      <c r="X607" s="92" t="str">
        <f aca="true">IF(W607="","",IF(OR(O607="28 - Encerrado",O607="27 - Instalação concluída"),"Concluído",TODAY()-INT(W607)))</f>
        <v/>
      </c>
      <c r="Y607" s="91" t="str">
        <f aca="false">IF(OR(O607="28 - Encerrado",O607="27 - Instalação concluída"),"OK",IF(AND(B607&lt;&gt;"",S607=""),"ATENÇÃO (Sem data de atualização)",IF(S607="","",IF(S607&gt;30,"CRÍTICO (Sem Atualização &gt;30 dias)",IF(S607&gt;15,"ATENÇÃO (Sem Atualização &gt;15 dias)",IF(X607&gt;90,"CRÍTICO (Aberto &gt;90 dias)","OK"))))))</f>
        <v/>
      </c>
      <c r="Z607" s="90" t="str">
        <f aca="false">IF(B607="","",IF(OR(O607="27 - Instalação concluída",O607="28 - Encerrado"),"OK",IF(NOT(ISNUMBER(X607)),"",IF(X607&gt;365,"MUITO ANTIGO (&gt;1 ano)",IF(X607&gt;180,"ANTIGO (&gt;6 meses)",IF(X607&gt;90,"ATENÇÃO ANTIG. (&gt;3 meses)","OK"))))))</f>
        <v/>
      </c>
      <c r="AA607" s="91"/>
    </row>
    <row r="608" customFormat="false" ht="16.5" hidden="false" customHeight="true" outlineLevel="0" collapsed="false">
      <c r="A608" s="86"/>
      <c r="B608" s="91"/>
      <c r="C608" s="91" t="str">
        <f aca="false">IF(D608="","",IFERROR(INDEX(CADASTRO_VIVO_3CRE!$B$2:$B$150,MATCH(D608,CADASTRO_VIVO_3CRE!$E$2:$E$150,0)),""))</f>
        <v/>
      </c>
      <c r="D608" s="91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8"/>
      <c r="S608" s="92" t="str">
        <f aca="true">IF(R608="","",TODAY()-INT(R608))</f>
        <v/>
      </c>
      <c r="T608" s="86"/>
      <c r="U608" s="86"/>
      <c r="V608" s="86"/>
      <c r="W608" s="88"/>
      <c r="X608" s="92" t="str">
        <f aca="true">IF(W608="","",IF(OR(O608="28 - Encerrado",O608="27 - Instalação concluída"),"Concluído",TODAY()-INT(W608)))</f>
        <v/>
      </c>
      <c r="Y608" s="91" t="str">
        <f aca="false">IF(OR(O608="28 - Encerrado",O608="27 - Instalação concluída"),"OK",IF(AND(B608&lt;&gt;"",S608=""),"ATENÇÃO (Sem data de atualização)",IF(S608="","",IF(S608&gt;30,"CRÍTICO (Sem Atualização &gt;30 dias)",IF(S608&gt;15,"ATENÇÃO (Sem Atualização &gt;15 dias)",IF(X608&gt;90,"CRÍTICO (Aberto &gt;90 dias)","OK"))))))</f>
        <v/>
      </c>
      <c r="Z608" s="90" t="str">
        <f aca="false">IF(B608="","",IF(OR(O608="27 - Instalação concluída",O608="28 - Encerrado"),"OK",IF(NOT(ISNUMBER(X608)),"",IF(X608&gt;365,"MUITO ANTIGO (&gt;1 ano)",IF(X608&gt;180,"ANTIGO (&gt;6 meses)",IF(X608&gt;90,"ATENÇÃO ANTIG. (&gt;3 meses)","OK"))))))</f>
        <v/>
      </c>
      <c r="AA608" s="91"/>
    </row>
    <row r="609" customFormat="false" ht="16.5" hidden="false" customHeight="true" outlineLevel="0" collapsed="false">
      <c r="A609" s="86"/>
      <c r="B609" s="91"/>
      <c r="C609" s="91" t="str">
        <f aca="false">IF(D609="","",IFERROR(INDEX(CADASTRO_VIVO_3CRE!$B$2:$B$150,MATCH(D609,CADASTRO_VIVO_3CRE!$E$2:$E$150,0)),""))</f>
        <v/>
      </c>
      <c r="D609" s="91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8"/>
      <c r="S609" s="92" t="str">
        <f aca="true">IF(R609="","",TODAY()-INT(R609))</f>
        <v/>
      </c>
      <c r="T609" s="86"/>
      <c r="U609" s="86"/>
      <c r="V609" s="86"/>
      <c r="W609" s="88"/>
      <c r="X609" s="92" t="str">
        <f aca="true">IF(W609="","",IF(OR(O609="28 - Encerrado",O609="27 - Instalação concluída"),"Concluído",TODAY()-INT(W609)))</f>
        <v/>
      </c>
      <c r="Y609" s="91" t="str">
        <f aca="false">IF(OR(O609="28 - Encerrado",O609="27 - Instalação concluída"),"OK",IF(AND(B609&lt;&gt;"",S609=""),"ATENÇÃO (Sem data de atualização)",IF(S609="","",IF(S609&gt;30,"CRÍTICO (Sem Atualização &gt;30 dias)",IF(S609&gt;15,"ATENÇÃO (Sem Atualização &gt;15 dias)",IF(X609&gt;90,"CRÍTICO (Aberto &gt;90 dias)","OK"))))))</f>
        <v/>
      </c>
      <c r="Z609" s="90" t="str">
        <f aca="false">IF(B609="","",IF(OR(O609="27 - Instalação concluída",O609="28 - Encerrado"),"OK",IF(NOT(ISNUMBER(X609)),"",IF(X609&gt;365,"MUITO ANTIGO (&gt;1 ano)",IF(X609&gt;180,"ANTIGO (&gt;6 meses)",IF(X609&gt;90,"ATENÇÃO ANTIG. (&gt;3 meses)","OK"))))))</f>
        <v/>
      </c>
      <c r="AA609" s="91"/>
    </row>
    <row r="610" customFormat="false" ht="16.5" hidden="false" customHeight="true" outlineLevel="0" collapsed="false">
      <c r="A610" s="86"/>
      <c r="B610" s="91"/>
      <c r="C610" s="91" t="str">
        <f aca="false">IF(D610="","",IFERROR(INDEX(CADASTRO_VIVO_3CRE!$B$2:$B$150,MATCH(D610,CADASTRO_VIVO_3CRE!$E$2:$E$150,0)),""))</f>
        <v/>
      </c>
      <c r="D610" s="91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8"/>
      <c r="S610" s="92" t="str">
        <f aca="true">IF(R610="","",TODAY()-INT(R610))</f>
        <v/>
      </c>
      <c r="T610" s="86"/>
      <c r="U610" s="86"/>
      <c r="V610" s="86"/>
      <c r="W610" s="88"/>
      <c r="X610" s="92" t="str">
        <f aca="true">IF(W610="","",IF(OR(O610="28 - Encerrado",O610="27 - Instalação concluída"),"Concluído",TODAY()-INT(W610)))</f>
        <v/>
      </c>
      <c r="Y610" s="91" t="str">
        <f aca="false">IF(OR(O610="28 - Encerrado",O610="27 - Instalação concluída"),"OK",IF(AND(B610&lt;&gt;"",S610=""),"ATENÇÃO (Sem data de atualização)",IF(S610="","",IF(S610&gt;30,"CRÍTICO (Sem Atualização &gt;30 dias)",IF(S610&gt;15,"ATENÇÃO (Sem Atualização &gt;15 dias)",IF(X610&gt;90,"CRÍTICO (Aberto &gt;90 dias)","OK"))))))</f>
        <v/>
      </c>
      <c r="Z610" s="90" t="str">
        <f aca="false">IF(B610="","",IF(OR(O610="27 - Instalação concluída",O610="28 - Encerrado"),"OK",IF(NOT(ISNUMBER(X610)),"",IF(X610&gt;365,"MUITO ANTIGO (&gt;1 ano)",IF(X610&gt;180,"ANTIGO (&gt;6 meses)",IF(X610&gt;90,"ATENÇÃO ANTIG. (&gt;3 meses)","OK"))))))</f>
        <v/>
      </c>
      <c r="AA610" s="91"/>
    </row>
    <row r="611" customFormat="false" ht="16.5" hidden="false" customHeight="true" outlineLevel="0" collapsed="false">
      <c r="A611" s="86"/>
      <c r="B611" s="91"/>
      <c r="C611" s="91" t="str">
        <f aca="false">IF(D611="","",IFERROR(INDEX(CADASTRO_VIVO_3CRE!$B$2:$B$150,MATCH(D611,CADASTRO_VIVO_3CRE!$E$2:$E$150,0)),""))</f>
        <v/>
      </c>
      <c r="D611" s="91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8"/>
      <c r="S611" s="92" t="str">
        <f aca="true">IF(R611="","",TODAY()-INT(R611))</f>
        <v/>
      </c>
      <c r="T611" s="86"/>
      <c r="U611" s="86"/>
      <c r="V611" s="86"/>
      <c r="W611" s="88"/>
      <c r="X611" s="92" t="str">
        <f aca="true">IF(W611="","",IF(OR(O611="28 - Encerrado",O611="27 - Instalação concluída"),"Concluído",TODAY()-INT(W611)))</f>
        <v/>
      </c>
      <c r="Y611" s="91" t="str">
        <f aca="false">IF(OR(O611="28 - Encerrado",O611="27 - Instalação concluída"),"OK",IF(AND(B611&lt;&gt;"",S611=""),"ATENÇÃO (Sem data de atualização)",IF(S611="","",IF(S611&gt;30,"CRÍTICO (Sem Atualização &gt;30 dias)",IF(S611&gt;15,"ATENÇÃO (Sem Atualização &gt;15 dias)",IF(X611&gt;90,"CRÍTICO (Aberto &gt;90 dias)","OK"))))))</f>
        <v/>
      </c>
      <c r="Z611" s="90" t="str">
        <f aca="false">IF(B611="","",IF(OR(O611="27 - Instalação concluída",O611="28 - Encerrado"),"OK",IF(NOT(ISNUMBER(X611)),"",IF(X611&gt;365,"MUITO ANTIGO (&gt;1 ano)",IF(X611&gt;180,"ANTIGO (&gt;6 meses)",IF(X611&gt;90,"ATENÇÃO ANTIG. (&gt;3 meses)","OK"))))))</f>
        <v/>
      </c>
      <c r="AA611" s="91"/>
    </row>
    <row r="612" customFormat="false" ht="16.5" hidden="false" customHeight="true" outlineLevel="0" collapsed="false">
      <c r="A612" s="86"/>
      <c r="B612" s="91"/>
      <c r="C612" s="91" t="str">
        <f aca="false">IF(D612="","",IFERROR(INDEX(CADASTRO_VIVO_3CRE!$B$2:$B$150,MATCH(D612,CADASTRO_VIVO_3CRE!$E$2:$E$150,0)),""))</f>
        <v/>
      </c>
      <c r="D612" s="91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8"/>
      <c r="S612" s="92" t="str">
        <f aca="true">IF(R612="","",TODAY()-INT(R612))</f>
        <v/>
      </c>
      <c r="T612" s="86"/>
      <c r="U612" s="86"/>
      <c r="V612" s="86"/>
      <c r="W612" s="88"/>
      <c r="X612" s="92" t="str">
        <f aca="true">IF(W612="","",IF(OR(O612="28 - Encerrado",O612="27 - Instalação concluída"),"Concluído",TODAY()-INT(W612)))</f>
        <v/>
      </c>
      <c r="Y612" s="91" t="str">
        <f aca="false">IF(OR(O612="28 - Encerrado",O612="27 - Instalação concluída"),"OK",IF(AND(B612&lt;&gt;"",S612=""),"ATENÇÃO (Sem data de atualização)",IF(S612="","",IF(S612&gt;30,"CRÍTICO (Sem Atualização &gt;30 dias)",IF(S612&gt;15,"ATENÇÃO (Sem Atualização &gt;15 dias)",IF(X612&gt;90,"CRÍTICO (Aberto &gt;90 dias)","OK"))))))</f>
        <v/>
      </c>
      <c r="Z612" s="90" t="str">
        <f aca="false">IF(B612="","",IF(OR(O612="27 - Instalação concluída",O612="28 - Encerrado"),"OK",IF(NOT(ISNUMBER(X612)),"",IF(X612&gt;365,"MUITO ANTIGO (&gt;1 ano)",IF(X612&gt;180,"ANTIGO (&gt;6 meses)",IF(X612&gt;90,"ATENÇÃO ANTIG. (&gt;3 meses)","OK"))))))</f>
        <v/>
      </c>
      <c r="AA612" s="91"/>
    </row>
    <row r="613" customFormat="false" ht="16.5" hidden="false" customHeight="true" outlineLevel="0" collapsed="false">
      <c r="A613" s="86"/>
      <c r="B613" s="91"/>
      <c r="C613" s="91" t="str">
        <f aca="false">IF(D613="","",IFERROR(INDEX(CADASTRO_VIVO_3CRE!$B$2:$B$150,MATCH(D613,CADASTRO_VIVO_3CRE!$E$2:$E$150,0)),""))</f>
        <v/>
      </c>
      <c r="D613" s="91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8"/>
      <c r="S613" s="92" t="str">
        <f aca="true">IF(R613="","",TODAY()-INT(R613))</f>
        <v/>
      </c>
      <c r="T613" s="86"/>
      <c r="U613" s="86"/>
      <c r="V613" s="86"/>
      <c r="W613" s="88"/>
      <c r="X613" s="92" t="str">
        <f aca="true">IF(W613="","",IF(OR(O613="28 - Encerrado",O613="27 - Instalação concluída"),"Concluído",TODAY()-INT(W613)))</f>
        <v/>
      </c>
      <c r="Y613" s="91" t="str">
        <f aca="false">IF(OR(O613="28 - Encerrado",O613="27 - Instalação concluída"),"OK",IF(AND(B613&lt;&gt;"",S613=""),"ATENÇÃO (Sem data de atualização)",IF(S613="","",IF(S613&gt;30,"CRÍTICO (Sem Atualização &gt;30 dias)",IF(S613&gt;15,"ATENÇÃO (Sem Atualização &gt;15 dias)",IF(X613&gt;90,"CRÍTICO (Aberto &gt;90 dias)","OK"))))))</f>
        <v/>
      </c>
      <c r="Z613" s="90" t="str">
        <f aca="false">IF(B613="","",IF(OR(O613="27 - Instalação concluída",O613="28 - Encerrado"),"OK",IF(NOT(ISNUMBER(X613)),"",IF(X613&gt;365,"MUITO ANTIGO (&gt;1 ano)",IF(X613&gt;180,"ANTIGO (&gt;6 meses)",IF(X613&gt;90,"ATENÇÃO ANTIG. (&gt;3 meses)","OK"))))))</f>
        <v/>
      </c>
      <c r="AA613" s="91"/>
    </row>
    <row r="614" customFormat="false" ht="16.5" hidden="false" customHeight="true" outlineLevel="0" collapsed="false">
      <c r="A614" s="86"/>
      <c r="B614" s="91"/>
      <c r="C614" s="91" t="str">
        <f aca="false">IF(D614="","",IFERROR(INDEX(CADASTRO_VIVO_3CRE!$B$2:$B$150,MATCH(D614,CADASTRO_VIVO_3CRE!$E$2:$E$150,0)),""))</f>
        <v/>
      </c>
      <c r="D614" s="91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8"/>
      <c r="S614" s="92" t="str">
        <f aca="true">IF(R614="","",TODAY()-INT(R614))</f>
        <v/>
      </c>
      <c r="T614" s="86"/>
      <c r="U614" s="86"/>
      <c r="V614" s="86"/>
      <c r="W614" s="88"/>
      <c r="X614" s="92" t="str">
        <f aca="true">IF(W614="","",IF(OR(O614="28 - Encerrado",O614="27 - Instalação concluída"),"Concluído",TODAY()-INT(W614)))</f>
        <v/>
      </c>
      <c r="Y614" s="91" t="str">
        <f aca="false">IF(OR(O614="28 - Encerrado",O614="27 - Instalação concluída"),"OK",IF(AND(B614&lt;&gt;"",S614=""),"ATENÇÃO (Sem data de atualização)",IF(S614="","",IF(S614&gt;30,"CRÍTICO (Sem Atualização &gt;30 dias)",IF(S614&gt;15,"ATENÇÃO (Sem Atualização &gt;15 dias)",IF(X614&gt;90,"CRÍTICO (Aberto &gt;90 dias)","OK"))))))</f>
        <v/>
      </c>
      <c r="Z614" s="90" t="str">
        <f aca="false">IF(B614="","",IF(OR(O614="27 - Instalação concluída",O614="28 - Encerrado"),"OK",IF(NOT(ISNUMBER(X614)),"",IF(X614&gt;365,"MUITO ANTIGO (&gt;1 ano)",IF(X614&gt;180,"ANTIGO (&gt;6 meses)",IF(X614&gt;90,"ATENÇÃO ANTIG. (&gt;3 meses)","OK"))))))</f>
        <v/>
      </c>
      <c r="AA614" s="91"/>
    </row>
    <row r="615" customFormat="false" ht="16.5" hidden="false" customHeight="true" outlineLevel="0" collapsed="false">
      <c r="A615" s="86"/>
      <c r="B615" s="91"/>
      <c r="C615" s="91" t="str">
        <f aca="false">IF(D615="","",IFERROR(INDEX(CADASTRO_VIVO_3CRE!$B$2:$B$150,MATCH(D615,CADASTRO_VIVO_3CRE!$E$2:$E$150,0)),""))</f>
        <v/>
      </c>
      <c r="D615" s="91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8"/>
      <c r="S615" s="92" t="str">
        <f aca="true">IF(R615="","",TODAY()-INT(R615))</f>
        <v/>
      </c>
      <c r="T615" s="86"/>
      <c r="U615" s="86"/>
      <c r="V615" s="86"/>
      <c r="W615" s="88"/>
      <c r="X615" s="92" t="str">
        <f aca="true">IF(W615="","",IF(OR(O615="28 - Encerrado",O615="27 - Instalação concluída"),"Concluído",TODAY()-INT(W615)))</f>
        <v/>
      </c>
      <c r="Y615" s="91" t="str">
        <f aca="false">IF(OR(O615="28 - Encerrado",O615="27 - Instalação concluída"),"OK",IF(AND(B615&lt;&gt;"",S615=""),"ATENÇÃO (Sem data de atualização)",IF(S615="","",IF(S615&gt;30,"CRÍTICO (Sem Atualização &gt;30 dias)",IF(S615&gt;15,"ATENÇÃO (Sem Atualização &gt;15 dias)",IF(X615&gt;90,"CRÍTICO (Aberto &gt;90 dias)","OK"))))))</f>
        <v/>
      </c>
      <c r="Z615" s="90" t="str">
        <f aca="false">IF(B615="","",IF(OR(O615="27 - Instalação concluída",O615="28 - Encerrado"),"OK",IF(NOT(ISNUMBER(X615)),"",IF(X615&gt;365,"MUITO ANTIGO (&gt;1 ano)",IF(X615&gt;180,"ANTIGO (&gt;6 meses)",IF(X615&gt;90,"ATENÇÃO ANTIG. (&gt;3 meses)","OK"))))))</f>
        <v/>
      </c>
      <c r="AA615" s="91"/>
    </row>
    <row r="616" customFormat="false" ht="16.5" hidden="false" customHeight="true" outlineLevel="0" collapsed="false">
      <c r="A616" s="86"/>
      <c r="B616" s="91"/>
      <c r="C616" s="91" t="str">
        <f aca="false">IF(D616="","",IFERROR(INDEX(CADASTRO_VIVO_3CRE!$B$2:$B$150,MATCH(D616,CADASTRO_VIVO_3CRE!$E$2:$E$150,0)),""))</f>
        <v/>
      </c>
      <c r="D616" s="91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8"/>
      <c r="S616" s="92" t="str">
        <f aca="true">IF(R616="","",TODAY()-INT(R616))</f>
        <v/>
      </c>
      <c r="T616" s="86"/>
      <c r="U616" s="86"/>
      <c r="V616" s="86"/>
      <c r="W616" s="88"/>
      <c r="X616" s="92" t="str">
        <f aca="true">IF(W616="","",IF(OR(O616="28 - Encerrado",O616="27 - Instalação concluída"),"Concluído",TODAY()-INT(W616)))</f>
        <v/>
      </c>
      <c r="Y616" s="91" t="str">
        <f aca="false">IF(OR(O616="28 - Encerrado",O616="27 - Instalação concluída"),"OK",IF(AND(B616&lt;&gt;"",S616=""),"ATENÇÃO (Sem data de atualização)",IF(S616="","",IF(S616&gt;30,"CRÍTICO (Sem Atualização &gt;30 dias)",IF(S616&gt;15,"ATENÇÃO (Sem Atualização &gt;15 dias)",IF(X616&gt;90,"CRÍTICO (Aberto &gt;90 dias)","OK"))))))</f>
        <v/>
      </c>
      <c r="Z616" s="90" t="str">
        <f aca="false">IF(B616="","",IF(OR(O616="27 - Instalação concluída",O616="28 - Encerrado"),"OK",IF(NOT(ISNUMBER(X616)),"",IF(X616&gt;365,"MUITO ANTIGO (&gt;1 ano)",IF(X616&gt;180,"ANTIGO (&gt;6 meses)",IF(X616&gt;90,"ATENÇÃO ANTIG. (&gt;3 meses)","OK"))))))</f>
        <v/>
      </c>
      <c r="AA616" s="91"/>
    </row>
    <row r="617" customFormat="false" ht="16.5" hidden="false" customHeight="true" outlineLevel="0" collapsed="false">
      <c r="A617" s="86"/>
      <c r="B617" s="91"/>
      <c r="C617" s="91" t="str">
        <f aca="false">IF(D617="","",IFERROR(INDEX(CADASTRO_VIVO_3CRE!$B$2:$B$150,MATCH(D617,CADASTRO_VIVO_3CRE!$E$2:$E$150,0)),""))</f>
        <v/>
      </c>
      <c r="D617" s="91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8"/>
      <c r="S617" s="92" t="str">
        <f aca="true">IF(R617="","",TODAY()-INT(R617))</f>
        <v/>
      </c>
      <c r="T617" s="86"/>
      <c r="U617" s="86"/>
      <c r="V617" s="86"/>
      <c r="W617" s="88"/>
      <c r="X617" s="92" t="str">
        <f aca="true">IF(W617="","",IF(OR(O617="28 - Encerrado",O617="27 - Instalação concluída"),"Concluído",TODAY()-INT(W617)))</f>
        <v/>
      </c>
      <c r="Y617" s="91" t="str">
        <f aca="false">IF(OR(O617="28 - Encerrado",O617="27 - Instalação concluída"),"OK",IF(AND(B617&lt;&gt;"",S617=""),"ATENÇÃO (Sem data de atualização)",IF(S617="","",IF(S617&gt;30,"CRÍTICO (Sem Atualização &gt;30 dias)",IF(S617&gt;15,"ATENÇÃO (Sem Atualização &gt;15 dias)",IF(X617&gt;90,"CRÍTICO (Aberto &gt;90 dias)","OK"))))))</f>
        <v/>
      </c>
      <c r="Z617" s="90" t="str">
        <f aca="false">IF(B617="","",IF(OR(O617="27 - Instalação concluída",O617="28 - Encerrado"),"OK",IF(NOT(ISNUMBER(X617)),"",IF(X617&gt;365,"MUITO ANTIGO (&gt;1 ano)",IF(X617&gt;180,"ANTIGO (&gt;6 meses)",IF(X617&gt;90,"ATENÇÃO ANTIG. (&gt;3 meses)","OK"))))))</f>
        <v/>
      </c>
      <c r="AA617" s="91"/>
    </row>
    <row r="618" customFormat="false" ht="16.5" hidden="false" customHeight="true" outlineLevel="0" collapsed="false">
      <c r="A618" s="86"/>
      <c r="B618" s="91"/>
      <c r="C618" s="91" t="str">
        <f aca="false">IF(D618="","",IFERROR(INDEX(CADASTRO_VIVO_3CRE!$B$2:$B$150,MATCH(D618,CADASTRO_VIVO_3CRE!$E$2:$E$150,0)),""))</f>
        <v/>
      </c>
      <c r="D618" s="91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8"/>
      <c r="S618" s="92" t="str">
        <f aca="true">IF(R618="","",TODAY()-INT(R618))</f>
        <v/>
      </c>
      <c r="T618" s="86"/>
      <c r="U618" s="86"/>
      <c r="V618" s="86"/>
      <c r="W618" s="88"/>
      <c r="X618" s="92" t="str">
        <f aca="true">IF(W618="","",IF(OR(O618="28 - Encerrado",O618="27 - Instalação concluída"),"Concluído",TODAY()-INT(W618)))</f>
        <v/>
      </c>
      <c r="Y618" s="91" t="str">
        <f aca="false">IF(OR(O618="28 - Encerrado",O618="27 - Instalação concluída"),"OK",IF(AND(B618&lt;&gt;"",S618=""),"ATENÇÃO (Sem data de atualização)",IF(S618="","",IF(S618&gt;30,"CRÍTICO (Sem Atualização &gt;30 dias)",IF(S618&gt;15,"ATENÇÃO (Sem Atualização &gt;15 dias)",IF(X618&gt;90,"CRÍTICO (Aberto &gt;90 dias)","OK"))))))</f>
        <v/>
      </c>
      <c r="Z618" s="90" t="str">
        <f aca="false">IF(B618="","",IF(OR(O618="27 - Instalação concluída",O618="28 - Encerrado"),"OK",IF(NOT(ISNUMBER(X618)),"",IF(X618&gt;365,"MUITO ANTIGO (&gt;1 ano)",IF(X618&gt;180,"ANTIGO (&gt;6 meses)",IF(X618&gt;90,"ATENÇÃO ANTIG. (&gt;3 meses)","OK"))))))</f>
        <v/>
      </c>
      <c r="AA618" s="91"/>
    </row>
    <row r="619" customFormat="false" ht="16.5" hidden="false" customHeight="true" outlineLevel="0" collapsed="false">
      <c r="A619" s="86"/>
      <c r="B619" s="91"/>
      <c r="C619" s="91" t="str">
        <f aca="false">IF(D619="","",IFERROR(INDEX(CADASTRO_VIVO_3CRE!$B$2:$B$150,MATCH(D619,CADASTRO_VIVO_3CRE!$E$2:$E$150,0)),""))</f>
        <v/>
      </c>
      <c r="D619" s="91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8"/>
      <c r="S619" s="92" t="str">
        <f aca="true">IF(R619="","",TODAY()-INT(R619))</f>
        <v/>
      </c>
      <c r="T619" s="86"/>
      <c r="U619" s="86"/>
      <c r="V619" s="86"/>
      <c r="W619" s="88"/>
      <c r="X619" s="92" t="str">
        <f aca="true">IF(W619="","",IF(OR(O619="28 - Encerrado",O619="27 - Instalação concluída"),"Concluído",TODAY()-INT(W619)))</f>
        <v/>
      </c>
      <c r="Y619" s="91" t="str">
        <f aca="false">IF(OR(O619="28 - Encerrado",O619="27 - Instalação concluída"),"OK",IF(AND(B619&lt;&gt;"",S619=""),"ATENÇÃO (Sem data de atualização)",IF(S619="","",IF(S619&gt;30,"CRÍTICO (Sem Atualização &gt;30 dias)",IF(S619&gt;15,"ATENÇÃO (Sem Atualização &gt;15 dias)",IF(X619&gt;90,"CRÍTICO (Aberto &gt;90 dias)","OK"))))))</f>
        <v/>
      </c>
      <c r="Z619" s="90" t="str">
        <f aca="false">IF(B619="","",IF(OR(O619="27 - Instalação concluída",O619="28 - Encerrado"),"OK",IF(NOT(ISNUMBER(X619)),"",IF(X619&gt;365,"MUITO ANTIGO (&gt;1 ano)",IF(X619&gt;180,"ANTIGO (&gt;6 meses)",IF(X619&gt;90,"ATENÇÃO ANTIG. (&gt;3 meses)","OK"))))))</f>
        <v/>
      </c>
      <c r="AA619" s="91"/>
    </row>
    <row r="620" customFormat="false" ht="16.5" hidden="false" customHeight="true" outlineLevel="0" collapsed="false">
      <c r="A620" s="86"/>
      <c r="B620" s="91"/>
      <c r="C620" s="91" t="str">
        <f aca="false">IF(D620="","",IFERROR(INDEX(CADASTRO_VIVO_3CRE!$B$2:$B$150,MATCH(D620,CADASTRO_VIVO_3CRE!$E$2:$E$150,0)),""))</f>
        <v/>
      </c>
      <c r="D620" s="91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8"/>
      <c r="S620" s="92" t="str">
        <f aca="true">IF(R620="","",TODAY()-INT(R620))</f>
        <v/>
      </c>
      <c r="T620" s="86"/>
      <c r="U620" s="86"/>
      <c r="V620" s="86"/>
      <c r="W620" s="88"/>
      <c r="X620" s="92" t="str">
        <f aca="true">IF(W620="","",IF(OR(O620="28 - Encerrado",O620="27 - Instalação concluída"),"Concluído",TODAY()-INT(W620)))</f>
        <v/>
      </c>
      <c r="Y620" s="91" t="str">
        <f aca="false">IF(OR(O620="28 - Encerrado",O620="27 - Instalação concluída"),"OK",IF(AND(B620&lt;&gt;"",S620=""),"ATENÇÃO (Sem data de atualização)",IF(S620="","",IF(S620&gt;30,"CRÍTICO (Sem Atualização &gt;30 dias)",IF(S620&gt;15,"ATENÇÃO (Sem Atualização &gt;15 dias)",IF(X620&gt;90,"CRÍTICO (Aberto &gt;90 dias)","OK"))))))</f>
        <v/>
      </c>
      <c r="Z620" s="90" t="str">
        <f aca="false">IF(B620="","",IF(OR(O620="27 - Instalação concluída",O620="28 - Encerrado"),"OK",IF(NOT(ISNUMBER(X620)),"",IF(X620&gt;365,"MUITO ANTIGO (&gt;1 ano)",IF(X620&gt;180,"ANTIGO (&gt;6 meses)",IF(X620&gt;90,"ATENÇÃO ANTIG. (&gt;3 meses)","OK"))))))</f>
        <v/>
      </c>
      <c r="AA620" s="91"/>
    </row>
    <row r="621" customFormat="false" ht="16.5" hidden="false" customHeight="true" outlineLevel="0" collapsed="false">
      <c r="A621" s="86"/>
      <c r="B621" s="91"/>
      <c r="C621" s="91" t="str">
        <f aca="false">IF(D621="","",IFERROR(INDEX(CADASTRO_VIVO_3CRE!$B$2:$B$150,MATCH(D621,CADASTRO_VIVO_3CRE!$E$2:$E$150,0)),""))</f>
        <v/>
      </c>
      <c r="D621" s="91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8"/>
      <c r="S621" s="92" t="str">
        <f aca="true">IF(R621="","",TODAY()-INT(R621))</f>
        <v/>
      </c>
      <c r="T621" s="86"/>
      <c r="U621" s="86"/>
      <c r="V621" s="86"/>
      <c r="W621" s="88"/>
      <c r="X621" s="92" t="str">
        <f aca="true">IF(W621="","",IF(OR(O621="28 - Encerrado",O621="27 - Instalação concluída"),"Concluído",TODAY()-INT(W621)))</f>
        <v/>
      </c>
      <c r="Y621" s="91" t="str">
        <f aca="false">IF(OR(O621="28 - Encerrado",O621="27 - Instalação concluída"),"OK",IF(AND(B621&lt;&gt;"",S621=""),"ATENÇÃO (Sem data de atualização)",IF(S621="","",IF(S621&gt;30,"CRÍTICO (Sem Atualização &gt;30 dias)",IF(S621&gt;15,"ATENÇÃO (Sem Atualização &gt;15 dias)",IF(X621&gt;90,"CRÍTICO (Aberto &gt;90 dias)","OK"))))))</f>
        <v/>
      </c>
      <c r="Z621" s="90" t="str">
        <f aca="false">IF(B621="","",IF(OR(O621="27 - Instalação concluída",O621="28 - Encerrado"),"OK",IF(NOT(ISNUMBER(X621)),"",IF(X621&gt;365,"MUITO ANTIGO (&gt;1 ano)",IF(X621&gt;180,"ANTIGO (&gt;6 meses)",IF(X621&gt;90,"ATENÇÃO ANTIG. (&gt;3 meses)","OK"))))))</f>
        <v/>
      </c>
      <c r="AA621" s="91"/>
    </row>
    <row r="622" customFormat="false" ht="16.5" hidden="false" customHeight="true" outlineLevel="0" collapsed="false">
      <c r="A622" s="86"/>
      <c r="B622" s="91"/>
      <c r="C622" s="91" t="str">
        <f aca="false">IF(D622="","",IFERROR(INDEX(CADASTRO_VIVO_3CRE!$B$2:$B$150,MATCH(D622,CADASTRO_VIVO_3CRE!$E$2:$E$150,0)),""))</f>
        <v/>
      </c>
      <c r="D622" s="91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8"/>
      <c r="S622" s="92" t="str">
        <f aca="true">IF(R622="","",TODAY()-INT(R622))</f>
        <v/>
      </c>
      <c r="T622" s="86"/>
      <c r="U622" s="86"/>
      <c r="V622" s="86"/>
      <c r="W622" s="88"/>
      <c r="X622" s="92" t="str">
        <f aca="true">IF(W622="","",IF(OR(O622="28 - Encerrado",O622="27 - Instalação concluída"),"Concluído",TODAY()-INT(W622)))</f>
        <v/>
      </c>
      <c r="Y622" s="91" t="str">
        <f aca="false">IF(OR(O622="28 - Encerrado",O622="27 - Instalação concluída"),"OK",IF(AND(B622&lt;&gt;"",S622=""),"ATENÇÃO (Sem data de atualização)",IF(S622="","",IF(S622&gt;30,"CRÍTICO (Sem Atualização &gt;30 dias)",IF(S622&gt;15,"ATENÇÃO (Sem Atualização &gt;15 dias)",IF(X622&gt;90,"CRÍTICO (Aberto &gt;90 dias)","OK"))))))</f>
        <v/>
      </c>
      <c r="Z622" s="90" t="str">
        <f aca="false">IF(B622="","",IF(OR(O622="27 - Instalação concluída",O622="28 - Encerrado"),"OK",IF(NOT(ISNUMBER(X622)),"",IF(X622&gt;365,"MUITO ANTIGO (&gt;1 ano)",IF(X622&gt;180,"ANTIGO (&gt;6 meses)",IF(X622&gt;90,"ATENÇÃO ANTIG. (&gt;3 meses)","OK"))))))</f>
        <v/>
      </c>
      <c r="AA622" s="91"/>
    </row>
    <row r="623" customFormat="false" ht="16.5" hidden="false" customHeight="true" outlineLevel="0" collapsed="false">
      <c r="A623" s="86"/>
      <c r="B623" s="91"/>
      <c r="C623" s="91" t="str">
        <f aca="false">IF(D623="","",IFERROR(INDEX(CADASTRO_VIVO_3CRE!$B$2:$B$150,MATCH(D623,CADASTRO_VIVO_3CRE!$E$2:$E$150,0)),""))</f>
        <v/>
      </c>
      <c r="D623" s="91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8"/>
      <c r="S623" s="92" t="str">
        <f aca="true">IF(R623="","",TODAY()-INT(R623))</f>
        <v/>
      </c>
      <c r="T623" s="86"/>
      <c r="U623" s="86"/>
      <c r="V623" s="86"/>
      <c r="W623" s="88"/>
      <c r="X623" s="92" t="str">
        <f aca="true">IF(W623="","",IF(OR(O623="28 - Encerrado",O623="27 - Instalação concluída"),"Concluído",TODAY()-INT(W623)))</f>
        <v/>
      </c>
      <c r="Y623" s="91" t="str">
        <f aca="false">IF(OR(O623="28 - Encerrado",O623="27 - Instalação concluída"),"OK",IF(AND(B623&lt;&gt;"",S623=""),"ATENÇÃO (Sem data de atualização)",IF(S623="","",IF(S623&gt;30,"CRÍTICO (Sem Atualização &gt;30 dias)",IF(S623&gt;15,"ATENÇÃO (Sem Atualização &gt;15 dias)",IF(X623&gt;90,"CRÍTICO (Aberto &gt;90 dias)","OK"))))))</f>
        <v/>
      </c>
      <c r="Z623" s="90" t="str">
        <f aca="false">IF(B623="","",IF(OR(O623="27 - Instalação concluída",O623="28 - Encerrado"),"OK",IF(NOT(ISNUMBER(X623)),"",IF(X623&gt;365,"MUITO ANTIGO (&gt;1 ano)",IF(X623&gt;180,"ANTIGO (&gt;6 meses)",IF(X623&gt;90,"ATENÇÃO ANTIG. (&gt;3 meses)","OK"))))))</f>
        <v/>
      </c>
      <c r="AA623" s="91"/>
    </row>
    <row r="624" customFormat="false" ht="16.5" hidden="false" customHeight="true" outlineLevel="0" collapsed="false">
      <c r="A624" s="86"/>
      <c r="B624" s="91"/>
      <c r="C624" s="91" t="str">
        <f aca="false">IF(D624="","",IFERROR(INDEX(CADASTRO_VIVO_3CRE!$B$2:$B$150,MATCH(D624,CADASTRO_VIVO_3CRE!$E$2:$E$150,0)),""))</f>
        <v/>
      </c>
      <c r="D624" s="91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8"/>
      <c r="S624" s="92" t="str">
        <f aca="true">IF(R624="","",TODAY()-INT(R624))</f>
        <v/>
      </c>
      <c r="T624" s="86"/>
      <c r="U624" s="86"/>
      <c r="V624" s="86"/>
      <c r="W624" s="88"/>
      <c r="X624" s="92" t="str">
        <f aca="true">IF(W624="","",IF(OR(O624="28 - Encerrado",O624="27 - Instalação concluída"),"Concluído",TODAY()-INT(W624)))</f>
        <v/>
      </c>
      <c r="Y624" s="91" t="str">
        <f aca="false">IF(OR(O624="28 - Encerrado",O624="27 - Instalação concluída"),"OK",IF(AND(B624&lt;&gt;"",S624=""),"ATENÇÃO (Sem data de atualização)",IF(S624="","",IF(S624&gt;30,"CRÍTICO (Sem Atualização &gt;30 dias)",IF(S624&gt;15,"ATENÇÃO (Sem Atualização &gt;15 dias)",IF(X624&gt;90,"CRÍTICO (Aberto &gt;90 dias)","OK"))))))</f>
        <v/>
      </c>
      <c r="Z624" s="90" t="str">
        <f aca="false">IF(B624="","",IF(OR(O624="27 - Instalação concluída",O624="28 - Encerrado"),"OK",IF(NOT(ISNUMBER(X624)),"",IF(X624&gt;365,"MUITO ANTIGO (&gt;1 ano)",IF(X624&gt;180,"ANTIGO (&gt;6 meses)",IF(X624&gt;90,"ATENÇÃO ANTIG. (&gt;3 meses)","OK"))))))</f>
        <v/>
      </c>
      <c r="AA624" s="91"/>
    </row>
    <row r="625" customFormat="false" ht="16.5" hidden="false" customHeight="true" outlineLevel="0" collapsed="false">
      <c r="A625" s="86"/>
      <c r="B625" s="91"/>
      <c r="C625" s="91" t="str">
        <f aca="false">IF(D625="","",IFERROR(INDEX(CADASTRO_VIVO_3CRE!$B$2:$B$150,MATCH(D625,CADASTRO_VIVO_3CRE!$E$2:$E$150,0)),""))</f>
        <v/>
      </c>
      <c r="D625" s="91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8"/>
      <c r="S625" s="92" t="str">
        <f aca="true">IF(R625="","",TODAY()-INT(R625))</f>
        <v/>
      </c>
      <c r="T625" s="86"/>
      <c r="U625" s="86"/>
      <c r="V625" s="86"/>
      <c r="W625" s="88"/>
      <c r="X625" s="92" t="str">
        <f aca="true">IF(W625="","",IF(OR(O625="28 - Encerrado",O625="27 - Instalação concluída"),"Concluído",TODAY()-INT(W625)))</f>
        <v/>
      </c>
      <c r="Y625" s="91" t="str">
        <f aca="false">IF(OR(O625="28 - Encerrado",O625="27 - Instalação concluída"),"OK",IF(AND(B625&lt;&gt;"",S625=""),"ATENÇÃO (Sem data de atualização)",IF(S625="","",IF(S625&gt;30,"CRÍTICO (Sem Atualização &gt;30 dias)",IF(S625&gt;15,"ATENÇÃO (Sem Atualização &gt;15 dias)",IF(X625&gt;90,"CRÍTICO (Aberto &gt;90 dias)","OK"))))))</f>
        <v/>
      </c>
      <c r="Z625" s="90" t="str">
        <f aca="false">IF(B625="","",IF(OR(O625="27 - Instalação concluída",O625="28 - Encerrado"),"OK",IF(NOT(ISNUMBER(X625)),"",IF(X625&gt;365,"MUITO ANTIGO (&gt;1 ano)",IF(X625&gt;180,"ANTIGO (&gt;6 meses)",IF(X625&gt;90,"ATENÇÃO ANTIG. (&gt;3 meses)","OK"))))))</f>
        <v/>
      </c>
      <c r="AA625" s="91"/>
    </row>
    <row r="626" customFormat="false" ht="16.5" hidden="false" customHeight="true" outlineLevel="0" collapsed="false">
      <c r="A626" s="86"/>
      <c r="B626" s="91"/>
      <c r="C626" s="91" t="str">
        <f aca="false">IF(D626="","",IFERROR(INDEX(CADASTRO_VIVO_3CRE!$B$2:$B$150,MATCH(D626,CADASTRO_VIVO_3CRE!$E$2:$E$150,0)),""))</f>
        <v/>
      </c>
      <c r="D626" s="91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8"/>
      <c r="S626" s="92" t="str">
        <f aca="true">IF(R626="","",TODAY()-INT(R626))</f>
        <v/>
      </c>
      <c r="T626" s="86"/>
      <c r="U626" s="86"/>
      <c r="V626" s="86"/>
      <c r="W626" s="88"/>
      <c r="X626" s="92" t="str">
        <f aca="true">IF(W626="","",IF(OR(O626="28 - Encerrado",O626="27 - Instalação concluída"),"Concluído",TODAY()-INT(W626)))</f>
        <v/>
      </c>
      <c r="Y626" s="91" t="str">
        <f aca="false">IF(OR(O626="28 - Encerrado",O626="27 - Instalação concluída"),"OK",IF(AND(B626&lt;&gt;"",S626=""),"ATENÇÃO (Sem data de atualização)",IF(S626="","",IF(S626&gt;30,"CRÍTICO (Sem Atualização &gt;30 dias)",IF(S626&gt;15,"ATENÇÃO (Sem Atualização &gt;15 dias)",IF(X626&gt;90,"CRÍTICO (Aberto &gt;90 dias)","OK"))))))</f>
        <v/>
      </c>
      <c r="Z626" s="90" t="str">
        <f aca="false">IF(B626="","",IF(OR(O626="27 - Instalação concluída",O626="28 - Encerrado"),"OK",IF(NOT(ISNUMBER(X626)),"",IF(X626&gt;365,"MUITO ANTIGO (&gt;1 ano)",IF(X626&gt;180,"ANTIGO (&gt;6 meses)",IF(X626&gt;90,"ATENÇÃO ANTIG. (&gt;3 meses)","OK"))))))</f>
        <v/>
      </c>
      <c r="AA626" s="91"/>
    </row>
    <row r="627" customFormat="false" ht="16.5" hidden="false" customHeight="true" outlineLevel="0" collapsed="false">
      <c r="A627" s="86"/>
      <c r="B627" s="91"/>
      <c r="C627" s="91" t="str">
        <f aca="false">IF(D627="","",IFERROR(INDEX(CADASTRO_VIVO_3CRE!$B$2:$B$150,MATCH(D627,CADASTRO_VIVO_3CRE!$E$2:$E$150,0)),""))</f>
        <v/>
      </c>
      <c r="D627" s="91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8"/>
      <c r="S627" s="92" t="str">
        <f aca="true">IF(R627="","",TODAY()-INT(R627))</f>
        <v/>
      </c>
      <c r="T627" s="86"/>
      <c r="U627" s="86"/>
      <c r="V627" s="86"/>
      <c r="W627" s="88"/>
      <c r="X627" s="92" t="str">
        <f aca="true">IF(W627="","",IF(OR(O627="28 - Encerrado",O627="27 - Instalação concluída"),"Concluído",TODAY()-INT(W627)))</f>
        <v/>
      </c>
      <c r="Y627" s="91" t="str">
        <f aca="false">IF(OR(O627="28 - Encerrado",O627="27 - Instalação concluída"),"OK",IF(AND(B627&lt;&gt;"",S627=""),"ATENÇÃO (Sem data de atualização)",IF(S627="","",IF(S627&gt;30,"CRÍTICO (Sem Atualização &gt;30 dias)",IF(S627&gt;15,"ATENÇÃO (Sem Atualização &gt;15 dias)",IF(X627&gt;90,"CRÍTICO (Aberto &gt;90 dias)","OK"))))))</f>
        <v/>
      </c>
      <c r="Z627" s="90" t="str">
        <f aca="false">IF(B627="","",IF(OR(O627="27 - Instalação concluída",O627="28 - Encerrado"),"OK",IF(NOT(ISNUMBER(X627)),"",IF(X627&gt;365,"MUITO ANTIGO (&gt;1 ano)",IF(X627&gt;180,"ANTIGO (&gt;6 meses)",IF(X627&gt;90,"ATENÇÃO ANTIG. (&gt;3 meses)","OK"))))))</f>
        <v/>
      </c>
      <c r="AA627" s="91"/>
    </row>
    <row r="628" customFormat="false" ht="16.5" hidden="false" customHeight="true" outlineLevel="0" collapsed="false">
      <c r="A628" s="86"/>
      <c r="B628" s="91"/>
      <c r="C628" s="91" t="str">
        <f aca="false">IF(D628="","",IFERROR(INDEX(CADASTRO_VIVO_3CRE!$B$2:$B$150,MATCH(D628,CADASTRO_VIVO_3CRE!$E$2:$E$150,0)),""))</f>
        <v/>
      </c>
      <c r="D628" s="91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8"/>
      <c r="S628" s="92" t="str">
        <f aca="true">IF(R628="","",TODAY()-INT(R628))</f>
        <v/>
      </c>
      <c r="T628" s="86"/>
      <c r="U628" s="86"/>
      <c r="V628" s="86"/>
      <c r="W628" s="88"/>
      <c r="X628" s="92" t="str">
        <f aca="true">IF(W628="","",IF(OR(O628="28 - Encerrado",O628="27 - Instalação concluída"),"Concluído",TODAY()-INT(W628)))</f>
        <v/>
      </c>
      <c r="Y628" s="91" t="str">
        <f aca="false">IF(OR(O628="28 - Encerrado",O628="27 - Instalação concluída"),"OK",IF(AND(B628&lt;&gt;"",S628=""),"ATENÇÃO (Sem data de atualização)",IF(S628="","",IF(S628&gt;30,"CRÍTICO (Sem Atualização &gt;30 dias)",IF(S628&gt;15,"ATENÇÃO (Sem Atualização &gt;15 dias)",IF(X628&gt;90,"CRÍTICO (Aberto &gt;90 dias)","OK"))))))</f>
        <v/>
      </c>
      <c r="Z628" s="90" t="str">
        <f aca="false">IF(B628="","",IF(OR(O628="27 - Instalação concluída",O628="28 - Encerrado"),"OK",IF(NOT(ISNUMBER(X628)),"",IF(X628&gt;365,"MUITO ANTIGO (&gt;1 ano)",IF(X628&gt;180,"ANTIGO (&gt;6 meses)",IF(X628&gt;90,"ATENÇÃO ANTIG. (&gt;3 meses)","OK"))))))</f>
        <v/>
      </c>
      <c r="AA628" s="91"/>
    </row>
    <row r="629" customFormat="false" ht="16.5" hidden="false" customHeight="true" outlineLevel="0" collapsed="false">
      <c r="A629" s="86"/>
      <c r="B629" s="91"/>
      <c r="C629" s="91" t="str">
        <f aca="false">IF(D629="","",IFERROR(INDEX(CADASTRO_VIVO_3CRE!$B$2:$B$150,MATCH(D629,CADASTRO_VIVO_3CRE!$E$2:$E$150,0)),""))</f>
        <v/>
      </c>
      <c r="D629" s="91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8"/>
      <c r="S629" s="92" t="str">
        <f aca="true">IF(R629="","",TODAY()-INT(R629))</f>
        <v/>
      </c>
      <c r="T629" s="86"/>
      <c r="U629" s="86"/>
      <c r="V629" s="86"/>
      <c r="W629" s="88"/>
      <c r="X629" s="92" t="str">
        <f aca="true">IF(W629="","",IF(OR(O629="28 - Encerrado",O629="27 - Instalação concluída"),"Concluído",TODAY()-INT(W629)))</f>
        <v/>
      </c>
      <c r="Y629" s="91" t="str">
        <f aca="false">IF(OR(O629="28 - Encerrado",O629="27 - Instalação concluída"),"OK",IF(AND(B629&lt;&gt;"",S629=""),"ATENÇÃO (Sem data de atualização)",IF(S629="","",IF(S629&gt;30,"CRÍTICO (Sem Atualização &gt;30 dias)",IF(S629&gt;15,"ATENÇÃO (Sem Atualização &gt;15 dias)",IF(X629&gt;90,"CRÍTICO (Aberto &gt;90 dias)","OK"))))))</f>
        <v/>
      </c>
      <c r="Z629" s="90" t="str">
        <f aca="false">IF(B629="","",IF(OR(O629="27 - Instalação concluída",O629="28 - Encerrado"),"OK",IF(NOT(ISNUMBER(X629)),"",IF(X629&gt;365,"MUITO ANTIGO (&gt;1 ano)",IF(X629&gt;180,"ANTIGO (&gt;6 meses)",IF(X629&gt;90,"ATENÇÃO ANTIG. (&gt;3 meses)","OK"))))))</f>
        <v/>
      </c>
      <c r="AA629" s="91"/>
    </row>
    <row r="630" customFormat="false" ht="16.5" hidden="false" customHeight="true" outlineLevel="0" collapsed="false">
      <c r="A630" s="86"/>
      <c r="B630" s="91"/>
      <c r="C630" s="91" t="str">
        <f aca="false">IF(D630="","",IFERROR(INDEX(CADASTRO_VIVO_3CRE!$B$2:$B$150,MATCH(D630,CADASTRO_VIVO_3CRE!$E$2:$E$150,0)),""))</f>
        <v/>
      </c>
      <c r="D630" s="91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8"/>
      <c r="S630" s="92" t="str">
        <f aca="true">IF(R630="","",TODAY()-INT(R630))</f>
        <v/>
      </c>
      <c r="T630" s="86"/>
      <c r="U630" s="86"/>
      <c r="V630" s="86"/>
      <c r="W630" s="88"/>
      <c r="X630" s="92" t="str">
        <f aca="true">IF(W630="","",IF(OR(O630="28 - Encerrado",O630="27 - Instalação concluída"),"Concluído",TODAY()-INT(W630)))</f>
        <v/>
      </c>
      <c r="Y630" s="91" t="str">
        <f aca="false">IF(OR(O630="28 - Encerrado",O630="27 - Instalação concluída"),"OK",IF(AND(B630&lt;&gt;"",S630=""),"ATENÇÃO (Sem data de atualização)",IF(S630="","",IF(S630&gt;30,"CRÍTICO (Sem Atualização &gt;30 dias)",IF(S630&gt;15,"ATENÇÃO (Sem Atualização &gt;15 dias)",IF(X630&gt;90,"CRÍTICO (Aberto &gt;90 dias)","OK"))))))</f>
        <v/>
      </c>
      <c r="Z630" s="90" t="str">
        <f aca="false">IF(B630="","",IF(OR(O630="27 - Instalação concluída",O630="28 - Encerrado"),"OK",IF(NOT(ISNUMBER(X630)),"",IF(X630&gt;365,"MUITO ANTIGO (&gt;1 ano)",IF(X630&gt;180,"ANTIGO (&gt;6 meses)",IF(X630&gt;90,"ATENÇÃO ANTIG. (&gt;3 meses)","OK"))))))</f>
        <v/>
      </c>
      <c r="AA630" s="91"/>
    </row>
    <row r="631" customFormat="false" ht="16.5" hidden="false" customHeight="true" outlineLevel="0" collapsed="false">
      <c r="A631" s="86"/>
      <c r="B631" s="91"/>
      <c r="C631" s="91" t="str">
        <f aca="false">IF(D631="","",IFERROR(INDEX(CADASTRO_VIVO_3CRE!$B$2:$B$150,MATCH(D631,CADASTRO_VIVO_3CRE!$E$2:$E$150,0)),""))</f>
        <v/>
      </c>
      <c r="D631" s="91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8"/>
      <c r="S631" s="92" t="str">
        <f aca="true">IF(R631="","",TODAY()-INT(R631))</f>
        <v/>
      </c>
      <c r="T631" s="86"/>
      <c r="U631" s="86"/>
      <c r="V631" s="86"/>
      <c r="W631" s="88"/>
      <c r="X631" s="92" t="str">
        <f aca="true">IF(W631="","",IF(OR(O631="28 - Encerrado",O631="27 - Instalação concluída"),"Concluído",TODAY()-INT(W631)))</f>
        <v/>
      </c>
      <c r="Y631" s="91" t="str">
        <f aca="false">IF(OR(O631="28 - Encerrado",O631="27 - Instalação concluída"),"OK",IF(AND(B631&lt;&gt;"",S631=""),"ATENÇÃO (Sem data de atualização)",IF(S631="","",IF(S631&gt;30,"CRÍTICO (Sem Atualização &gt;30 dias)",IF(S631&gt;15,"ATENÇÃO (Sem Atualização &gt;15 dias)",IF(X631&gt;90,"CRÍTICO (Aberto &gt;90 dias)","OK"))))))</f>
        <v/>
      </c>
      <c r="Z631" s="90" t="str">
        <f aca="false">IF(B631="","",IF(OR(O631="27 - Instalação concluída",O631="28 - Encerrado"),"OK",IF(NOT(ISNUMBER(X631)),"",IF(X631&gt;365,"MUITO ANTIGO (&gt;1 ano)",IF(X631&gt;180,"ANTIGO (&gt;6 meses)",IF(X631&gt;90,"ATENÇÃO ANTIG. (&gt;3 meses)","OK"))))))</f>
        <v/>
      </c>
      <c r="AA631" s="91"/>
    </row>
    <row r="632" customFormat="false" ht="16.5" hidden="false" customHeight="true" outlineLevel="0" collapsed="false">
      <c r="A632" s="86"/>
      <c r="B632" s="91"/>
      <c r="C632" s="91" t="str">
        <f aca="false">IF(D632="","",IFERROR(INDEX(CADASTRO_VIVO_3CRE!$B$2:$B$150,MATCH(D632,CADASTRO_VIVO_3CRE!$E$2:$E$150,0)),""))</f>
        <v/>
      </c>
      <c r="D632" s="91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8"/>
      <c r="S632" s="92" t="str">
        <f aca="true">IF(R632="","",TODAY()-INT(R632))</f>
        <v/>
      </c>
      <c r="T632" s="86"/>
      <c r="U632" s="86"/>
      <c r="V632" s="86"/>
      <c r="W632" s="88"/>
      <c r="X632" s="92" t="str">
        <f aca="true">IF(W632="","",IF(OR(O632="28 - Encerrado",O632="27 - Instalação concluída"),"Concluído",TODAY()-INT(W632)))</f>
        <v/>
      </c>
      <c r="Y632" s="91" t="str">
        <f aca="false">IF(OR(O632="28 - Encerrado",O632="27 - Instalação concluída"),"OK",IF(AND(B632&lt;&gt;"",S632=""),"ATENÇÃO (Sem data de atualização)",IF(S632="","",IF(S632&gt;30,"CRÍTICO (Sem Atualização &gt;30 dias)",IF(S632&gt;15,"ATENÇÃO (Sem Atualização &gt;15 dias)",IF(X632&gt;90,"CRÍTICO (Aberto &gt;90 dias)","OK"))))))</f>
        <v/>
      </c>
      <c r="Z632" s="90" t="str">
        <f aca="false">IF(B632="","",IF(OR(O632="27 - Instalação concluída",O632="28 - Encerrado"),"OK",IF(NOT(ISNUMBER(X632)),"",IF(X632&gt;365,"MUITO ANTIGO (&gt;1 ano)",IF(X632&gt;180,"ANTIGO (&gt;6 meses)",IF(X632&gt;90,"ATENÇÃO ANTIG. (&gt;3 meses)","OK"))))))</f>
        <v/>
      </c>
      <c r="AA632" s="91"/>
    </row>
    <row r="633" customFormat="false" ht="16.5" hidden="false" customHeight="true" outlineLevel="0" collapsed="false">
      <c r="A633" s="86"/>
      <c r="B633" s="91"/>
      <c r="C633" s="91" t="str">
        <f aca="false">IF(D633="","",IFERROR(INDEX(CADASTRO_VIVO_3CRE!$B$2:$B$150,MATCH(D633,CADASTRO_VIVO_3CRE!$E$2:$E$150,0)),""))</f>
        <v/>
      </c>
      <c r="D633" s="91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8"/>
      <c r="S633" s="92" t="str">
        <f aca="true">IF(R633="","",TODAY()-INT(R633))</f>
        <v/>
      </c>
      <c r="T633" s="86"/>
      <c r="U633" s="86"/>
      <c r="V633" s="86"/>
      <c r="W633" s="88"/>
      <c r="X633" s="92" t="str">
        <f aca="true">IF(W633="","",IF(OR(O633="28 - Encerrado",O633="27 - Instalação concluída"),"Concluído",TODAY()-INT(W633)))</f>
        <v/>
      </c>
      <c r="Y633" s="91" t="str">
        <f aca="false">IF(OR(O633="28 - Encerrado",O633="27 - Instalação concluída"),"OK",IF(AND(B633&lt;&gt;"",S633=""),"ATENÇÃO (Sem data de atualização)",IF(S633="","",IF(S633&gt;30,"CRÍTICO (Sem Atualização &gt;30 dias)",IF(S633&gt;15,"ATENÇÃO (Sem Atualização &gt;15 dias)",IF(X633&gt;90,"CRÍTICO (Aberto &gt;90 dias)","OK"))))))</f>
        <v/>
      </c>
      <c r="Z633" s="90" t="str">
        <f aca="false">IF(B633="","",IF(OR(O633="27 - Instalação concluída",O633="28 - Encerrado"),"OK",IF(NOT(ISNUMBER(X633)),"",IF(X633&gt;365,"MUITO ANTIGO (&gt;1 ano)",IF(X633&gt;180,"ANTIGO (&gt;6 meses)",IF(X633&gt;90,"ATENÇÃO ANTIG. (&gt;3 meses)","OK"))))))</f>
        <v/>
      </c>
      <c r="AA633" s="91"/>
    </row>
    <row r="634" customFormat="false" ht="16.5" hidden="false" customHeight="true" outlineLevel="0" collapsed="false">
      <c r="A634" s="86"/>
      <c r="B634" s="91"/>
      <c r="C634" s="91" t="str">
        <f aca="false">IF(D634="","",IFERROR(INDEX(CADASTRO_VIVO_3CRE!$B$2:$B$150,MATCH(D634,CADASTRO_VIVO_3CRE!$E$2:$E$150,0)),""))</f>
        <v/>
      </c>
      <c r="D634" s="91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8"/>
      <c r="S634" s="92" t="str">
        <f aca="true">IF(R634="","",TODAY()-INT(R634))</f>
        <v/>
      </c>
      <c r="T634" s="86"/>
      <c r="U634" s="86"/>
      <c r="V634" s="86"/>
      <c r="W634" s="88"/>
      <c r="X634" s="92" t="str">
        <f aca="true">IF(W634="","",IF(OR(O634="28 - Encerrado",O634="27 - Instalação concluída"),"Concluído",TODAY()-INT(W634)))</f>
        <v/>
      </c>
      <c r="Y634" s="91" t="str">
        <f aca="false">IF(OR(O634="28 - Encerrado",O634="27 - Instalação concluída"),"OK",IF(AND(B634&lt;&gt;"",S634=""),"ATENÇÃO (Sem data de atualização)",IF(S634="","",IF(S634&gt;30,"CRÍTICO (Sem Atualização &gt;30 dias)",IF(S634&gt;15,"ATENÇÃO (Sem Atualização &gt;15 dias)",IF(X634&gt;90,"CRÍTICO (Aberto &gt;90 dias)","OK"))))))</f>
        <v/>
      </c>
      <c r="Z634" s="90" t="str">
        <f aca="false">IF(B634="","",IF(OR(O634="27 - Instalação concluída",O634="28 - Encerrado"),"OK",IF(NOT(ISNUMBER(X634)),"",IF(X634&gt;365,"MUITO ANTIGO (&gt;1 ano)",IF(X634&gt;180,"ANTIGO (&gt;6 meses)",IF(X634&gt;90,"ATENÇÃO ANTIG. (&gt;3 meses)","OK"))))))</f>
        <v/>
      </c>
      <c r="AA634" s="91"/>
    </row>
    <row r="635" customFormat="false" ht="16.5" hidden="false" customHeight="true" outlineLevel="0" collapsed="false">
      <c r="A635" s="86"/>
      <c r="B635" s="91"/>
      <c r="C635" s="91" t="str">
        <f aca="false">IF(D635="","",IFERROR(INDEX(CADASTRO_VIVO_3CRE!$B$2:$B$150,MATCH(D635,CADASTRO_VIVO_3CRE!$E$2:$E$150,0)),""))</f>
        <v/>
      </c>
      <c r="D635" s="91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8"/>
      <c r="S635" s="92" t="str">
        <f aca="true">IF(R635="","",TODAY()-INT(R635))</f>
        <v/>
      </c>
      <c r="T635" s="86"/>
      <c r="U635" s="86"/>
      <c r="V635" s="86"/>
      <c r="W635" s="88"/>
      <c r="X635" s="92" t="str">
        <f aca="true">IF(W635="","",IF(OR(O635="28 - Encerrado",O635="27 - Instalação concluída"),"Concluído",TODAY()-INT(W635)))</f>
        <v/>
      </c>
      <c r="Y635" s="91" t="str">
        <f aca="false">IF(OR(O635="28 - Encerrado",O635="27 - Instalação concluída"),"OK",IF(AND(B635&lt;&gt;"",S635=""),"ATENÇÃO (Sem data de atualização)",IF(S635="","",IF(S635&gt;30,"CRÍTICO (Sem Atualização &gt;30 dias)",IF(S635&gt;15,"ATENÇÃO (Sem Atualização &gt;15 dias)",IF(X635&gt;90,"CRÍTICO (Aberto &gt;90 dias)","OK"))))))</f>
        <v/>
      </c>
      <c r="Z635" s="90" t="str">
        <f aca="false">IF(B635="","",IF(OR(O635="27 - Instalação concluída",O635="28 - Encerrado"),"OK",IF(NOT(ISNUMBER(X635)),"",IF(X635&gt;365,"MUITO ANTIGO (&gt;1 ano)",IF(X635&gt;180,"ANTIGO (&gt;6 meses)",IF(X635&gt;90,"ATENÇÃO ANTIG. (&gt;3 meses)","OK"))))))</f>
        <v/>
      </c>
      <c r="AA635" s="91"/>
    </row>
    <row r="636" customFormat="false" ht="16.5" hidden="false" customHeight="true" outlineLevel="0" collapsed="false">
      <c r="A636" s="86"/>
      <c r="B636" s="91"/>
      <c r="C636" s="91" t="str">
        <f aca="false">IF(D636="","",IFERROR(INDEX(CADASTRO_VIVO_3CRE!$B$2:$B$150,MATCH(D636,CADASTRO_VIVO_3CRE!$E$2:$E$150,0)),""))</f>
        <v/>
      </c>
      <c r="D636" s="91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8"/>
      <c r="S636" s="92" t="str">
        <f aca="true">IF(R636="","",TODAY()-INT(R636))</f>
        <v/>
      </c>
      <c r="T636" s="86"/>
      <c r="U636" s="86"/>
      <c r="V636" s="86"/>
      <c r="W636" s="88"/>
      <c r="X636" s="92" t="str">
        <f aca="true">IF(W636="","",IF(OR(O636="28 - Encerrado",O636="27 - Instalação concluída"),"Concluído",TODAY()-INT(W636)))</f>
        <v/>
      </c>
      <c r="Y636" s="91" t="str">
        <f aca="false">IF(OR(O636="28 - Encerrado",O636="27 - Instalação concluída"),"OK",IF(AND(B636&lt;&gt;"",S636=""),"ATENÇÃO (Sem data de atualização)",IF(S636="","",IF(S636&gt;30,"CRÍTICO (Sem Atualização &gt;30 dias)",IF(S636&gt;15,"ATENÇÃO (Sem Atualização &gt;15 dias)",IF(X636&gt;90,"CRÍTICO (Aberto &gt;90 dias)","OK"))))))</f>
        <v/>
      </c>
      <c r="Z636" s="90" t="str">
        <f aca="false">IF(B636="","",IF(OR(O636="27 - Instalação concluída",O636="28 - Encerrado"),"OK",IF(NOT(ISNUMBER(X636)),"",IF(X636&gt;365,"MUITO ANTIGO (&gt;1 ano)",IF(X636&gt;180,"ANTIGO (&gt;6 meses)",IF(X636&gt;90,"ATENÇÃO ANTIG. (&gt;3 meses)","OK"))))))</f>
        <v/>
      </c>
      <c r="AA636" s="91"/>
    </row>
    <row r="637" customFormat="false" ht="16.5" hidden="false" customHeight="true" outlineLevel="0" collapsed="false">
      <c r="A637" s="86"/>
      <c r="B637" s="91"/>
      <c r="C637" s="91" t="str">
        <f aca="false">IF(D637="","",IFERROR(INDEX(CADASTRO_VIVO_3CRE!$B$2:$B$150,MATCH(D637,CADASTRO_VIVO_3CRE!$E$2:$E$150,0)),""))</f>
        <v/>
      </c>
      <c r="D637" s="91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8"/>
      <c r="S637" s="92" t="str">
        <f aca="true">IF(R637="","",TODAY()-INT(R637))</f>
        <v/>
      </c>
      <c r="T637" s="86"/>
      <c r="U637" s="86"/>
      <c r="V637" s="86"/>
      <c r="W637" s="88"/>
      <c r="X637" s="92" t="str">
        <f aca="true">IF(W637="","",IF(OR(O637="28 - Encerrado",O637="27 - Instalação concluída"),"Concluído",TODAY()-INT(W637)))</f>
        <v/>
      </c>
      <c r="Y637" s="91" t="str">
        <f aca="false">IF(OR(O637="28 - Encerrado",O637="27 - Instalação concluída"),"OK",IF(AND(B637&lt;&gt;"",S637=""),"ATENÇÃO (Sem data de atualização)",IF(S637="","",IF(S637&gt;30,"CRÍTICO (Sem Atualização &gt;30 dias)",IF(S637&gt;15,"ATENÇÃO (Sem Atualização &gt;15 dias)",IF(X637&gt;90,"CRÍTICO (Aberto &gt;90 dias)","OK"))))))</f>
        <v/>
      </c>
      <c r="Z637" s="90" t="str">
        <f aca="false">IF(B637="","",IF(OR(O637="27 - Instalação concluída",O637="28 - Encerrado"),"OK",IF(NOT(ISNUMBER(X637)),"",IF(X637&gt;365,"MUITO ANTIGO (&gt;1 ano)",IF(X637&gt;180,"ANTIGO (&gt;6 meses)",IF(X637&gt;90,"ATENÇÃO ANTIG. (&gt;3 meses)","OK"))))))</f>
        <v/>
      </c>
      <c r="AA637" s="91"/>
    </row>
    <row r="638" customFormat="false" ht="16.5" hidden="false" customHeight="true" outlineLevel="0" collapsed="false">
      <c r="A638" s="86"/>
      <c r="B638" s="91"/>
      <c r="C638" s="91" t="str">
        <f aca="false">IF(D638="","",IFERROR(INDEX(CADASTRO_VIVO_3CRE!$B$2:$B$150,MATCH(D638,CADASTRO_VIVO_3CRE!$E$2:$E$150,0)),""))</f>
        <v/>
      </c>
      <c r="D638" s="91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8"/>
      <c r="S638" s="92" t="str">
        <f aca="true">IF(R638="","",TODAY()-INT(R638))</f>
        <v/>
      </c>
      <c r="T638" s="86"/>
      <c r="U638" s="86"/>
      <c r="V638" s="86"/>
      <c r="W638" s="88"/>
      <c r="X638" s="92" t="str">
        <f aca="true">IF(W638="","",IF(OR(O638="28 - Encerrado",O638="27 - Instalação concluída"),"Concluído",TODAY()-INT(W638)))</f>
        <v/>
      </c>
      <c r="Y638" s="91" t="str">
        <f aca="false">IF(OR(O638="28 - Encerrado",O638="27 - Instalação concluída"),"OK",IF(AND(B638&lt;&gt;"",S638=""),"ATENÇÃO (Sem data de atualização)",IF(S638="","",IF(S638&gt;30,"CRÍTICO (Sem Atualização &gt;30 dias)",IF(S638&gt;15,"ATENÇÃO (Sem Atualização &gt;15 dias)",IF(X638&gt;90,"CRÍTICO (Aberto &gt;90 dias)","OK"))))))</f>
        <v/>
      </c>
      <c r="Z638" s="90" t="str">
        <f aca="false">IF(B638="","",IF(OR(O638="27 - Instalação concluída",O638="28 - Encerrado"),"OK",IF(NOT(ISNUMBER(X638)),"",IF(X638&gt;365,"MUITO ANTIGO (&gt;1 ano)",IF(X638&gt;180,"ANTIGO (&gt;6 meses)",IF(X638&gt;90,"ATENÇÃO ANTIG. (&gt;3 meses)","OK"))))))</f>
        <v/>
      </c>
      <c r="AA638" s="91"/>
    </row>
    <row r="639" customFormat="false" ht="16.5" hidden="false" customHeight="true" outlineLevel="0" collapsed="false">
      <c r="A639" s="86"/>
      <c r="B639" s="91"/>
      <c r="C639" s="91" t="str">
        <f aca="false">IF(D639="","",IFERROR(INDEX(CADASTRO_VIVO_3CRE!$B$2:$B$150,MATCH(D639,CADASTRO_VIVO_3CRE!$E$2:$E$150,0)),""))</f>
        <v/>
      </c>
      <c r="D639" s="91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8"/>
      <c r="S639" s="92" t="str">
        <f aca="true">IF(R639="","",TODAY()-INT(R639))</f>
        <v/>
      </c>
      <c r="T639" s="86"/>
      <c r="U639" s="86"/>
      <c r="V639" s="86"/>
      <c r="W639" s="88"/>
      <c r="X639" s="92" t="str">
        <f aca="true">IF(W639="","",IF(OR(O639="28 - Encerrado",O639="27 - Instalação concluída"),"Concluído",TODAY()-INT(W639)))</f>
        <v/>
      </c>
      <c r="Y639" s="91" t="str">
        <f aca="false">IF(OR(O639="28 - Encerrado",O639="27 - Instalação concluída"),"OK",IF(AND(B639&lt;&gt;"",S639=""),"ATENÇÃO (Sem data de atualização)",IF(S639="","",IF(S639&gt;30,"CRÍTICO (Sem Atualização &gt;30 dias)",IF(S639&gt;15,"ATENÇÃO (Sem Atualização &gt;15 dias)",IF(X639&gt;90,"CRÍTICO (Aberto &gt;90 dias)","OK"))))))</f>
        <v/>
      </c>
      <c r="Z639" s="90" t="str">
        <f aca="false">IF(B639="","",IF(OR(O639="27 - Instalação concluída",O639="28 - Encerrado"),"OK",IF(NOT(ISNUMBER(X639)),"",IF(X639&gt;365,"MUITO ANTIGO (&gt;1 ano)",IF(X639&gt;180,"ANTIGO (&gt;6 meses)",IF(X639&gt;90,"ATENÇÃO ANTIG. (&gt;3 meses)","OK"))))))</f>
        <v/>
      </c>
      <c r="AA639" s="91"/>
    </row>
    <row r="640" customFormat="false" ht="16.5" hidden="false" customHeight="true" outlineLevel="0" collapsed="false">
      <c r="A640" s="86"/>
      <c r="B640" s="91"/>
      <c r="C640" s="91" t="str">
        <f aca="false">IF(D640="","",IFERROR(INDEX(CADASTRO_VIVO_3CRE!$B$2:$B$150,MATCH(D640,CADASTRO_VIVO_3CRE!$E$2:$E$150,0)),""))</f>
        <v/>
      </c>
      <c r="D640" s="91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8"/>
      <c r="S640" s="92" t="str">
        <f aca="true">IF(R640="","",TODAY()-INT(R640))</f>
        <v/>
      </c>
      <c r="T640" s="86"/>
      <c r="U640" s="86"/>
      <c r="V640" s="86"/>
      <c r="W640" s="88"/>
      <c r="X640" s="92" t="str">
        <f aca="true">IF(W640="","",IF(OR(O640="28 - Encerrado",O640="27 - Instalação concluída"),"Concluído",TODAY()-INT(W640)))</f>
        <v/>
      </c>
      <c r="Y640" s="91" t="str">
        <f aca="false">IF(OR(O640="28 - Encerrado",O640="27 - Instalação concluída"),"OK",IF(AND(B640&lt;&gt;"",S640=""),"ATENÇÃO (Sem data de atualização)",IF(S640="","",IF(S640&gt;30,"CRÍTICO (Sem Atualização &gt;30 dias)",IF(S640&gt;15,"ATENÇÃO (Sem Atualização &gt;15 dias)",IF(X640&gt;90,"CRÍTICO (Aberto &gt;90 dias)","OK"))))))</f>
        <v/>
      </c>
      <c r="Z640" s="90" t="str">
        <f aca="false">IF(B640="","",IF(OR(O640="27 - Instalação concluída",O640="28 - Encerrado"),"OK",IF(NOT(ISNUMBER(X640)),"",IF(X640&gt;365,"MUITO ANTIGO (&gt;1 ano)",IF(X640&gt;180,"ANTIGO (&gt;6 meses)",IF(X640&gt;90,"ATENÇÃO ANTIG. (&gt;3 meses)","OK"))))))</f>
        <v/>
      </c>
      <c r="AA640" s="91"/>
    </row>
    <row r="641" customFormat="false" ht="16.5" hidden="false" customHeight="true" outlineLevel="0" collapsed="false">
      <c r="A641" s="86"/>
      <c r="B641" s="91"/>
      <c r="C641" s="91" t="str">
        <f aca="false">IF(D641="","",IFERROR(INDEX(CADASTRO_VIVO_3CRE!$B$2:$B$150,MATCH(D641,CADASTRO_VIVO_3CRE!$E$2:$E$150,0)),""))</f>
        <v/>
      </c>
      <c r="D641" s="91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8"/>
      <c r="S641" s="92" t="str">
        <f aca="true">IF(R641="","",TODAY()-INT(R641))</f>
        <v/>
      </c>
      <c r="T641" s="86"/>
      <c r="U641" s="86"/>
      <c r="V641" s="86"/>
      <c r="W641" s="88"/>
      <c r="X641" s="92" t="str">
        <f aca="true">IF(W641="","",IF(OR(O641="28 - Encerrado",O641="27 - Instalação concluída"),"Concluído",TODAY()-INT(W641)))</f>
        <v/>
      </c>
      <c r="Y641" s="91" t="str">
        <f aca="false">IF(OR(O641="28 - Encerrado",O641="27 - Instalação concluída"),"OK",IF(AND(B641&lt;&gt;"",S641=""),"ATENÇÃO (Sem data de atualização)",IF(S641="","",IF(S641&gt;30,"CRÍTICO (Sem Atualização &gt;30 dias)",IF(S641&gt;15,"ATENÇÃO (Sem Atualização &gt;15 dias)",IF(X641&gt;90,"CRÍTICO (Aberto &gt;90 dias)","OK"))))))</f>
        <v/>
      </c>
      <c r="Z641" s="90" t="str">
        <f aca="false">IF(B641="","",IF(OR(O641="27 - Instalação concluída",O641="28 - Encerrado"),"OK",IF(NOT(ISNUMBER(X641)),"",IF(X641&gt;365,"MUITO ANTIGO (&gt;1 ano)",IF(X641&gt;180,"ANTIGO (&gt;6 meses)",IF(X641&gt;90,"ATENÇÃO ANTIG. (&gt;3 meses)","OK"))))))</f>
        <v/>
      </c>
      <c r="AA641" s="91"/>
    </row>
    <row r="642" customFormat="false" ht="16.5" hidden="false" customHeight="true" outlineLevel="0" collapsed="false">
      <c r="A642" s="86"/>
      <c r="B642" s="91"/>
      <c r="C642" s="91" t="str">
        <f aca="false">IF(D642="","",IFERROR(INDEX(CADASTRO_VIVO_3CRE!$B$2:$B$150,MATCH(D642,CADASTRO_VIVO_3CRE!$E$2:$E$150,0)),""))</f>
        <v/>
      </c>
      <c r="D642" s="91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8"/>
      <c r="S642" s="92" t="str">
        <f aca="true">IF(R642="","",TODAY()-INT(R642))</f>
        <v/>
      </c>
      <c r="T642" s="86"/>
      <c r="U642" s="86"/>
      <c r="V642" s="86"/>
      <c r="W642" s="88"/>
      <c r="X642" s="92" t="str">
        <f aca="true">IF(W642="","",IF(OR(O642="28 - Encerrado",O642="27 - Instalação concluída"),"Concluído",TODAY()-INT(W642)))</f>
        <v/>
      </c>
      <c r="Y642" s="91" t="str">
        <f aca="false">IF(OR(O642="28 - Encerrado",O642="27 - Instalação concluída"),"OK",IF(AND(B642&lt;&gt;"",S642=""),"ATENÇÃO (Sem data de atualização)",IF(S642="","",IF(S642&gt;30,"CRÍTICO (Sem Atualização &gt;30 dias)",IF(S642&gt;15,"ATENÇÃO (Sem Atualização &gt;15 dias)",IF(X642&gt;90,"CRÍTICO (Aberto &gt;90 dias)","OK"))))))</f>
        <v/>
      </c>
      <c r="Z642" s="90" t="str">
        <f aca="false">IF(B642="","",IF(OR(O642="27 - Instalação concluída",O642="28 - Encerrado"),"OK",IF(NOT(ISNUMBER(X642)),"",IF(X642&gt;365,"MUITO ANTIGO (&gt;1 ano)",IF(X642&gt;180,"ANTIGO (&gt;6 meses)",IF(X642&gt;90,"ATENÇÃO ANTIG. (&gt;3 meses)","OK"))))))</f>
        <v/>
      </c>
      <c r="AA642" s="91"/>
    </row>
    <row r="643" customFormat="false" ht="16.5" hidden="false" customHeight="true" outlineLevel="0" collapsed="false">
      <c r="A643" s="86"/>
      <c r="B643" s="91"/>
      <c r="C643" s="91" t="str">
        <f aca="false">IF(D643="","",IFERROR(INDEX(CADASTRO_VIVO_3CRE!$B$2:$B$150,MATCH(D643,CADASTRO_VIVO_3CRE!$E$2:$E$150,0)),""))</f>
        <v/>
      </c>
      <c r="D643" s="91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8"/>
      <c r="S643" s="92" t="str">
        <f aca="true">IF(R643="","",TODAY()-INT(R643))</f>
        <v/>
      </c>
      <c r="T643" s="86"/>
      <c r="U643" s="86"/>
      <c r="V643" s="86"/>
      <c r="W643" s="88"/>
      <c r="X643" s="92" t="str">
        <f aca="true">IF(W643="","",IF(OR(O643="28 - Encerrado",O643="27 - Instalação concluída"),"Concluído",TODAY()-INT(W643)))</f>
        <v/>
      </c>
      <c r="Y643" s="91" t="str">
        <f aca="false">IF(OR(O643="28 - Encerrado",O643="27 - Instalação concluída"),"OK",IF(AND(B643&lt;&gt;"",S643=""),"ATENÇÃO (Sem data de atualização)",IF(S643="","",IF(S643&gt;30,"CRÍTICO (Sem Atualização &gt;30 dias)",IF(S643&gt;15,"ATENÇÃO (Sem Atualização &gt;15 dias)",IF(X643&gt;90,"CRÍTICO (Aberto &gt;90 dias)","OK"))))))</f>
        <v/>
      </c>
      <c r="Z643" s="90" t="str">
        <f aca="false">IF(B643="","",IF(OR(O643="27 - Instalação concluída",O643="28 - Encerrado"),"OK",IF(NOT(ISNUMBER(X643)),"",IF(X643&gt;365,"MUITO ANTIGO (&gt;1 ano)",IF(X643&gt;180,"ANTIGO (&gt;6 meses)",IF(X643&gt;90,"ATENÇÃO ANTIG. (&gt;3 meses)","OK"))))))</f>
        <v/>
      </c>
      <c r="AA643" s="91"/>
    </row>
    <row r="644" customFormat="false" ht="16.5" hidden="false" customHeight="true" outlineLevel="0" collapsed="false">
      <c r="A644" s="86"/>
      <c r="B644" s="91"/>
      <c r="C644" s="91" t="str">
        <f aca="false">IF(D644="","",IFERROR(INDEX(CADASTRO_VIVO_3CRE!$B$2:$B$150,MATCH(D644,CADASTRO_VIVO_3CRE!$E$2:$E$150,0)),""))</f>
        <v/>
      </c>
      <c r="D644" s="91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8"/>
      <c r="S644" s="92" t="str">
        <f aca="true">IF(R644="","",TODAY()-INT(R644))</f>
        <v/>
      </c>
      <c r="T644" s="86"/>
      <c r="U644" s="86"/>
      <c r="V644" s="86"/>
      <c r="W644" s="88"/>
      <c r="X644" s="92" t="str">
        <f aca="true">IF(W644="","",IF(OR(O644="28 - Encerrado",O644="27 - Instalação concluída"),"Concluído",TODAY()-INT(W644)))</f>
        <v/>
      </c>
      <c r="Y644" s="91" t="str">
        <f aca="false">IF(OR(O644="28 - Encerrado",O644="27 - Instalação concluída"),"OK",IF(AND(B644&lt;&gt;"",S644=""),"ATENÇÃO (Sem data de atualização)",IF(S644="","",IF(S644&gt;30,"CRÍTICO (Sem Atualização &gt;30 dias)",IF(S644&gt;15,"ATENÇÃO (Sem Atualização &gt;15 dias)",IF(X644&gt;90,"CRÍTICO (Aberto &gt;90 dias)","OK"))))))</f>
        <v/>
      </c>
      <c r="Z644" s="90" t="str">
        <f aca="false">IF(B644="","",IF(OR(O644="27 - Instalação concluída",O644="28 - Encerrado"),"OK",IF(NOT(ISNUMBER(X644)),"",IF(X644&gt;365,"MUITO ANTIGO (&gt;1 ano)",IF(X644&gt;180,"ANTIGO (&gt;6 meses)",IF(X644&gt;90,"ATENÇÃO ANTIG. (&gt;3 meses)","OK"))))))</f>
        <v/>
      </c>
      <c r="AA644" s="91"/>
    </row>
    <row r="645" customFormat="false" ht="16.5" hidden="false" customHeight="true" outlineLevel="0" collapsed="false">
      <c r="A645" s="86"/>
      <c r="B645" s="91"/>
      <c r="C645" s="91" t="str">
        <f aca="false">IF(D645="","",IFERROR(INDEX(CADASTRO_VIVO_3CRE!$B$2:$B$150,MATCH(D645,CADASTRO_VIVO_3CRE!$E$2:$E$150,0)),""))</f>
        <v/>
      </c>
      <c r="D645" s="91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8"/>
      <c r="S645" s="92" t="str">
        <f aca="true">IF(R645="","",TODAY()-INT(R645))</f>
        <v/>
      </c>
      <c r="T645" s="86"/>
      <c r="U645" s="86"/>
      <c r="V645" s="86"/>
      <c r="W645" s="88"/>
      <c r="X645" s="92" t="str">
        <f aca="true">IF(W645="","",IF(OR(O645="28 - Encerrado",O645="27 - Instalação concluída"),"Concluído",TODAY()-INT(W645)))</f>
        <v/>
      </c>
      <c r="Y645" s="91" t="str">
        <f aca="false">IF(OR(O645="28 - Encerrado",O645="27 - Instalação concluída"),"OK",IF(AND(B645&lt;&gt;"",S645=""),"ATENÇÃO (Sem data de atualização)",IF(S645="","",IF(S645&gt;30,"CRÍTICO (Sem Atualização &gt;30 dias)",IF(S645&gt;15,"ATENÇÃO (Sem Atualização &gt;15 dias)",IF(X645&gt;90,"CRÍTICO (Aberto &gt;90 dias)","OK"))))))</f>
        <v/>
      </c>
      <c r="Z645" s="90" t="str">
        <f aca="false">IF(B645="","",IF(OR(O645="27 - Instalação concluída",O645="28 - Encerrado"),"OK",IF(NOT(ISNUMBER(X645)),"",IF(X645&gt;365,"MUITO ANTIGO (&gt;1 ano)",IF(X645&gt;180,"ANTIGO (&gt;6 meses)",IF(X645&gt;90,"ATENÇÃO ANTIG. (&gt;3 meses)","OK"))))))</f>
        <v/>
      </c>
      <c r="AA645" s="91"/>
    </row>
    <row r="646" customFormat="false" ht="16.5" hidden="false" customHeight="true" outlineLevel="0" collapsed="false">
      <c r="A646" s="86"/>
      <c r="B646" s="91"/>
      <c r="C646" s="91" t="str">
        <f aca="false">IF(D646="","",IFERROR(INDEX(CADASTRO_VIVO_3CRE!$B$2:$B$150,MATCH(D646,CADASTRO_VIVO_3CRE!$E$2:$E$150,0)),""))</f>
        <v/>
      </c>
      <c r="D646" s="91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8"/>
      <c r="S646" s="92" t="str">
        <f aca="true">IF(R646="","",TODAY()-INT(R646))</f>
        <v/>
      </c>
      <c r="T646" s="86"/>
      <c r="U646" s="86"/>
      <c r="V646" s="86"/>
      <c r="W646" s="88"/>
      <c r="X646" s="92" t="str">
        <f aca="true">IF(W646="","",IF(OR(O646="28 - Encerrado",O646="27 - Instalação concluída"),"Concluído",TODAY()-INT(W646)))</f>
        <v/>
      </c>
      <c r="Y646" s="91" t="str">
        <f aca="false">IF(OR(O646="28 - Encerrado",O646="27 - Instalação concluída"),"OK",IF(AND(B646&lt;&gt;"",S646=""),"ATENÇÃO (Sem data de atualização)",IF(S646="","",IF(S646&gt;30,"CRÍTICO (Sem Atualização &gt;30 dias)",IF(S646&gt;15,"ATENÇÃO (Sem Atualização &gt;15 dias)",IF(X646&gt;90,"CRÍTICO (Aberto &gt;90 dias)","OK"))))))</f>
        <v/>
      </c>
      <c r="Z646" s="90" t="str">
        <f aca="false">IF(B646="","",IF(OR(O646="27 - Instalação concluída",O646="28 - Encerrado"),"OK",IF(NOT(ISNUMBER(X646)),"",IF(X646&gt;365,"MUITO ANTIGO (&gt;1 ano)",IF(X646&gt;180,"ANTIGO (&gt;6 meses)",IF(X646&gt;90,"ATENÇÃO ANTIG. (&gt;3 meses)","OK"))))))</f>
        <v/>
      </c>
      <c r="AA646" s="91"/>
    </row>
    <row r="647" customFormat="false" ht="16.5" hidden="false" customHeight="true" outlineLevel="0" collapsed="false">
      <c r="A647" s="86"/>
      <c r="B647" s="91"/>
      <c r="C647" s="91" t="str">
        <f aca="false">IF(D647="","",IFERROR(INDEX(CADASTRO_VIVO_3CRE!$B$2:$B$150,MATCH(D647,CADASTRO_VIVO_3CRE!$E$2:$E$150,0)),""))</f>
        <v/>
      </c>
      <c r="D647" s="91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8"/>
      <c r="S647" s="92" t="str">
        <f aca="true">IF(R647="","",TODAY()-INT(R647))</f>
        <v/>
      </c>
      <c r="T647" s="86"/>
      <c r="U647" s="86"/>
      <c r="V647" s="86"/>
      <c r="W647" s="88"/>
      <c r="X647" s="92" t="str">
        <f aca="true">IF(W647="","",IF(OR(O647="28 - Encerrado",O647="27 - Instalação concluída"),"Concluído",TODAY()-INT(W647)))</f>
        <v/>
      </c>
      <c r="Y647" s="91" t="str">
        <f aca="false">IF(OR(O647="28 - Encerrado",O647="27 - Instalação concluída"),"OK",IF(AND(B647&lt;&gt;"",S647=""),"ATENÇÃO (Sem data de atualização)",IF(S647="","",IF(S647&gt;30,"CRÍTICO (Sem Atualização &gt;30 dias)",IF(S647&gt;15,"ATENÇÃO (Sem Atualização &gt;15 dias)",IF(X647&gt;90,"CRÍTICO (Aberto &gt;90 dias)","OK"))))))</f>
        <v/>
      </c>
      <c r="Z647" s="90" t="str">
        <f aca="false">IF(B647="","",IF(OR(O647="27 - Instalação concluída",O647="28 - Encerrado"),"OK",IF(NOT(ISNUMBER(X647)),"",IF(X647&gt;365,"MUITO ANTIGO (&gt;1 ano)",IF(X647&gt;180,"ANTIGO (&gt;6 meses)",IF(X647&gt;90,"ATENÇÃO ANTIG. (&gt;3 meses)","OK"))))))</f>
        <v/>
      </c>
      <c r="AA647" s="91"/>
    </row>
    <row r="648" customFormat="false" ht="16.5" hidden="false" customHeight="true" outlineLevel="0" collapsed="false">
      <c r="A648" s="86"/>
      <c r="B648" s="91"/>
      <c r="C648" s="91" t="str">
        <f aca="false">IF(D648="","",IFERROR(INDEX(CADASTRO_VIVO_3CRE!$B$2:$B$150,MATCH(D648,CADASTRO_VIVO_3CRE!$E$2:$E$150,0)),""))</f>
        <v/>
      </c>
      <c r="D648" s="91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8"/>
      <c r="S648" s="92" t="str">
        <f aca="true">IF(R648="","",TODAY()-INT(R648))</f>
        <v/>
      </c>
      <c r="T648" s="86"/>
      <c r="U648" s="86"/>
      <c r="V648" s="86"/>
      <c r="W648" s="88"/>
      <c r="X648" s="92" t="str">
        <f aca="true">IF(W648="","",IF(OR(O648="28 - Encerrado",O648="27 - Instalação concluída"),"Concluído",TODAY()-INT(W648)))</f>
        <v/>
      </c>
      <c r="Y648" s="91" t="str">
        <f aca="false">IF(OR(O648="28 - Encerrado",O648="27 - Instalação concluída"),"OK",IF(AND(B648&lt;&gt;"",S648=""),"ATENÇÃO (Sem data de atualização)",IF(S648="","",IF(S648&gt;30,"CRÍTICO (Sem Atualização &gt;30 dias)",IF(S648&gt;15,"ATENÇÃO (Sem Atualização &gt;15 dias)",IF(X648&gt;90,"CRÍTICO (Aberto &gt;90 dias)","OK"))))))</f>
        <v/>
      </c>
      <c r="Z648" s="90" t="str">
        <f aca="false">IF(B648="","",IF(OR(O648="27 - Instalação concluída",O648="28 - Encerrado"),"OK",IF(NOT(ISNUMBER(X648)),"",IF(X648&gt;365,"MUITO ANTIGO (&gt;1 ano)",IF(X648&gt;180,"ANTIGO (&gt;6 meses)",IF(X648&gt;90,"ATENÇÃO ANTIG. (&gt;3 meses)","OK"))))))</f>
        <v/>
      </c>
      <c r="AA648" s="91"/>
    </row>
    <row r="649" customFormat="false" ht="16.5" hidden="false" customHeight="true" outlineLevel="0" collapsed="false">
      <c r="A649" s="86"/>
      <c r="B649" s="91"/>
      <c r="C649" s="91" t="str">
        <f aca="false">IF(D649="","",IFERROR(INDEX(CADASTRO_VIVO_3CRE!$B$2:$B$150,MATCH(D649,CADASTRO_VIVO_3CRE!$E$2:$E$150,0)),""))</f>
        <v/>
      </c>
      <c r="D649" s="91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8"/>
      <c r="S649" s="92" t="str">
        <f aca="true">IF(R649="","",TODAY()-INT(R649))</f>
        <v/>
      </c>
      <c r="T649" s="86"/>
      <c r="U649" s="86"/>
      <c r="V649" s="86"/>
      <c r="W649" s="88"/>
      <c r="X649" s="92" t="str">
        <f aca="true">IF(W649="","",IF(OR(O649="28 - Encerrado",O649="27 - Instalação concluída"),"Concluído",TODAY()-INT(W649)))</f>
        <v/>
      </c>
      <c r="Y649" s="91" t="str">
        <f aca="false">IF(OR(O649="28 - Encerrado",O649="27 - Instalação concluída"),"OK",IF(AND(B649&lt;&gt;"",S649=""),"ATENÇÃO (Sem data de atualização)",IF(S649="","",IF(S649&gt;30,"CRÍTICO (Sem Atualização &gt;30 dias)",IF(S649&gt;15,"ATENÇÃO (Sem Atualização &gt;15 dias)",IF(X649&gt;90,"CRÍTICO (Aberto &gt;90 dias)","OK"))))))</f>
        <v/>
      </c>
      <c r="Z649" s="90" t="str">
        <f aca="false">IF(B649="","",IF(OR(O649="27 - Instalação concluída",O649="28 - Encerrado"),"OK",IF(NOT(ISNUMBER(X649)),"",IF(X649&gt;365,"MUITO ANTIGO (&gt;1 ano)",IF(X649&gt;180,"ANTIGO (&gt;6 meses)",IF(X649&gt;90,"ATENÇÃO ANTIG. (&gt;3 meses)","OK"))))))</f>
        <v/>
      </c>
      <c r="AA649" s="91"/>
    </row>
    <row r="650" customFormat="false" ht="16.5" hidden="false" customHeight="true" outlineLevel="0" collapsed="false">
      <c r="A650" s="86"/>
      <c r="B650" s="91"/>
      <c r="C650" s="91" t="str">
        <f aca="false">IF(D650="","",IFERROR(INDEX(CADASTRO_VIVO_3CRE!$B$2:$B$150,MATCH(D650,CADASTRO_VIVO_3CRE!$E$2:$E$150,0)),""))</f>
        <v/>
      </c>
      <c r="D650" s="91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8"/>
      <c r="S650" s="92" t="str">
        <f aca="true">IF(R650="","",TODAY()-INT(R650))</f>
        <v/>
      </c>
      <c r="T650" s="86"/>
      <c r="U650" s="86"/>
      <c r="V650" s="86"/>
      <c r="W650" s="88"/>
      <c r="X650" s="92" t="str">
        <f aca="true">IF(W650="","",IF(OR(O650="28 - Encerrado",O650="27 - Instalação concluída"),"Concluído",TODAY()-INT(W650)))</f>
        <v/>
      </c>
      <c r="Y650" s="91" t="str">
        <f aca="false">IF(OR(O650="28 - Encerrado",O650="27 - Instalação concluída"),"OK",IF(AND(B650&lt;&gt;"",S650=""),"ATENÇÃO (Sem data de atualização)",IF(S650="","",IF(S650&gt;30,"CRÍTICO (Sem Atualização &gt;30 dias)",IF(S650&gt;15,"ATENÇÃO (Sem Atualização &gt;15 dias)",IF(X650&gt;90,"CRÍTICO (Aberto &gt;90 dias)","OK"))))))</f>
        <v/>
      </c>
      <c r="Z650" s="90" t="str">
        <f aca="false">IF(B650="","",IF(OR(O650="27 - Instalação concluída",O650="28 - Encerrado"),"OK",IF(NOT(ISNUMBER(X650)),"",IF(X650&gt;365,"MUITO ANTIGO (&gt;1 ano)",IF(X650&gt;180,"ANTIGO (&gt;6 meses)",IF(X650&gt;90,"ATENÇÃO ANTIG. (&gt;3 meses)","OK"))))))</f>
        <v/>
      </c>
      <c r="AA650" s="91"/>
    </row>
    <row r="651" customFormat="false" ht="16.5" hidden="false" customHeight="true" outlineLevel="0" collapsed="false">
      <c r="A651" s="86"/>
      <c r="B651" s="91"/>
      <c r="C651" s="91" t="str">
        <f aca="false">IF(D651="","",IFERROR(INDEX(CADASTRO_VIVO_3CRE!$B$2:$B$150,MATCH(D651,CADASTRO_VIVO_3CRE!$E$2:$E$150,0)),""))</f>
        <v/>
      </c>
      <c r="D651" s="91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8"/>
      <c r="S651" s="92" t="str">
        <f aca="true">IF(R651="","",TODAY()-INT(R651))</f>
        <v/>
      </c>
      <c r="T651" s="86"/>
      <c r="U651" s="86"/>
      <c r="V651" s="86"/>
      <c r="W651" s="88"/>
      <c r="X651" s="92" t="str">
        <f aca="true">IF(W651="","",IF(OR(O651="28 - Encerrado",O651="27 - Instalação concluída"),"Concluído",TODAY()-INT(W651)))</f>
        <v/>
      </c>
      <c r="Y651" s="91" t="str">
        <f aca="false">IF(OR(O651="28 - Encerrado",O651="27 - Instalação concluída"),"OK",IF(AND(B651&lt;&gt;"",S651=""),"ATENÇÃO (Sem data de atualização)",IF(S651="","",IF(S651&gt;30,"CRÍTICO (Sem Atualização &gt;30 dias)",IF(S651&gt;15,"ATENÇÃO (Sem Atualização &gt;15 dias)",IF(X651&gt;90,"CRÍTICO (Aberto &gt;90 dias)","OK"))))))</f>
        <v/>
      </c>
      <c r="Z651" s="90" t="str">
        <f aca="false">IF(B651="","",IF(OR(O651="27 - Instalação concluída",O651="28 - Encerrado"),"OK",IF(NOT(ISNUMBER(X651)),"",IF(X651&gt;365,"MUITO ANTIGO (&gt;1 ano)",IF(X651&gt;180,"ANTIGO (&gt;6 meses)",IF(X651&gt;90,"ATENÇÃO ANTIG. (&gt;3 meses)","OK"))))))</f>
        <v/>
      </c>
      <c r="AA651" s="91"/>
    </row>
    <row r="652" customFormat="false" ht="16.5" hidden="false" customHeight="true" outlineLevel="0" collapsed="false">
      <c r="A652" s="86"/>
      <c r="B652" s="91"/>
      <c r="C652" s="91" t="str">
        <f aca="false">IF(D652="","",IFERROR(INDEX(CADASTRO_VIVO_3CRE!$B$2:$B$150,MATCH(D652,CADASTRO_VIVO_3CRE!$E$2:$E$150,0)),""))</f>
        <v/>
      </c>
      <c r="D652" s="91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8"/>
      <c r="S652" s="92" t="str">
        <f aca="true">IF(R652="","",TODAY()-INT(R652))</f>
        <v/>
      </c>
      <c r="T652" s="86"/>
      <c r="U652" s="86"/>
      <c r="V652" s="86"/>
      <c r="W652" s="88"/>
      <c r="X652" s="92" t="str">
        <f aca="true">IF(W652="","",IF(OR(O652="28 - Encerrado",O652="27 - Instalação concluída"),"Concluído",TODAY()-INT(W652)))</f>
        <v/>
      </c>
      <c r="Y652" s="91" t="str">
        <f aca="false">IF(OR(O652="28 - Encerrado",O652="27 - Instalação concluída"),"OK",IF(AND(B652&lt;&gt;"",S652=""),"ATENÇÃO (Sem data de atualização)",IF(S652="","",IF(S652&gt;30,"CRÍTICO (Sem Atualização &gt;30 dias)",IF(S652&gt;15,"ATENÇÃO (Sem Atualização &gt;15 dias)",IF(X652&gt;90,"CRÍTICO (Aberto &gt;90 dias)","OK"))))))</f>
        <v/>
      </c>
      <c r="Z652" s="90" t="str">
        <f aca="false">IF(B652="","",IF(OR(O652="27 - Instalação concluída",O652="28 - Encerrado"),"OK",IF(NOT(ISNUMBER(X652)),"",IF(X652&gt;365,"MUITO ANTIGO (&gt;1 ano)",IF(X652&gt;180,"ANTIGO (&gt;6 meses)",IF(X652&gt;90,"ATENÇÃO ANTIG. (&gt;3 meses)","OK"))))))</f>
        <v/>
      </c>
      <c r="AA652" s="91"/>
    </row>
    <row r="653" customFormat="false" ht="16.5" hidden="false" customHeight="true" outlineLevel="0" collapsed="false">
      <c r="A653" s="86"/>
      <c r="B653" s="91"/>
      <c r="C653" s="91" t="str">
        <f aca="false">IF(D653="","",IFERROR(INDEX(CADASTRO_VIVO_3CRE!$B$2:$B$150,MATCH(D653,CADASTRO_VIVO_3CRE!$E$2:$E$150,0)),""))</f>
        <v/>
      </c>
      <c r="D653" s="91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8"/>
      <c r="S653" s="92" t="str">
        <f aca="true">IF(R653="","",TODAY()-INT(R653))</f>
        <v/>
      </c>
      <c r="T653" s="86"/>
      <c r="U653" s="86"/>
      <c r="V653" s="86"/>
      <c r="W653" s="88"/>
      <c r="X653" s="92" t="str">
        <f aca="true">IF(W653="","",IF(OR(O653="28 - Encerrado",O653="27 - Instalação concluída"),"Concluído",TODAY()-INT(W653)))</f>
        <v/>
      </c>
      <c r="Y653" s="91" t="str">
        <f aca="false">IF(OR(O653="28 - Encerrado",O653="27 - Instalação concluída"),"OK",IF(AND(B653&lt;&gt;"",S653=""),"ATENÇÃO (Sem data de atualização)",IF(S653="","",IF(S653&gt;30,"CRÍTICO (Sem Atualização &gt;30 dias)",IF(S653&gt;15,"ATENÇÃO (Sem Atualização &gt;15 dias)",IF(X653&gt;90,"CRÍTICO (Aberto &gt;90 dias)","OK"))))))</f>
        <v/>
      </c>
      <c r="Z653" s="90" t="str">
        <f aca="false">IF(B653="","",IF(OR(O653="27 - Instalação concluída",O653="28 - Encerrado"),"OK",IF(NOT(ISNUMBER(X653)),"",IF(X653&gt;365,"MUITO ANTIGO (&gt;1 ano)",IF(X653&gt;180,"ANTIGO (&gt;6 meses)",IF(X653&gt;90,"ATENÇÃO ANTIG. (&gt;3 meses)","OK"))))))</f>
        <v/>
      </c>
      <c r="AA653" s="91"/>
    </row>
    <row r="654" customFormat="false" ht="16.5" hidden="false" customHeight="true" outlineLevel="0" collapsed="false">
      <c r="A654" s="86"/>
      <c r="B654" s="91"/>
      <c r="C654" s="91" t="str">
        <f aca="false">IF(D654="","",IFERROR(INDEX(CADASTRO_VIVO_3CRE!$B$2:$B$150,MATCH(D654,CADASTRO_VIVO_3CRE!$E$2:$E$150,0)),""))</f>
        <v/>
      </c>
      <c r="D654" s="91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8"/>
      <c r="S654" s="92" t="str">
        <f aca="true">IF(R654="","",TODAY()-INT(R654))</f>
        <v/>
      </c>
      <c r="T654" s="86"/>
      <c r="U654" s="86"/>
      <c r="V654" s="86"/>
      <c r="W654" s="88"/>
      <c r="X654" s="92" t="str">
        <f aca="true">IF(W654="","",IF(OR(O654="28 - Encerrado",O654="27 - Instalação concluída"),"Concluído",TODAY()-INT(W654)))</f>
        <v/>
      </c>
      <c r="Y654" s="91" t="str">
        <f aca="false">IF(OR(O654="28 - Encerrado",O654="27 - Instalação concluída"),"OK",IF(AND(B654&lt;&gt;"",S654=""),"ATENÇÃO (Sem data de atualização)",IF(S654="","",IF(S654&gt;30,"CRÍTICO (Sem Atualização &gt;30 dias)",IF(S654&gt;15,"ATENÇÃO (Sem Atualização &gt;15 dias)",IF(X654&gt;90,"CRÍTICO (Aberto &gt;90 dias)","OK"))))))</f>
        <v/>
      </c>
      <c r="Z654" s="90" t="str">
        <f aca="false">IF(B654="","",IF(OR(O654="27 - Instalação concluída",O654="28 - Encerrado"),"OK",IF(NOT(ISNUMBER(X654)),"",IF(X654&gt;365,"MUITO ANTIGO (&gt;1 ano)",IF(X654&gt;180,"ANTIGO (&gt;6 meses)",IF(X654&gt;90,"ATENÇÃO ANTIG. (&gt;3 meses)","OK"))))))</f>
        <v/>
      </c>
      <c r="AA654" s="91"/>
    </row>
    <row r="655" customFormat="false" ht="16.5" hidden="false" customHeight="true" outlineLevel="0" collapsed="false">
      <c r="A655" s="86"/>
      <c r="B655" s="91"/>
      <c r="C655" s="91" t="str">
        <f aca="false">IF(D655="","",IFERROR(INDEX(CADASTRO_VIVO_3CRE!$B$2:$B$150,MATCH(D655,CADASTRO_VIVO_3CRE!$E$2:$E$150,0)),""))</f>
        <v/>
      </c>
      <c r="D655" s="91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8"/>
      <c r="S655" s="92" t="str">
        <f aca="true">IF(R655="","",TODAY()-INT(R655))</f>
        <v/>
      </c>
      <c r="T655" s="86"/>
      <c r="U655" s="86"/>
      <c r="V655" s="86"/>
      <c r="W655" s="88"/>
      <c r="X655" s="92" t="str">
        <f aca="true">IF(W655="","",IF(OR(O655="28 - Encerrado",O655="27 - Instalação concluída"),"Concluído",TODAY()-INT(W655)))</f>
        <v/>
      </c>
      <c r="Y655" s="91" t="str">
        <f aca="false">IF(OR(O655="28 - Encerrado",O655="27 - Instalação concluída"),"OK",IF(AND(B655&lt;&gt;"",S655=""),"ATENÇÃO (Sem data de atualização)",IF(S655="","",IF(S655&gt;30,"CRÍTICO (Sem Atualização &gt;30 dias)",IF(S655&gt;15,"ATENÇÃO (Sem Atualização &gt;15 dias)",IF(X655&gt;90,"CRÍTICO (Aberto &gt;90 dias)","OK"))))))</f>
        <v/>
      </c>
      <c r="Z655" s="90" t="str">
        <f aca="false">IF(B655="","",IF(OR(O655="27 - Instalação concluída",O655="28 - Encerrado"),"OK",IF(NOT(ISNUMBER(X655)),"",IF(X655&gt;365,"MUITO ANTIGO (&gt;1 ano)",IF(X655&gt;180,"ANTIGO (&gt;6 meses)",IF(X655&gt;90,"ATENÇÃO ANTIG. (&gt;3 meses)","OK"))))))</f>
        <v/>
      </c>
      <c r="AA655" s="91"/>
    </row>
    <row r="656" customFormat="false" ht="16.5" hidden="false" customHeight="true" outlineLevel="0" collapsed="false">
      <c r="A656" s="86"/>
      <c r="B656" s="91"/>
      <c r="C656" s="91" t="str">
        <f aca="false">IF(D656="","",IFERROR(INDEX(CADASTRO_VIVO_3CRE!$B$2:$B$150,MATCH(D656,CADASTRO_VIVO_3CRE!$E$2:$E$150,0)),""))</f>
        <v/>
      </c>
      <c r="D656" s="91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8"/>
      <c r="S656" s="92" t="str">
        <f aca="true">IF(R656="","",TODAY()-INT(R656))</f>
        <v/>
      </c>
      <c r="T656" s="86"/>
      <c r="U656" s="86"/>
      <c r="V656" s="86"/>
      <c r="W656" s="88"/>
      <c r="X656" s="92" t="str">
        <f aca="true">IF(W656="","",IF(OR(O656="28 - Encerrado",O656="27 - Instalação concluída"),"Concluído",TODAY()-INT(W656)))</f>
        <v/>
      </c>
      <c r="Y656" s="91" t="str">
        <f aca="false">IF(OR(O656="28 - Encerrado",O656="27 - Instalação concluída"),"OK",IF(AND(B656&lt;&gt;"",S656=""),"ATENÇÃO (Sem data de atualização)",IF(S656="","",IF(S656&gt;30,"CRÍTICO (Sem Atualização &gt;30 dias)",IF(S656&gt;15,"ATENÇÃO (Sem Atualização &gt;15 dias)",IF(X656&gt;90,"CRÍTICO (Aberto &gt;90 dias)","OK"))))))</f>
        <v/>
      </c>
      <c r="Z656" s="90" t="str">
        <f aca="false">IF(B656="","",IF(OR(O656="27 - Instalação concluída",O656="28 - Encerrado"),"OK",IF(NOT(ISNUMBER(X656)),"",IF(X656&gt;365,"MUITO ANTIGO (&gt;1 ano)",IF(X656&gt;180,"ANTIGO (&gt;6 meses)",IF(X656&gt;90,"ATENÇÃO ANTIG. (&gt;3 meses)","OK"))))))</f>
        <v/>
      </c>
      <c r="AA656" s="91"/>
    </row>
    <row r="657" customFormat="false" ht="16.5" hidden="false" customHeight="true" outlineLevel="0" collapsed="false">
      <c r="A657" s="86"/>
      <c r="B657" s="91"/>
      <c r="C657" s="91" t="str">
        <f aca="false">IF(D657="","",IFERROR(INDEX(CADASTRO_VIVO_3CRE!$B$2:$B$150,MATCH(D657,CADASTRO_VIVO_3CRE!$E$2:$E$150,0)),""))</f>
        <v/>
      </c>
      <c r="D657" s="91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8"/>
      <c r="S657" s="92" t="str">
        <f aca="true">IF(R657="","",TODAY()-INT(R657))</f>
        <v/>
      </c>
      <c r="T657" s="86"/>
      <c r="U657" s="86"/>
      <c r="V657" s="86"/>
      <c r="W657" s="88"/>
      <c r="X657" s="92" t="str">
        <f aca="true">IF(W657="","",IF(OR(O657="28 - Encerrado",O657="27 - Instalação concluída"),"Concluído",TODAY()-INT(W657)))</f>
        <v/>
      </c>
      <c r="Y657" s="91" t="str">
        <f aca="false">IF(OR(O657="28 - Encerrado",O657="27 - Instalação concluída"),"OK",IF(AND(B657&lt;&gt;"",S657=""),"ATENÇÃO (Sem data de atualização)",IF(S657="","",IF(S657&gt;30,"CRÍTICO (Sem Atualização &gt;30 dias)",IF(S657&gt;15,"ATENÇÃO (Sem Atualização &gt;15 dias)",IF(X657&gt;90,"CRÍTICO (Aberto &gt;90 dias)","OK"))))))</f>
        <v/>
      </c>
      <c r="Z657" s="90" t="str">
        <f aca="false">IF(B657="","",IF(OR(O657="27 - Instalação concluída",O657="28 - Encerrado"),"OK",IF(NOT(ISNUMBER(X657)),"",IF(X657&gt;365,"MUITO ANTIGO (&gt;1 ano)",IF(X657&gt;180,"ANTIGO (&gt;6 meses)",IF(X657&gt;90,"ATENÇÃO ANTIG. (&gt;3 meses)","OK"))))))</f>
        <v/>
      </c>
      <c r="AA657" s="91"/>
    </row>
    <row r="658" customFormat="false" ht="16.5" hidden="false" customHeight="true" outlineLevel="0" collapsed="false">
      <c r="A658" s="86"/>
      <c r="B658" s="91"/>
      <c r="C658" s="91" t="str">
        <f aca="false">IF(D658="","",IFERROR(INDEX(CADASTRO_VIVO_3CRE!$B$2:$B$150,MATCH(D658,CADASTRO_VIVO_3CRE!$E$2:$E$150,0)),""))</f>
        <v/>
      </c>
      <c r="D658" s="91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8"/>
      <c r="S658" s="92" t="str">
        <f aca="true">IF(R658="","",TODAY()-INT(R658))</f>
        <v/>
      </c>
      <c r="T658" s="86"/>
      <c r="U658" s="86"/>
      <c r="V658" s="86"/>
      <c r="W658" s="88"/>
      <c r="X658" s="92" t="str">
        <f aca="true">IF(W658="","",IF(OR(O658="28 - Encerrado",O658="27 - Instalação concluída"),"Concluído",TODAY()-INT(W658)))</f>
        <v/>
      </c>
      <c r="Y658" s="91" t="str">
        <f aca="false">IF(OR(O658="28 - Encerrado",O658="27 - Instalação concluída"),"OK",IF(AND(B658&lt;&gt;"",S658=""),"ATENÇÃO (Sem data de atualização)",IF(S658="","",IF(S658&gt;30,"CRÍTICO (Sem Atualização &gt;30 dias)",IF(S658&gt;15,"ATENÇÃO (Sem Atualização &gt;15 dias)",IF(X658&gt;90,"CRÍTICO (Aberto &gt;90 dias)","OK"))))))</f>
        <v/>
      </c>
      <c r="Z658" s="90" t="str">
        <f aca="false">IF(B658="","",IF(OR(O658="27 - Instalação concluída",O658="28 - Encerrado"),"OK",IF(NOT(ISNUMBER(X658)),"",IF(X658&gt;365,"MUITO ANTIGO (&gt;1 ano)",IF(X658&gt;180,"ANTIGO (&gt;6 meses)",IF(X658&gt;90,"ATENÇÃO ANTIG. (&gt;3 meses)","OK"))))))</f>
        <v/>
      </c>
      <c r="AA658" s="91"/>
    </row>
    <row r="659" customFormat="false" ht="16.5" hidden="false" customHeight="true" outlineLevel="0" collapsed="false">
      <c r="A659" s="86"/>
      <c r="B659" s="91"/>
      <c r="C659" s="91" t="str">
        <f aca="false">IF(D659="","",IFERROR(INDEX(CADASTRO_VIVO_3CRE!$B$2:$B$150,MATCH(D659,CADASTRO_VIVO_3CRE!$E$2:$E$150,0)),""))</f>
        <v/>
      </c>
      <c r="D659" s="91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8"/>
      <c r="S659" s="92" t="str">
        <f aca="true">IF(R659="","",TODAY()-INT(R659))</f>
        <v/>
      </c>
      <c r="T659" s="86"/>
      <c r="U659" s="86"/>
      <c r="V659" s="86"/>
      <c r="W659" s="88"/>
      <c r="X659" s="92" t="str">
        <f aca="true">IF(W659="","",IF(OR(O659="28 - Encerrado",O659="27 - Instalação concluída"),"Concluído",TODAY()-INT(W659)))</f>
        <v/>
      </c>
      <c r="Y659" s="91" t="str">
        <f aca="false">IF(OR(O659="28 - Encerrado",O659="27 - Instalação concluída"),"OK",IF(AND(B659&lt;&gt;"",S659=""),"ATENÇÃO (Sem data de atualização)",IF(S659="","",IF(S659&gt;30,"CRÍTICO (Sem Atualização &gt;30 dias)",IF(S659&gt;15,"ATENÇÃO (Sem Atualização &gt;15 dias)",IF(X659&gt;90,"CRÍTICO (Aberto &gt;90 dias)","OK"))))))</f>
        <v/>
      </c>
      <c r="Z659" s="90" t="str">
        <f aca="false">IF(B659="","",IF(OR(O659="27 - Instalação concluída",O659="28 - Encerrado"),"OK",IF(NOT(ISNUMBER(X659)),"",IF(X659&gt;365,"MUITO ANTIGO (&gt;1 ano)",IF(X659&gt;180,"ANTIGO (&gt;6 meses)",IF(X659&gt;90,"ATENÇÃO ANTIG. (&gt;3 meses)","OK"))))))</f>
        <v/>
      </c>
      <c r="AA659" s="91"/>
    </row>
    <row r="660" customFormat="false" ht="16.5" hidden="false" customHeight="true" outlineLevel="0" collapsed="false">
      <c r="A660" s="86"/>
      <c r="B660" s="91"/>
      <c r="C660" s="91" t="str">
        <f aca="false">IF(D660="","",IFERROR(INDEX(CADASTRO_VIVO_3CRE!$B$2:$B$150,MATCH(D660,CADASTRO_VIVO_3CRE!$E$2:$E$150,0)),""))</f>
        <v/>
      </c>
      <c r="D660" s="91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8"/>
      <c r="S660" s="92" t="str">
        <f aca="true">IF(R660="","",TODAY()-INT(R660))</f>
        <v/>
      </c>
      <c r="T660" s="86"/>
      <c r="U660" s="86"/>
      <c r="V660" s="86"/>
      <c r="W660" s="88"/>
      <c r="X660" s="92" t="str">
        <f aca="true">IF(W660="","",IF(OR(O660="28 - Encerrado",O660="27 - Instalação concluída"),"Concluído",TODAY()-INT(W660)))</f>
        <v/>
      </c>
      <c r="Y660" s="91" t="str">
        <f aca="false">IF(OR(O660="28 - Encerrado",O660="27 - Instalação concluída"),"OK",IF(AND(B660&lt;&gt;"",S660=""),"ATENÇÃO (Sem data de atualização)",IF(S660="","",IF(S660&gt;30,"CRÍTICO (Sem Atualização &gt;30 dias)",IF(S660&gt;15,"ATENÇÃO (Sem Atualização &gt;15 dias)",IF(X660&gt;90,"CRÍTICO (Aberto &gt;90 dias)","OK"))))))</f>
        <v/>
      </c>
      <c r="Z660" s="90" t="str">
        <f aca="false">IF(B660="","",IF(OR(O660="27 - Instalação concluída",O660="28 - Encerrado"),"OK",IF(NOT(ISNUMBER(X660)),"",IF(X660&gt;365,"MUITO ANTIGO (&gt;1 ano)",IF(X660&gt;180,"ANTIGO (&gt;6 meses)",IF(X660&gt;90,"ATENÇÃO ANTIG. (&gt;3 meses)","OK"))))))</f>
        <v/>
      </c>
      <c r="AA660" s="91"/>
    </row>
    <row r="661" customFormat="false" ht="16.5" hidden="false" customHeight="true" outlineLevel="0" collapsed="false">
      <c r="A661" s="86"/>
      <c r="B661" s="91"/>
      <c r="C661" s="91" t="str">
        <f aca="false">IF(D661="","",IFERROR(INDEX(CADASTRO_VIVO_3CRE!$B$2:$B$150,MATCH(D661,CADASTRO_VIVO_3CRE!$E$2:$E$150,0)),""))</f>
        <v/>
      </c>
      <c r="D661" s="91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8"/>
      <c r="S661" s="92" t="str">
        <f aca="true">IF(R661="","",TODAY()-INT(R661))</f>
        <v/>
      </c>
      <c r="T661" s="86"/>
      <c r="U661" s="86"/>
      <c r="V661" s="86"/>
      <c r="W661" s="88"/>
      <c r="X661" s="92" t="str">
        <f aca="true">IF(W661="","",IF(OR(O661="28 - Encerrado",O661="27 - Instalação concluída"),"Concluído",TODAY()-INT(W661)))</f>
        <v/>
      </c>
      <c r="Y661" s="91" t="str">
        <f aca="false">IF(OR(O661="28 - Encerrado",O661="27 - Instalação concluída"),"OK",IF(AND(B661&lt;&gt;"",S661=""),"ATENÇÃO (Sem data de atualização)",IF(S661="","",IF(S661&gt;30,"CRÍTICO (Sem Atualização &gt;30 dias)",IF(S661&gt;15,"ATENÇÃO (Sem Atualização &gt;15 dias)",IF(X661&gt;90,"CRÍTICO (Aberto &gt;90 dias)","OK"))))))</f>
        <v/>
      </c>
      <c r="Z661" s="90" t="str">
        <f aca="false">IF(B661="","",IF(OR(O661="27 - Instalação concluída",O661="28 - Encerrado"),"OK",IF(NOT(ISNUMBER(X661)),"",IF(X661&gt;365,"MUITO ANTIGO (&gt;1 ano)",IF(X661&gt;180,"ANTIGO (&gt;6 meses)",IF(X661&gt;90,"ATENÇÃO ANTIG. (&gt;3 meses)","OK"))))))</f>
        <v/>
      </c>
      <c r="AA661" s="91"/>
    </row>
    <row r="662" customFormat="false" ht="16.5" hidden="false" customHeight="true" outlineLevel="0" collapsed="false">
      <c r="A662" s="86"/>
      <c r="B662" s="91"/>
      <c r="C662" s="91" t="str">
        <f aca="false">IF(D662="","",IFERROR(INDEX(CADASTRO_VIVO_3CRE!$B$2:$B$150,MATCH(D662,CADASTRO_VIVO_3CRE!$E$2:$E$150,0)),""))</f>
        <v/>
      </c>
      <c r="D662" s="91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8"/>
      <c r="S662" s="92" t="str">
        <f aca="true">IF(R662="","",TODAY()-INT(R662))</f>
        <v/>
      </c>
      <c r="T662" s="86"/>
      <c r="U662" s="86"/>
      <c r="V662" s="86"/>
      <c r="W662" s="88"/>
      <c r="X662" s="92" t="str">
        <f aca="true">IF(W662="","",IF(OR(O662="28 - Encerrado",O662="27 - Instalação concluída"),"Concluído",TODAY()-INT(W662)))</f>
        <v/>
      </c>
      <c r="Y662" s="91" t="str">
        <f aca="false">IF(OR(O662="28 - Encerrado",O662="27 - Instalação concluída"),"OK",IF(AND(B662&lt;&gt;"",S662=""),"ATENÇÃO (Sem data de atualização)",IF(S662="","",IF(S662&gt;30,"CRÍTICO (Sem Atualização &gt;30 dias)",IF(S662&gt;15,"ATENÇÃO (Sem Atualização &gt;15 dias)",IF(X662&gt;90,"CRÍTICO (Aberto &gt;90 dias)","OK"))))))</f>
        <v/>
      </c>
      <c r="Z662" s="90" t="str">
        <f aca="false">IF(B662="","",IF(OR(O662="27 - Instalação concluída",O662="28 - Encerrado"),"OK",IF(NOT(ISNUMBER(X662)),"",IF(X662&gt;365,"MUITO ANTIGO (&gt;1 ano)",IF(X662&gt;180,"ANTIGO (&gt;6 meses)",IF(X662&gt;90,"ATENÇÃO ANTIG. (&gt;3 meses)","OK"))))))</f>
        <v/>
      </c>
      <c r="AA662" s="91"/>
    </row>
    <row r="663" customFormat="false" ht="16.5" hidden="false" customHeight="true" outlineLevel="0" collapsed="false">
      <c r="A663" s="86"/>
      <c r="B663" s="91"/>
      <c r="C663" s="91" t="str">
        <f aca="false">IF(D663="","",IFERROR(INDEX(CADASTRO_VIVO_3CRE!$B$2:$B$150,MATCH(D663,CADASTRO_VIVO_3CRE!$E$2:$E$150,0)),""))</f>
        <v/>
      </c>
      <c r="D663" s="91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8"/>
      <c r="S663" s="92" t="str">
        <f aca="true">IF(R663="","",TODAY()-INT(R663))</f>
        <v/>
      </c>
      <c r="T663" s="86"/>
      <c r="U663" s="86"/>
      <c r="V663" s="86"/>
      <c r="W663" s="88"/>
      <c r="X663" s="92" t="str">
        <f aca="true">IF(W663="","",IF(OR(O663="28 - Encerrado",O663="27 - Instalação concluída"),"Concluído",TODAY()-INT(W663)))</f>
        <v/>
      </c>
      <c r="Y663" s="91" t="str">
        <f aca="false">IF(OR(O663="28 - Encerrado",O663="27 - Instalação concluída"),"OK",IF(AND(B663&lt;&gt;"",S663=""),"ATENÇÃO (Sem data de atualização)",IF(S663="","",IF(S663&gt;30,"CRÍTICO (Sem Atualização &gt;30 dias)",IF(S663&gt;15,"ATENÇÃO (Sem Atualização &gt;15 dias)",IF(X663&gt;90,"CRÍTICO (Aberto &gt;90 dias)","OK"))))))</f>
        <v/>
      </c>
      <c r="Z663" s="90" t="str">
        <f aca="false">IF(B663="","",IF(OR(O663="27 - Instalação concluída",O663="28 - Encerrado"),"OK",IF(NOT(ISNUMBER(X663)),"",IF(X663&gt;365,"MUITO ANTIGO (&gt;1 ano)",IF(X663&gt;180,"ANTIGO (&gt;6 meses)",IF(X663&gt;90,"ATENÇÃO ANTIG. (&gt;3 meses)","OK"))))))</f>
        <v/>
      </c>
      <c r="AA663" s="91"/>
    </row>
    <row r="664" customFormat="false" ht="16.5" hidden="false" customHeight="true" outlineLevel="0" collapsed="false">
      <c r="A664" s="86"/>
      <c r="B664" s="91"/>
      <c r="C664" s="91" t="str">
        <f aca="false">IF(D664="","",IFERROR(INDEX(CADASTRO_VIVO_3CRE!$B$2:$B$150,MATCH(D664,CADASTRO_VIVO_3CRE!$E$2:$E$150,0)),""))</f>
        <v/>
      </c>
      <c r="D664" s="91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8"/>
      <c r="S664" s="92" t="str">
        <f aca="true">IF(R664="","",TODAY()-INT(R664))</f>
        <v/>
      </c>
      <c r="T664" s="86"/>
      <c r="U664" s="86"/>
      <c r="V664" s="86"/>
      <c r="W664" s="88"/>
      <c r="X664" s="92" t="str">
        <f aca="true">IF(W664="","",IF(OR(O664="28 - Encerrado",O664="27 - Instalação concluída"),"Concluído",TODAY()-INT(W664)))</f>
        <v/>
      </c>
      <c r="Y664" s="91" t="str">
        <f aca="false">IF(OR(O664="28 - Encerrado",O664="27 - Instalação concluída"),"OK",IF(AND(B664&lt;&gt;"",S664=""),"ATENÇÃO (Sem data de atualização)",IF(S664="","",IF(S664&gt;30,"CRÍTICO (Sem Atualização &gt;30 dias)",IF(S664&gt;15,"ATENÇÃO (Sem Atualização &gt;15 dias)",IF(X664&gt;90,"CRÍTICO (Aberto &gt;90 dias)","OK"))))))</f>
        <v/>
      </c>
      <c r="Z664" s="90" t="str">
        <f aca="false">IF(B664="","",IF(OR(O664="27 - Instalação concluída",O664="28 - Encerrado"),"OK",IF(NOT(ISNUMBER(X664)),"",IF(X664&gt;365,"MUITO ANTIGO (&gt;1 ano)",IF(X664&gt;180,"ANTIGO (&gt;6 meses)",IF(X664&gt;90,"ATENÇÃO ANTIG. (&gt;3 meses)","OK"))))))</f>
        <v/>
      </c>
      <c r="AA664" s="91"/>
    </row>
    <row r="665" customFormat="false" ht="16.5" hidden="false" customHeight="true" outlineLevel="0" collapsed="false">
      <c r="A665" s="86"/>
      <c r="B665" s="91"/>
      <c r="C665" s="91" t="str">
        <f aca="false">IF(D665="","",IFERROR(INDEX(CADASTRO_VIVO_3CRE!$B$2:$B$150,MATCH(D665,CADASTRO_VIVO_3CRE!$E$2:$E$150,0)),""))</f>
        <v/>
      </c>
      <c r="D665" s="91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8"/>
      <c r="S665" s="92" t="str">
        <f aca="true">IF(R665="","",TODAY()-INT(R665))</f>
        <v/>
      </c>
      <c r="T665" s="86"/>
      <c r="U665" s="86"/>
      <c r="V665" s="86"/>
      <c r="W665" s="88"/>
      <c r="X665" s="92" t="str">
        <f aca="true">IF(W665="","",IF(OR(O665="28 - Encerrado",O665="27 - Instalação concluída"),"Concluído",TODAY()-INT(W665)))</f>
        <v/>
      </c>
      <c r="Y665" s="91" t="str">
        <f aca="false">IF(OR(O665="28 - Encerrado",O665="27 - Instalação concluída"),"OK",IF(AND(B665&lt;&gt;"",S665=""),"ATENÇÃO (Sem data de atualização)",IF(S665="","",IF(S665&gt;30,"CRÍTICO (Sem Atualização &gt;30 dias)",IF(S665&gt;15,"ATENÇÃO (Sem Atualização &gt;15 dias)",IF(X665&gt;90,"CRÍTICO (Aberto &gt;90 dias)","OK"))))))</f>
        <v/>
      </c>
      <c r="Z665" s="90" t="str">
        <f aca="false">IF(B665="","",IF(OR(O665="27 - Instalação concluída",O665="28 - Encerrado"),"OK",IF(NOT(ISNUMBER(X665)),"",IF(X665&gt;365,"MUITO ANTIGO (&gt;1 ano)",IF(X665&gt;180,"ANTIGO (&gt;6 meses)",IF(X665&gt;90,"ATENÇÃO ANTIG. (&gt;3 meses)","OK"))))))</f>
        <v/>
      </c>
      <c r="AA665" s="91"/>
    </row>
    <row r="666" customFormat="false" ht="16.5" hidden="false" customHeight="true" outlineLevel="0" collapsed="false">
      <c r="A666" s="86"/>
      <c r="B666" s="91"/>
      <c r="C666" s="91" t="str">
        <f aca="false">IF(D666="","",IFERROR(INDEX(CADASTRO_VIVO_3CRE!$B$2:$B$150,MATCH(D666,CADASTRO_VIVO_3CRE!$E$2:$E$150,0)),""))</f>
        <v/>
      </c>
      <c r="D666" s="91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8"/>
      <c r="S666" s="92" t="str">
        <f aca="true">IF(R666="","",TODAY()-INT(R666))</f>
        <v/>
      </c>
      <c r="T666" s="86"/>
      <c r="U666" s="86"/>
      <c r="V666" s="86"/>
      <c r="W666" s="88"/>
      <c r="X666" s="92" t="str">
        <f aca="true">IF(W666="","",IF(OR(O666="28 - Encerrado",O666="27 - Instalação concluída"),"Concluído",TODAY()-INT(W666)))</f>
        <v/>
      </c>
      <c r="Y666" s="91" t="str">
        <f aca="false">IF(OR(O666="28 - Encerrado",O666="27 - Instalação concluída"),"OK",IF(AND(B666&lt;&gt;"",S666=""),"ATENÇÃO (Sem data de atualização)",IF(S666="","",IF(S666&gt;30,"CRÍTICO (Sem Atualização &gt;30 dias)",IF(S666&gt;15,"ATENÇÃO (Sem Atualização &gt;15 dias)",IF(X666&gt;90,"CRÍTICO (Aberto &gt;90 dias)","OK"))))))</f>
        <v/>
      </c>
      <c r="Z666" s="90" t="str">
        <f aca="false">IF(B666="","",IF(OR(O666="27 - Instalação concluída",O666="28 - Encerrado"),"OK",IF(NOT(ISNUMBER(X666)),"",IF(X666&gt;365,"MUITO ANTIGO (&gt;1 ano)",IF(X666&gt;180,"ANTIGO (&gt;6 meses)",IF(X666&gt;90,"ATENÇÃO ANTIG. (&gt;3 meses)","OK"))))))</f>
        <v/>
      </c>
      <c r="AA666" s="91"/>
    </row>
    <row r="667" customFormat="false" ht="16.5" hidden="false" customHeight="true" outlineLevel="0" collapsed="false">
      <c r="A667" s="86"/>
      <c r="B667" s="91"/>
      <c r="C667" s="91" t="str">
        <f aca="false">IF(D667="","",IFERROR(INDEX(CADASTRO_VIVO_3CRE!$B$2:$B$150,MATCH(D667,CADASTRO_VIVO_3CRE!$E$2:$E$150,0)),""))</f>
        <v/>
      </c>
      <c r="D667" s="91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8"/>
      <c r="S667" s="92" t="str">
        <f aca="true">IF(R667="","",TODAY()-INT(R667))</f>
        <v/>
      </c>
      <c r="T667" s="86"/>
      <c r="U667" s="86"/>
      <c r="V667" s="86"/>
      <c r="W667" s="88"/>
      <c r="X667" s="92" t="str">
        <f aca="true">IF(W667="","",IF(OR(O667="28 - Encerrado",O667="27 - Instalação concluída"),"Concluído",TODAY()-INT(W667)))</f>
        <v/>
      </c>
      <c r="Y667" s="91" t="str">
        <f aca="false">IF(OR(O667="28 - Encerrado",O667="27 - Instalação concluída"),"OK",IF(AND(B667&lt;&gt;"",S667=""),"ATENÇÃO (Sem data de atualização)",IF(S667="","",IF(S667&gt;30,"CRÍTICO (Sem Atualização &gt;30 dias)",IF(S667&gt;15,"ATENÇÃO (Sem Atualização &gt;15 dias)",IF(X667&gt;90,"CRÍTICO (Aberto &gt;90 dias)","OK"))))))</f>
        <v/>
      </c>
      <c r="Z667" s="90" t="str">
        <f aca="false">IF(B667="","",IF(OR(O667="27 - Instalação concluída",O667="28 - Encerrado"),"OK",IF(NOT(ISNUMBER(X667)),"",IF(X667&gt;365,"MUITO ANTIGO (&gt;1 ano)",IF(X667&gt;180,"ANTIGO (&gt;6 meses)",IF(X667&gt;90,"ATENÇÃO ANTIG. (&gt;3 meses)","OK"))))))</f>
        <v/>
      </c>
      <c r="AA667" s="91"/>
    </row>
    <row r="668" customFormat="false" ht="16.5" hidden="false" customHeight="true" outlineLevel="0" collapsed="false">
      <c r="A668" s="86"/>
      <c r="B668" s="91"/>
      <c r="C668" s="91" t="str">
        <f aca="false">IF(D668="","",IFERROR(INDEX(CADASTRO_VIVO_3CRE!$B$2:$B$150,MATCH(D668,CADASTRO_VIVO_3CRE!$E$2:$E$150,0)),""))</f>
        <v/>
      </c>
      <c r="D668" s="91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8"/>
      <c r="S668" s="92" t="str">
        <f aca="true">IF(R668="","",TODAY()-INT(R668))</f>
        <v/>
      </c>
      <c r="T668" s="86"/>
      <c r="U668" s="86"/>
      <c r="V668" s="86"/>
      <c r="W668" s="88"/>
      <c r="X668" s="92" t="str">
        <f aca="true">IF(W668="","",IF(OR(O668="28 - Encerrado",O668="27 - Instalação concluída"),"Concluído",TODAY()-INT(W668)))</f>
        <v/>
      </c>
      <c r="Y668" s="91" t="str">
        <f aca="false">IF(OR(O668="28 - Encerrado",O668="27 - Instalação concluída"),"OK",IF(AND(B668&lt;&gt;"",S668=""),"ATENÇÃO (Sem data de atualização)",IF(S668="","",IF(S668&gt;30,"CRÍTICO (Sem Atualização &gt;30 dias)",IF(S668&gt;15,"ATENÇÃO (Sem Atualização &gt;15 dias)",IF(X668&gt;90,"CRÍTICO (Aberto &gt;90 dias)","OK"))))))</f>
        <v/>
      </c>
      <c r="Z668" s="90" t="str">
        <f aca="false">IF(B668="","",IF(OR(O668="27 - Instalação concluída",O668="28 - Encerrado"),"OK",IF(NOT(ISNUMBER(X668)),"",IF(X668&gt;365,"MUITO ANTIGO (&gt;1 ano)",IF(X668&gt;180,"ANTIGO (&gt;6 meses)",IF(X668&gt;90,"ATENÇÃO ANTIG. (&gt;3 meses)","OK"))))))</f>
        <v/>
      </c>
      <c r="AA668" s="91"/>
    </row>
    <row r="669" customFormat="false" ht="16.5" hidden="false" customHeight="true" outlineLevel="0" collapsed="false">
      <c r="A669" s="86"/>
      <c r="B669" s="91"/>
      <c r="C669" s="91" t="str">
        <f aca="false">IF(D669="","",IFERROR(INDEX(CADASTRO_VIVO_3CRE!$B$2:$B$150,MATCH(D669,CADASTRO_VIVO_3CRE!$E$2:$E$150,0)),""))</f>
        <v/>
      </c>
      <c r="D669" s="91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8"/>
      <c r="S669" s="92" t="str">
        <f aca="true">IF(R669="","",TODAY()-INT(R669))</f>
        <v/>
      </c>
      <c r="T669" s="86"/>
      <c r="U669" s="86"/>
      <c r="V669" s="86"/>
      <c r="W669" s="88"/>
      <c r="X669" s="92" t="str">
        <f aca="true">IF(W669="","",IF(OR(O669="28 - Encerrado",O669="27 - Instalação concluída"),"Concluído",TODAY()-INT(W669)))</f>
        <v/>
      </c>
      <c r="Y669" s="91" t="str">
        <f aca="false">IF(OR(O669="28 - Encerrado",O669="27 - Instalação concluída"),"OK",IF(AND(B669&lt;&gt;"",S669=""),"ATENÇÃO (Sem data de atualização)",IF(S669="","",IF(S669&gt;30,"CRÍTICO (Sem Atualização &gt;30 dias)",IF(S669&gt;15,"ATENÇÃO (Sem Atualização &gt;15 dias)",IF(X669&gt;90,"CRÍTICO (Aberto &gt;90 dias)","OK"))))))</f>
        <v/>
      </c>
      <c r="Z669" s="90" t="str">
        <f aca="false">IF(B669="","",IF(OR(O669="27 - Instalação concluída",O669="28 - Encerrado"),"OK",IF(NOT(ISNUMBER(X669)),"",IF(X669&gt;365,"MUITO ANTIGO (&gt;1 ano)",IF(X669&gt;180,"ANTIGO (&gt;6 meses)",IF(X669&gt;90,"ATENÇÃO ANTIG. (&gt;3 meses)","OK"))))))</f>
        <v/>
      </c>
      <c r="AA669" s="91"/>
    </row>
    <row r="670" customFormat="false" ht="16.5" hidden="false" customHeight="true" outlineLevel="0" collapsed="false">
      <c r="A670" s="86"/>
      <c r="B670" s="91"/>
      <c r="C670" s="91" t="str">
        <f aca="false">IF(D670="","",IFERROR(INDEX(CADASTRO_VIVO_3CRE!$B$2:$B$150,MATCH(D670,CADASTRO_VIVO_3CRE!$E$2:$E$150,0)),""))</f>
        <v/>
      </c>
      <c r="D670" s="91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8"/>
      <c r="S670" s="92" t="str">
        <f aca="true">IF(R670="","",TODAY()-INT(R670))</f>
        <v/>
      </c>
      <c r="T670" s="86"/>
      <c r="U670" s="86"/>
      <c r="V670" s="86"/>
      <c r="W670" s="88"/>
      <c r="X670" s="92" t="str">
        <f aca="true">IF(W670="","",IF(OR(O670="28 - Encerrado",O670="27 - Instalação concluída"),"Concluído",TODAY()-INT(W670)))</f>
        <v/>
      </c>
      <c r="Y670" s="91" t="str">
        <f aca="false">IF(OR(O670="28 - Encerrado",O670="27 - Instalação concluída"),"OK",IF(AND(B670&lt;&gt;"",S670=""),"ATENÇÃO (Sem data de atualização)",IF(S670="","",IF(S670&gt;30,"CRÍTICO (Sem Atualização &gt;30 dias)",IF(S670&gt;15,"ATENÇÃO (Sem Atualização &gt;15 dias)",IF(X670&gt;90,"CRÍTICO (Aberto &gt;90 dias)","OK"))))))</f>
        <v/>
      </c>
      <c r="Z670" s="90" t="str">
        <f aca="false">IF(B670="","",IF(OR(O670="27 - Instalação concluída",O670="28 - Encerrado"),"OK",IF(NOT(ISNUMBER(X670)),"",IF(X670&gt;365,"MUITO ANTIGO (&gt;1 ano)",IF(X670&gt;180,"ANTIGO (&gt;6 meses)",IF(X670&gt;90,"ATENÇÃO ANTIG. (&gt;3 meses)","OK"))))))</f>
        <v/>
      </c>
      <c r="AA670" s="91"/>
    </row>
    <row r="671" customFormat="false" ht="16.5" hidden="false" customHeight="true" outlineLevel="0" collapsed="false">
      <c r="A671" s="86"/>
      <c r="B671" s="91"/>
      <c r="C671" s="91" t="str">
        <f aca="false">IF(D671="","",IFERROR(INDEX(CADASTRO_VIVO_3CRE!$B$2:$B$150,MATCH(D671,CADASTRO_VIVO_3CRE!$E$2:$E$150,0)),""))</f>
        <v/>
      </c>
      <c r="D671" s="91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8"/>
      <c r="S671" s="92" t="str">
        <f aca="true">IF(R671="","",TODAY()-INT(R671))</f>
        <v/>
      </c>
      <c r="T671" s="86"/>
      <c r="U671" s="86"/>
      <c r="V671" s="86"/>
      <c r="W671" s="88"/>
      <c r="X671" s="92" t="str">
        <f aca="true">IF(W671="","",IF(OR(O671="28 - Encerrado",O671="27 - Instalação concluída"),"Concluído",TODAY()-INT(W671)))</f>
        <v/>
      </c>
      <c r="Y671" s="91" t="str">
        <f aca="false">IF(OR(O671="28 - Encerrado",O671="27 - Instalação concluída"),"OK",IF(AND(B671&lt;&gt;"",S671=""),"ATENÇÃO (Sem data de atualização)",IF(S671="","",IF(S671&gt;30,"CRÍTICO (Sem Atualização &gt;30 dias)",IF(S671&gt;15,"ATENÇÃO (Sem Atualização &gt;15 dias)",IF(X671&gt;90,"CRÍTICO (Aberto &gt;90 dias)","OK"))))))</f>
        <v/>
      </c>
      <c r="Z671" s="90" t="str">
        <f aca="false">IF(B671="","",IF(OR(O671="27 - Instalação concluída",O671="28 - Encerrado"),"OK",IF(NOT(ISNUMBER(X671)),"",IF(X671&gt;365,"MUITO ANTIGO (&gt;1 ano)",IF(X671&gt;180,"ANTIGO (&gt;6 meses)",IF(X671&gt;90,"ATENÇÃO ANTIG. (&gt;3 meses)","OK"))))))</f>
        <v/>
      </c>
      <c r="AA671" s="91"/>
    </row>
    <row r="672" customFormat="false" ht="16.5" hidden="false" customHeight="true" outlineLevel="0" collapsed="false">
      <c r="A672" s="86"/>
      <c r="B672" s="91"/>
      <c r="C672" s="91" t="str">
        <f aca="false">IF(D672="","",IFERROR(INDEX(CADASTRO_VIVO_3CRE!$B$2:$B$150,MATCH(D672,CADASTRO_VIVO_3CRE!$E$2:$E$150,0)),""))</f>
        <v/>
      </c>
      <c r="D672" s="91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8"/>
      <c r="S672" s="92" t="str">
        <f aca="true">IF(R672="","",TODAY()-INT(R672))</f>
        <v/>
      </c>
      <c r="T672" s="86"/>
      <c r="U672" s="86"/>
      <c r="V672" s="86"/>
      <c r="W672" s="88"/>
      <c r="X672" s="92" t="str">
        <f aca="true">IF(W672="","",IF(OR(O672="28 - Encerrado",O672="27 - Instalação concluída"),"Concluído",TODAY()-INT(W672)))</f>
        <v/>
      </c>
      <c r="Y672" s="91" t="str">
        <f aca="false">IF(OR(O672="28 - Encerrado",O672="27 - Instalação concluída"),"OK",IF(AND(B672&lt;&gt;"",S672=""),"ATENÇÃO (Sem data de atualização)",IF(S672="","",IF(S672&gt;30,"CRÍTICO (Sem Atualização &gt;30 dias)",IF(S672&gt;15,"ATENÇÃO (Sem Atualização &gt;15 dias)",IF(X672&gt;90,"CRÍTICO (Aberto &gt;90 dias)","OK"))))))</f>
        <v/>
      </c>
      <c r="Z672" s="90" t="str">
        <f aca="false">IF(B672="","",IF(OR(O672="27 - Instalação concluída",O672="28 - Encerrado"),"OK",IF(NOT(ISNUMBER(X672)),"",IF(X672&gt;365,"MUITO ANTIGO (&gt;1 ano)",IF(X672&gt;180,"ANTIGO (&gt;6 meses)",IF(X672&gt;90,"ATENÇÃO ANTIG. (&gt;3 meses)","OK"))))))</f>
        <v/>
      </c>
      <c r="AA672" s="91"/>
    </row>
    <row r="673" customFormat="false" ht="16.5" hidden="false" customHeight="true" outlineLevel="0" collapsed="false">
      <c r="A673" s="86"/>
      <c r="B673" s="91"/>
      <c r="C673" s="91" t="str">
        <f aca="false">IF(D673="","",IFERROR(INDEX(CADASTRO_VIVO_3CRE!$B$2:$B$150,MATCH(D673,CADASTRO_VIVO_3CRE!$E$2:$E$150,0)),""))</f>
        <v/>
      </c>
      <c r="D673" s="91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8"/>
      <c r="S673" s="92" t="str">
        <f aca="true">IF(R673="","",TODAY()-INT(R673))</f>
        <v/>
      </c>
      <c r="T673" s="86"/>
      <c r="U673" s="86"/>
      <c r="V673" s="86"/>
      <c r="W673" s="88"/>
      <c r="X673" s="92" t="str">
        <f aca="true">IF(W673="","",IF(OR(O673="28 - Encerrado",O673="27 - Instalação concluída"),"Concluído",TODAY()-INT(W673)))</f>
        <v/>
      </c>
      <c r="Y673" s="91" t="str">
        <f aca="false">IF(OR(O673="28 - Encerrado",O673="27 - Instalação concluída"),"OK",IF(AND(B673&lt;&gt;"",S673=""),"ATENÇÃO (Sem data de atualização)",IF(S673="","",IF(S673&gt;30,"CRÍTICO (Sem Atualização &gt;30 dias)",IF(S673&gt;15,"ATENÇÃO (Sem Atualização &gt;15 dias)",IF(X673&gt;90,"CRÍTICO (Aberto &gt;90 dias)","OK"))))))</f>
        <v/>
      </c>
      <c r="Z673" s="90" t="str">
        <f aca="false">IF(B673="","",IF(OR(O673="27 - Instalação concluída",O673="28 - Encerrado"),"OK",IF(NOT(ISNUMBER(X673)),"",IF(X673&gt;365,"MUITO ANTIGO (&gt;1 ano)",IF(X673&gt;180,"ANTIGO (&gt;6 meses)",IF(X673&gt;90,"ATENÇÃO ANTIG. (&gt;3 meses)","OK"))))))</f>
        <v/>
      </c>
      <c r="AA673" s="91"/>
    </row>
    <row r="674" customFormat="false" ht="16.5" hidden="false" customHeight="true" outlineLevel="0" collapsed="false">
      <c r="A674" s="86"/>
      <c r="B674" s="91"/>
      <c r="C674" s="91" t="str">
        <f aca="false">IF(D674="","",IFERROR(INDEX(CADASTRO_VIVO_3CRE!$B$2:$B$150,MATCH(D674,CADASTRO_VIVO_3CRE!$E$2:$E$150,0)),""))</f>
        <v/>
      </c>
      <c r="D674" s="91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8"/>
      <c r="S674" s="92" t="str">
        <f aca="true">IF(R674="","",TODAY()-INT(R674))</f>
        <v/>
      </c>
      <c r="T674" s="86"/>
      <c r="U674" s="86"/>
      <c r="V674" s="86"/>
      <c r="W674" s="88"/>
      <c r="X674" s="92" t="str">
        <f aca="true">IF(W674="","",IF(OR(O674="28 - Encerrado",O674="27 - Instalação concluída"),"Concluído",TODAY()-INT(W674)))</f>
        <v/>
      </c>
      <c r="Y674" s="91" t="str">
        <f aca="false">IF(OR(O674="28 - Encerrado",O674="27 - Instalação concluída"),"OK",IF(AND(B674&lt;&gt;"",S674=""),"ATENÇÃO (Sem data de atualização)",IF(S674="","",IF(S674&gt;30,"CRÍTICO (Sem Atualização &gt;30 dias)",IF(S674&gt;15,"ATENÇÃO (Sem Atualização &gt;15 dias)",IF(X674&gt;90,"CRÍTICO (Aberto &gt;90 dias)","OK"))))))</f>
        <v/>
      </c>
      <c r="Z674" s="90" t="str">
        <f aca="false">IF(B674="","",IF(OR(O674="27 - Instalação concluída",O674="28 - Encerrado"),"OK",IF(NOT(ISNUMBER(X674)),"",IF(X674&gt;365,"MUITO ANTIGO (&gt;1 ano)",IF(X674&gt;180,"ANTIGO (&gt;6 meses)",IF(X674&gt;90,"ATENÇÃO ANTIG. (&gt;3 meses)","OK"))))))</f>
        <v/>
      </c>
      <c r="AA674" s="91"/>
    </row>
    <row r="675" customFormat="false" ht="16.5" hidden="false" customHeight="true" outlineLevel="0" collapsed="false">
      <c r="A675" s="86"/>
      <c r="B675" s="91"/>
      <c r="C675" s="91" t="str">
        <f aca="false">IF(D675="","",IFERROR(INDEX(CADASTRO_VIVO_3CRE!$B$2:$B$150,MATCH(D675,CADASTRO_VIVO_3CRE!$E$2:$E$150,0)),""))</f>
        <v/>
      </c>
      <c r="D675" s="91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8"/>
      <c r="S675" s="92" t="str">
        <f aca="true">IF(R675="","",TODAY()-INT(R675))</f>
        <v/>
      </c>
      <c r="T675" s="86"/>
      <c r="U675" s="86"/>
      <c r="V675" s="86"/>
      <c r="W675" s="88"/>
      <c r="X675" s="92" t="str">
        <f aca="true">IF(W675="","",IF(OR(O675="28 - Encerrado",O675="27 - Instalação concluída"),"Concluído",TODAY()-INT(W675)))</f>
        <v/>
      </c>
      <c r="Y675" s="91" t="str">
        <f aca="false">IF(OR(O675="28 - Encerrado",O675="27 - Instalação concluída"),"OK",IF(AND(B675&lt;&gt;"",S675=""),"ATENÇÃO (Sem data de atualização)",IF(S675="","",IF(S675&gt;30,"CRÍTICO (Sem Atualização &gt;30 dias)",IF(S675&gt;15,"ATENÇÃO (Sem Atualização &gt;15 dias)",IF(X675&gt;90,"CRÍTICO (Aberto &gt;90 dias)","OK"))))))</f>
        <v/>
      </c>
      <c r="Z675" s="90" t="str">
        <f aca="false">IF(B675="","",IF(OR(O675="27 - Instalação concluída",O675="28 - Encerrado"),"OK",IF(NOT(ISNUMBER(X675)),"",IF(X675&gt;365,"MUITO ANTIGO (&gt;1 ano)",IF(X675&gt;180,"ANTIGO (&gt;6 meses)",IF(X675&gt;90,"ATENÇÃO ANTIG. (&gt;3 meses)","OK"))))))</f>
        <v/>
      </c>
      <c r="AA675" s="91"/>
    </row>
    <row r="676" customFormat="false" ht="16.5" hidden="false" customHeight="true" outlineLevel="0" collapsed="false">
      <c r="A676" s="86"/>
      <c r="B676" s="91"/>
      <c r="C676" s="91" t="str">
        <f aca="false">IF(D676="","",IFERROR(INDEX(CADASTRO_VIVO_3CRE!$B$2:$B$150,MATCH(D676,CADASTRO_VIVO_3CRE!$E$2:$E$150,0)),""))</f>
        <v/>
      </c>
      <c r="D676" s="91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8"/>
      <c r="S676" s="92" t="str">
        <f aca="true">IF(R676="","",TODAY()-INT(R676))</f>
        <v/>
      </c>
      <c r="T676" s="86"/>
      <c r="U676" s="86"/>
      <c r="V676" s="86"/>
      <c r="W676" s="88"/>
      <c r="X676" s="92" t="str">
        <f aca="true">IF(W676="","",IF(OR(O676="28 - Encerrado",O676="27 - Instalação concluída"),"Concluído",TODAY()-INT(W676)))</f>
        <v/>
      </c>
      <c r="Y676" s="91" t="str">
        <f aca="false">IF(OR(O676="28 - Encerrado",O676="27 - Instalação concluída"),"OK",IF(AND(B676&lt;&gt;"",S676=""),"ATENÇÃO (Sem data de atualização)",IF(S676="","",IF(S676&gt;30,"CRÍTICO (Sem Atualização &gt;30 dias)",IF(S676&gt;15,"ATENÇÃO (Sem Atualização &gt;15 dias)",IF(X676&gt;90,"CRÍTICO (Aberto &gt;90 dias)","OK"))))))</f>
        <v/>
      </c>
      <c r="Z676" s="90" t="str">
        <f aca="false">IF(B676="","",IF(OR(O676="27 - Instalação concluída",O676="28 - Encerrado"),"OK",IF(NOT(ISNUMBER(X676)),"",IF(X676&gt;365,"MUITO ANTIGO (&gt;1 ano)",IF(X676&gt;180,"ANTIGO (&gt;6 meses)",IF(X676&gt;90,"ATENÇÃO ANTIG. (&gt;3 meses)","OK"))))))</f>
        <v/>
      </c>
      <c r="AA676" s="91"/>
    </row>
    <row r="677" customFormat="false" ht="16.5" hidden="false" customHeight="true" outlineLevel="0" collapsed="false">
      <c r="A677" s="86"/>
      <c r="B677" s="91"/>
      <c r="C677" s="91" t="str">
        <f aca="false">IF(D677="","",IFERROR(INDEX(CADASTRO_VIVO_3CRE!$B$2:$B$150,MATCH(D677,CADASTRO_VIVO_3CRE!$E$2:$E$150,0)),""))</f>
        <v/>
      </c>
      <c r="D677" s="91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8"/>
      <c r="S677" s="92" t="str">
        <f aca="true">IF(R677="","",TODAY()-INT(R677))</f>
        <v/>
      </c>
      <c r="T677" s="86"/>
      <c r="U677" s="86"/>
      <c r="V677" s="86"/>
      <c r="W677" s="88"/>
      <c r="X677" s="92" t="str">
        <f aca="true">IF(W677="","",IF(OR(O677="28 - Encerrado",O677="27 - Instalação concluída"),"Concluído",TODAY()-INT(W677)))</f>
        <v/>
      </c>
      <c r="Y677" s="91" t="str">
        <f aca="false">IF(OR(O677="28 - Encerrado",O677="27 - Instalação concluída"),"OK",IF(AND(B677&lt;&gt;"",S677=""),"ATENÇÃO (Sem data de atualização)",IF(S677="","",IF(S677&gt;30,"CRÍTICO (Sem Atualização &gt;30 dias)",IF(S677&gt;15,"ATENÇÃO (Sem Atualização &gt;15 dias)",IF(X677&gt;90,"CRÍTICO (Aberto &gt;90 dias)","OK"))))))</f>
        <v/>
      </c>
      <c r="Z677" s="90" t="str">
        <f aca="false">IF(B677="","",IF(OR(O677="27 - Instalação concluída",O677="28 - Encerrado"),"OK",IF(NOT(ISNUMBER(X677)),"",IF(X677&gt;365,"MUITO ANTIGO (&gt;1 ano)",IF(X677&gt;180,"ANTIGO (&gt;6 meses)",IF(X677&gt;90,"ATENÇÃO ANTIG. (&gt;3 meses)","OK"))))))</f>
        <v/>
      </c>
      <c r="AA677" s="91"/>
    </row>
    <row r="678" customFormat="false" ht="16.5" hidden="false" customHeight="true" outlineLevel="0" collapsed="false">
      <c r="A678" s="86"/>
      <c r="B678" s="91"/>
      <c r="C678" s="91" t="str">
        <f aca="false">IF(D678="","",IFERROR(INDEX(CADASTRO_VIVO_3CRE!$B$2:$B$150,MATCH(D678,CADASTRO_VIVO_3CRE!$E$2:$E$150,0)),""))</f>
        <v/>
      </c>
      <c r="D678" s="91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8"/>
      <c r="S678" s="92" t="str">
        <f aca="true">IF(R678="","",TODAY()-INT(R678))</f>
        <v/>
      </c>
      <c r="T678" s="86"/>
      <c r="U678" s="86"/>
      <c r="V678" s="86"/>
      <c r="W678" s="88"/>
      <c r="X678" s="92" t="str">
        <f aca="true">IF(W678="","",IF(OR(O678="28 - Encerrado",O678="27 - Instalação concluída"),"Concluído",TODAY()-INT(W678)))</f>
        <v/>
      </c>
      <c r="Y678" s="91" t="str">
        <f aca="false">IF(OR(O678="28 - Encerrado",O678="27 - Instalação concluída"),"OK",IF(AND(B678&lt;&gt;"",S678=""),"ATENÇÃO (Sem data de atualização)",IF(S678="","",IF(S678&gt;30,"CRÍTICO (Sem Atualização &gt;30 dias)",IF(S678&gt;15,"ATENÇÃO (Sem Atualização &gt;15 dias)",IF(X678&gt;90,"CRÍTICO (Aberto &gt;90 dias)","OK"))))))</f>
        <v/>
      </c>
      <c r="Z678" s="90" t="str">
        <f aca="false">IF(B678="","",IF(OR(O678="27 - Instalação concluída",O678="28 - Encerrado"),"OK",IF(NOT(ISNUMBER(X678)),"",IF(X678&gt;365,"MUITO ANTIGO (&gt;1 ano)",IF(X678&gt;180,"ANTIGO (&gt;6 meses)",IF(X678&gt;90,"ATENÇÃO ANTIG. (&gt;3 meses)","OK"))))))</f>
        <v/>
      </c>
      <c r="AA678" s="91"/>
    </row>
    <row r="679" customFormat="false" ht="16.5" hidden="false" customHeight="true" outlineLevel="0" collapsed="false">
      <c r="A679" s="86"/>
      <c r="B679" s="91"/>
      <c r="C679" s="91" t="str">
        <f aca="false">IF(D679="","",IFERROR(INDEX(CADASTRO_VIVO_3CRE!$B$2:$B$150,MATCH(D679,CADASTRO_VIVO_3CRE!$E$2:$E$150,0)),""))</f>
        <v/>
      </c>
      <c r="D679" s="91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8"/>
      <c r="S679" s="92" t="str">
        <f aca="true">IF(R679="","",TODAY()-INT(R679))</f>
        <v/>
      </c>
      <c r="T679" s="86"/>
      <c r="U679" s="86"/>
      <c r="V679" s="86"/>
      <c r="W679" s="88"/>
      <c r="X679" s="92" t="str">
        <f aca="true">IF(W679="","",IF(OR(O679="28 - Encerrado",O679="27 - Instalação concluída"),"Concluído",TODAY()-INT(W679)))</f>
        <v/>
      </c>
      <c r="Y679" s="91" t="str">
        <f aca="false">IF(OR(O679="28 - Encerrado",O679="27 - Instalação concluída"),"OK",IF(AND(B679&lt;&gt;"",S679=""),"ATENÇÃO (Sem data de atualização)",IF(S679="","",IF(S679&gt;30,"CRÍTICO (Sem Atualização &gt;30 dias)",IF(S679&gt;15,"ATENÇÃO (Sem Atualização &gt;15 dias)",IF(X679&gt;90,"CRÍTICO (Aberto &gt;90 dias)","OK"))))))</f>
        <v/>
      </c>
      <c r="Z679" s="90" t="str">
        <f aca="false">IF(B679="","",IF(OR(O679="27 - Instalação concluída",O679="28 - Encerrado"),"OK",IF(NOT(ISNUMBER(X679)),"",IF(X679&gt;365,"MUITO ANTIGO (&gt;1 ano)",IF(X679&gt;180,"ANTIGO (&gt;6 meses)",IF(X679&gt;90,"ATENÇÃO ANTIG. (&gt;3 meses)","OK"))))))</f>
        <v/>
      </c>
      <c r="AA679" s="91"/>
    </row>
    <row r="680" customFormat="false" ht="16.5" hidden="false" customHeight="true" outlineLevel="0" collapsed="false">
      <c r="A680" s="86"/>
      <c r="B680" s="91"/>
      <c r="C680" s="91" t="str">
        <f aca="false">IF(D680="","",IFERROR(INDEX(CADASTRO_VIVO_3CRE!$B$2:$B$150,MATCH(D680,CADASTRO_VIVO_3CRE!$E$2:$E$150,0)),""))</f>
        <v/>
      </c>
      <c r="D680" s="91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8"/>
      <c r="S680" s="92" t="str">
        <f aca="true">IF(R680="","",TODAY()-INT(R680))</f>
        <v/>
      </c>
      <c r="T680" s="86"/>
      <c r="U680" s="86"/>
      <c r="V680" s="86"/>
      <c r="W680" s="88"/>
      <c r="X680" s="92" t="str">
        <f aca="true">IF(W680="","",IF(OR(O680="28 - Encerrado",O680="27 - Instalação concluída"),"Concluído",TODAY()-INT(W680)))</f>
        <v/>
      </c>
      <c r="Y680" s="91" t="str">
        <f aca="false">IF(OR(O680="28 - Encerrado",O680="27 - Instalação concluída"),"OK",IF(AND(B680&lt;&gt;"",S680=""),"ATENÇÃO (Sem data de atualização)",IF(S680="","",IF(S680&gt;30,"CRÍTICO (Sem Atualização &gt;30 dias)",IF(S680&gt;15,"ATENÇÃO (Sem Atualização &gt;15 dias)",IF(X680&gt;90,"CRÍTICO (Aberto &gt;90 dias)","OK"))))))</f>
        <v/>
      </c>
      <c r="Z680" s="90" t="str">
        <f aca="false">IF(B680="","",IF(OR(O680="27 - Instalação concluída",O680="28 - Encerrado"),"OK",IF(NOT(ISNUMBER(X680)),"",IF(X680&gt;365,"MUITO ANTIGO (&gt;1 ano)",IF(X680&gt;180,"ANTIGO (&gt;6 meses)",IF(X680&gt;90,"ATENÇÃO ANTIG. (&gt;3 meses)","OK"))))))</f>
        <v/>
      </c>
      <c r="AA680" s="91"/>
    </row>
    <row r="681" customFormat="false" ht="16.5" hidden="false" customHeight="true" outlineLevel="0" collapsed="false">
      <c r="A681" s="86"/>
      <c r="B681" s="91"/>
      <c r="C681" s="91" t="str">
        <f aca="false">IF(D681="","",IFERROR(INDEX(CADASTRO_VIVO_3CRE!$B$2:$B$150,MATCH(D681,CADASTRO_VIVO_3CRE!$E$2:$E$150,0)),""))</f>
        <v/>
      </c>
      <c r="D681" s="91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8"/>
      <c r="S681" s="92" t="str">
        <f aca="true">IF(R681="","",TODAY()-INT(R681))</f>
        <v/>
      </c>
      <c r="T681" s="86"/>
      <c r="U681" s="86"/>
      <c r="V681" s="86"/>
      <c r="W681" s="88"/>
      <c r="X681" s="92" t="str">
        <f aca="true">IF(W681="","",IF(OR(O681="28 - Encerrado",O681="27 - Instalação concluída"),"Concluído",TODAY()-INT(W681)))</f>
        <v/>
      </c>
      <c r="Y681" s="91" t="str">
        <f aca="false">IF(OR(O681="28 - Encerrado",O681="27 - Instalação concluída"),"OK",IF(AND(B681&lt;&gt;"",S681=""),"ATENÇÃO (Sem data de atualização)",IF(S681="","",IF(S681&gt;30,"CRÍTICO (Sem Atualização &gt;30 dias)",IF(S681&gt;15,"ATENÇÃO (Sem Atualização &gt;15 dias)",IF(X681&gt;90,"CRÍTICO (Aberto &gt;90 dias)","OK"))))))</f>
        <v/>
      </c>
      <c r="Z681" s="90" t="str">
        <f aca="false">IF(B681="","",IF(OR(O681="27 - Instalação concluída",O681="28 - Encerrado"),"OK",IF(NOT(ISNUMBER(X681)),"",IF(X681&gt;365,"MUITO ANTIGO (&gt;1 ano)",IF(X681&gt;180,"ANTIGO (&gt;6 meses)",IF(X681&gt;90,"ATENÇÃO ANTIG. (&gt;3 meses)","OK"))))))</f>
        <v/>
      </c>
      <c r="AA681" s="91"/>
    </row>
    <row r="682" customFormat="false" ht="16.5" hidden="false" customHeight="true" outlineLevel="0" collapsed="false">
      <c r="A682" s="86"/>
      <c r="B682" s="91"/>
      <c r="C682" s="91" t="str">
        <f aca="false">IF(D682="","",IFERROR(INDEX(CADASTRO_VIVO_3CRE!$B$2:$B$150,MATCH(D682,CADASTRO_VIVO_3CRE!$E$2:$E$150,0)),""))</f>
        <v/>
      </c>
      <c r="D682" s="91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8"/>
      <c r="S682" s="92" t="str">
        <f aca="true">IF(R682="","",TODAY()-INT(R682))</f>
        <v/>
      </c>
      <c r="T682" s="86"/>
      <c r="U682" s="86"/>
      <c r="V682" s="86"/>
      <c r="W682" s="88"/>
      <c r="X682" s="92" t="str">
        <f aca="true">IF(W682="","",IF(OR(O682="28 - Encerrado",O682="27 - Instalação concluída"),"Concluído",TODAY()-INT(W682)))</f>
        <v/>
      </c>
      <c r="Y682" s="91" t="str">
        <f aca="false">IF(OR(O682="28 - Encerrado",O682="27 - Instalação concluída"),"OK",IF(AND(B682&lt;&gt;"",S682=""),"ATENÇÃO (Sem data de atualização)",IF(S682="","",IF(S682&gt;30,"CRÍTICO (Sem Atualização &gt;30 dias)",IF(S682&gt;15,"ATENÇÃO (Sem Atualização &gt;15 dias)",IF(X682&gt;90,"CRÍTICO (Aberto &gt;90 dias)","OK"))))))</f>
        <v/>
      </c>
      <c r="Z682" s="90" t="str">
        <f aca="false">IF(B682="","",IF(OR(O682="27 - Instalação concluída",O682="28 - Encerrado"),"OK",IF(NOT(ISNUMBER(X682)),"",IF(X682&gt;365,"MUITO ANTIGO (&gt;1 ano)",IF(X682&gt;180,"ANTIGO (&gt;6 meses)",IF(X682&gt;90,"ATENÇÃO ANTIG. (&gt;3 meses)","OK"))))))</f>
        <v/>
      </c>
      <c r="AA682" s="91"/>
    </row>
    <row r="683" customFormat="false" ht="16.5" hidden="false" customHeight="true" outlineLevel="0" collapsed="false">
      <c r="A683" s="86"/>
      <c r="B683" s="91"/>
      <c r="C683" s="91" t="str">
        <f aca="false">IF(D683="","",IFERROR(INDEX(CADASTRO_VIVO_3CRE!$B$2:$B$150,MATCH(D683,CADASTRO_VIVO_3CRE!$E$2:$E$150,0)),""))</f>
        <v/>
      </c>
      <c r="D683" s="91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8"/>
      <c r="S683" s="92" t="str">
        <f aca="true">IF(R683="","",TODAY()-INT(R683))</f>
        <v/>
      </c>
      <c r="T683" s="86"/>
      <c r="U683" s="86"/>
      <c r="V683" s="86"/>
      <c r="W683" s="88"/>
      <c r="X683" s="92" t="str">
        <f aca="true">IF(W683="","",IF(OR(O683="28 - Encerrado",O683="27 - Instalação concluída"),"Concluído",TODAY()-INT(W683)))</f>
        <v/>
      </c>
      <c r="Y683" s="91" t="str">
        <f aca="false">IF(OR(O683="28 - Encerrado",O683="27 - Instalação concluída"),"OK",IF(AND(B683&lt;&gt;"",S683=""),"ATENÇÃO (Sem data de atualização)",IF(S683="","",IF(S683&gt;30,"CRÍTICO (Sem Atualização &gt;30 dias)",IF(S683&gt;15,"ATENÇÃO (Sem Atualização &gt;15 dias)",IF(X683&gt;90,"CRÍTICO (Aberto &gt;90 dias)","OK"))))))</f>
        <v/>
      </c>
      <c r="Z683" s="90" t="str">
        <f aca="false">IF(B683="","",IF(OR(O683="27 - Instalação concluída",O683="28 - Encerrado"),"OK",IF(NOT(ISNUMBER(X683)),"",IF(X683&gt;365,"MUITO ANTIGO (&gt;1 ano)",IF(X683&gt;180,"ANTIGO (&gt;6 meses)",IF(X683&gt;90,"ATENÇÃO ANTIG. (&gt;3 meses)","OK"))))))</f>
        <v/>
      </c>
      <c r="AA683" s="91"/>
    </row>
    <row r="684" customFormat="false" ht="16.5" hidden="false" customHeight="true" outlineLevel="0" collapsed="false">
      <c r="A684" s="86"/>
      <c r="B684" s="91"/>
      <c r="C684" s="91" t="str">
        <f aca="false">IF(D684="","",IFERROR(INDEX(CADASTRO_VIVO_3CRE!$B$2:$B$150,MATCH(D684,CADASTRO_VIVO_3CRE!$E$2:$E$150,0)),""))</f>
        <v/>
      </c>
      <c r="D684" s="91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8"/>
      <c r="S684" s="92" t="str">
        <f aca="true">IF(R684="","",TODAY()-INT(R684))</f>
        <v/>
      </c>
      <c r="T684" s="86"/>
      <c r="U684" s="86"/>
      <c r="V684" s="86"/>
      <c r="W684" s="88"/>
      <c r="X684" s="92" t="str">
        <f aca="true">IF(W684="","",IF(OR(O684="28 - Encerrado",O684="27 - Instalação concluída"),"Concluído",TODAY()-INT(W684)))</f>
        <v/>
      </c>
      <c r="Y684" s="91" t="str">
        <f aca="false">IF(OR(O684="28 - Encerrado",O684="27 - Instalação concluída"),"OK",IF(AND(B684&lt;&gt;"",S684=""),"ATENÇÃO (Sem data de atualização)",IF(S684="","",IF(S684&gt;30,"CRÍTICO (Sem Atualização &gt;30 dias)",IF(S684&gt;15,"ATENÇÃO (Sem Atualização &gt;15 dias)",IF(X684&gt;90,"CRÍTICO (Aberto &gt;90 dias)","OK"))))))</f>
        <v/>
      </c>
      <c r="Z684" s="90" t="str">
        <f aca="false">IF(B684="","",IF(OR(O684="27 - Instalação concluída",O684="28 - Encerrado"),"OK",IF(NOT(ISNUMBER(X684)),"",IF(X684&gt;365,"MUITO ANTIGO (&gt;1 ano)",IF(X684&gt;180,"ANTIGO (&gt;6 meses)",IF(X684&gt;90,"ATENÇÃO ANTIG. (&gt;3 meses)","OK"))))))</f>
        <v/>
      </c>
      <c r="AA684" s="91"/>
    </row>
    <row r="685" customFormat="false" ht="16.5" hidden="false" customHeight="true" outlineLevel="0" collapsed="false">
      <c r="A685" s="86"/>
      <c r="B685" s="91"/>
      <c r="C685" s="91" t="str">
        <f aca="false">IF(D685="","",IFERROR(INDEX(CADASTRO_VIVO_3CRE!$B$2:$B$150,MATCH(D685,CADASTRO_VIVO_3CRE!$E$2:$E$150,0)),""))</f>
        <v/>
      </c>
      <c r="D685" s="91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8"/>
      <c r="S685" s="92" t="str">
        <f aca="true">IF(R685="","",TODAY()-INT(R685))</f>
        <v/>
      </c>
      <c r="T685" s="86"/>
      <c r="U685" s="86"/>
      <c r="V685" s="86"/>
      <c r="W685" s="88"/>
      <c r="X685" s="92" t="str">
        <f aca="true">IF(W685="","",IF(OR(O685="28 - Encerrado",O685="27 - Instalação concluída"),"Concluído",TODAY()-INT(W685)))</f>
        <v/>
      </c>
      <c r="Y685" s="91" t="str">
        <f aca="false">IF(OR(O685="28 - Encerrado",O685="27 - Instalação concluída"),"OK",IF(AND(B685&lt;&gt;"",S685=""),"ATENÇÃO (Sem data de atualização)",IF(S685="","",IF(S685&gt;30,"CRÍTICO (Sem Atualização &gt;30 dias)",IF(S685&gt;15,"ATENÇÃO (Sem Atualização &gt;15 dias)",IF(X685&gt;90,"CRÍTICO (Aberto &gt;90 dias)","OK"))))))</f>
        <v/>
      </c>
      <c r="Z685" s="90" t="str">
        <f aca="false">IF(B685="","",IF(OR(O685="27 - Instalação concluída",O685="28 - Encerrado"),"OK",IF(NOT(ISNUMBER(X685)),"",IF(X685&gt;365,"MUITO ANTIGO (&gt;1 ano)",IF(X685&gt;180,"ANTIGO (&gt;6 meses)",IF(X685&gt;90,"ATENÇÃO ANTIG. (&gt;3 meses)","OK"))))))</f>
        <v/>
      </c>
      <c r="AA685" s="91"/>
    </row>
    <row r="686" customFormat="false" ht="16.5" hidden="false" customHeight="true" outlineLevel="0" collapsed="false">
      <c r="A686" s="86"/>
      <c r="B686" s="91"/>
      <c r="C686" s="91" t="str">
        <f aca="false">IF(D686="","",IFERROR(INDEX(CADASTRO_VIVO_3CRE!$B$2:$B$150,MATCH(D686,CADASTRO_VIVO_3CRE!$E$2:$E$150,0)),""))</f>
        <v/>
      </c>
      <c r="D686" s="91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8"/>
      <c r="S686" s="92" t="str">
        <f aca="true">IF(R686="","",TODAY()-INT(R686))</f>
        <v/>
      </c>
      <c r="T686" s="86"/>
      <c r="U686" s="86"/>
      <c r="V686" s="86"/>
      <c r="W686" s="88"/>
      <c r="X686" s="92" t="str">
        <f aca="true">IF(W686="","",IF(OR(O686="28 - Encerrado",O686="27 - Instalação concluída"),"Concluído",TODAY()-INT(W686)))</f>
        <v/>
      </c>
      <c r="Y686" s="91" t="str">
        <f aca="false">IF(OR(O686="28 - Encerrado",O686="27 - Instalação concluída"),"OK",IF(AND(B686&lt;&gt;"",S686=""),"ATENÇÃO (Sem data de atualização)",IF(S686="","",IF(S686&gt;30,"CRÍTICO (Sem Atualização &gt;30 dias)",IF(S686&gt;15,"ATENÇÃO (Sem Atualização &gt;15 dias)",IF(X686&gt;90,"CRÍTICO (Aberto &gt;90 dias)","OK"))))))</f>
        <v/>
      </c>
      <c r="Z686" s="90" t="str">
        <f aca="false">IF(B686="","",IF(OR(O686="27 - Instalação concluída",O686="28 - Encerrado"),"OK",IF(NOT(ISNUMBER(X686)),"",IF(X686&gt;365,"MUITO ANTIGO (&gt;1 ano)",IF(X686&gt;180,"ANTIGO (&gt;6 meses)",IF(X686&gt;90,"ATENÇÃO ANTIG. (&gt;3 meses)","OK"))))))</f>
        <v/>
      </c>
      <c r="AA686" s="91"/>
    </row>
    <row r="687" customFormat="false" ht="16.5" hidden="false" customHeight="true" outlineLevel="0" collapsed="false">
      <c r="A687" s="86"/>
      <c r="B687" s="91"/>
      <c r="C687" s="91" t="str">
        <f aca="false">IF(D687="","",IFERROR(INDEX(CADASTRO_VIVO_3CRE!$B$2:$B$150,MATCH(D687,CADASTRO_VIVO_3CRE!$E$2:$E$150,0)),""))</f>
        <v/>
      </c>
      <c r="D687" s="91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8"/>
      <c r="S687" s="92" t="str">
        <f aca="true">IF(R687="","",TODAY()-INT(R687))</f>
        <v/>
      </c>
      <c r="T687" s="86"/>
      <c r="U687" s="86"/>
      <c r="V687" s="86"/>
      <c r="W687" s="88"/>
      <c r="X687" s="92" t="str">
        <f aca="true">IF(W687="","",IF(OR(O687="28 - Encerrado",O687="27 - Instalação concluída"),"Concluído",TODAY()-INT(W687)))</f>
        <v/>
      </c>
      <c r="Y687" s="91" t="str">
        <f aca="false">IF(OR(O687="28 - Encerrado",O687="27 - Instalação concluída"),"OK",IF(AND(B687&lt;&gt;"",S687=""),"ATENÇÃO (Sem data de atualização)",IF(S687="","",IF(S687&gt;30,"CRÍTICO (Sem Atualização &gt;30 dias)",IF(S687&gt;15,"ATENÇÃO (Sem Atualização &gt;15 dias)",IF(X687&gt;90,"CRÍTICO (Aberto &gt;90 dias)","OK"))))))</f>
        <v/>
      </c>
      <c r="Z687" s="90" t="str">
        <f aca="false">IF(B687="","",IF(OR(O687="27 - Instalação concluída",O687="28 - Encerrado"),"OK",IF(NOT(ISNUMBER(X687)),"",IF(X687&gt;365,"MUITO ANTIGO (&gt;1 ano)",IF(X687&gt;180,"ANTIGO (&gt;6 meses)",IF(X687&gt;90,"ATENÇÃO ANTIG. (&gt;3 meses)","OK"))))))</f>
        <v/>
      </c>
      <c r="AA687" s="91"/>
    </row>
    <row r="688" customFormat="false" ht="16.5" hidden="false" customHeight="true" outlineLevel="0" collapsed="false">
      <c r="A688" s="86"/>
      <c r="B688" s="91"/>
      <c r="C688" s="91" t="str">
        <f aca="false">IF(D688="","",IFERROR(INDEX(CADASTRO_VIVO_3CRE!$B$2:$B$150,MATCH(D688,CADASTRO_VIVO_3CRE!$E$2:$E$150,0)),""))</f>
        <v/>
      </c>
      <c r="D688" s="91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8"/>
      <c r="S688" s="92" t="str">
        <f aca="true">IF(R688="","",TODAY()-INT(R688))</f>
        <v/>
      </c>
      <c r="T688" s="86"/>
      <c r="U688" s="86"/>
      <c r="V688" s="86"/>
      <c r="W688" s="88"/>
      <c r="X688" s="92" t="str">
        <f aca="true">IF(W688="","",IF(OR(O688="28 - Encerrado",O688="27 - Instalação concluída"),"Concluído",TODAY()-INT(W688)))</f>
        <v/>
      </c>
      <c r="Y688" s="91" t="str">
        <f aca="false">IF(OR(O688="28 - Encerrado",O688="27 - Instalação concluída"),"OK",IF(AND(B688&lt;&gt;"",S688=""),"ATENÇÃO (Sem data de atualização)",IF(S688="","",IF(S688&gt;30,"CRÍTICO (Sem Atualização &gt;30 dias)",IF(S688&gt;15,"ATENÇÃO (Sem Atualização &gt;15 dias)",IF(X688&gt;90,"CRÍTICO (Aberto &gt;90 dias)","OK"))))))</f>
        <v/>
      </c>
      <c r="Z688" s="90" t="str">
        <f aca="false">IF(B688="","",IF(OR(O688="27 - Instalação concluída",O688="28 - Encerrado"),"OK",IF(NOT(ISNUMBER(X688)),"",IF(X688&gt;365,"MUITO ANTIGO (&gt;1 ano)",IF(X688&gt;180,"ANTIGO (&gt;6 meses)",IF(X688&gt;90,"ATENÇÃO ANTIG. (&gt;3 meses)","OK"))))))</f>
        <v/>
      </c>
      <c r="AA688" s="91"/>
    </row>
    <row r="689" customFormat="false" ht="16.5" hidden="false" customHeight="true" outlineLevel="0" collapsed="false">
      <c r="A689" s="86"/>
      <c r="B689" s="91"/>
      <c r="C689" s="91" t="str">
        <f aca="false">IF(D689="","",IFERROR(INDEX(CADASTRO_VIVO_3CRE!$B$2:$B$150,MATCH(D689,CADASTRO_VIVO_3CRE!$E$2:$E$150,0)),""))</f>
        <v/>
      </c>
      <c r="D689" s="91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8"/>
      <c r="S689" s="92" t="str">
        <f aca="true">IF(R689="","",TODAY()-INT(R689))</f>
        <v/>
      </c>
      <c r="T689" s="86"/>
      <c r="U689" s="86"/>
      <c r="V689" s="86"/>
      <c r="W689" s="88"/>
      <c r="X689" s="92" t="str">
        <f aca="true">IF(W689="","",IF(OR(O689="28 - Encerrado",O689="27 - Instalação concluída"),"Concluído",TODAY()-INT(W689)))</f>
        <v/>
      </c>
      <c r="Y689" s="91" t="str">
        <f aca="false">IF(OR(O689="28 - Encerrado",O689="27 - Instalação concluída"),"OK",IF(AND(B689&lt;&gt;"",S689=""),"ATENÇÃO (Sem data de atualização)",IF(S689="","",IF(S689&gt;30,"CRÍTICO (Sem Atualização &gt;30 dias)",IF(S689&gt;15,"ATENÇÃO (Sem Atualização &gt;15 dias)",IF(X689&gt;90,"CRÍTICO (Aberto &gt;90 dias)","OK"))))))</f>
        <v/>
      </c>
      <c r="Z689" s="90" t="str">
        <f aca="false">IF(B689="","",IF(OR(O689="27 - Instalação concluída",O689="28 - Encerrado"),"OK",IF(NOT(ISNUMBER(X689)),"",IF(X689&gt;365,"MUITO ANTIGO (&gt;1 ano)",IF(X689&gt;180,"ANTIGO (&gt;6 meses)",IF(X689&gt;90,"ATENÇÃO ANTIG. (&gt;3 meses)","OK"))))))</f>
        <v/>
      </c>
      <c r="AA689" s="91"/>
    </row>
    <row r="690" customFormat="false" ht="16.5" hidden="false" customHeight="true" outlineLevel="0" collapsed="false">
      <c r="A690" s="86"/>
      <c r="B690" s="91"/>
      <c r="C690" s="91" t="str">
        <f aca="false">IF(D690="","",IFERROR(INDEX(CADASTRO_VIVO_3CRE!$B$2:$B$150,MATCH(D690,CADASTRO_VIVO_3CRE!$E$2:$E$150,0)),""))</f>
        <v/>
      </c>
      <c r="D690" s="91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8"/>
      <c r="S690" s="92" t="str">
        <f aca="true">IF(R690="","",TODAY()-INT(R690))</f>
        <v/>
      </c>
      <c r="T690" s="86"/>
      <c r="U690" s="86"/>
      <c r="V690" s="86"/>
      <c r="W690" s="88"/>
      <c r="X690" s="92" t="str">
        <f aca="true">IF(W690="","",IF(OR(O690="28 - Encerrado",O690="27 - Instalação concluída"),"Concluído",TODAY()-INT(W690)))</f>
        <v/>
      </c>
      <c r="Y690" s="91" t="str">
        <f aca="false">IF(OR(O690="28 - Encerrado",O690="27 - Instalação concluída"),"OK",IF(AND(B690&lt;&gt;"",S690=""),"ATENÇÃO (Sem data de atualização)",IF(S690="","",IF(S690&gt;30,"CRÍTICO (Sem Atualização &gt;30 dias)",IF(S690&gt;15,"ATENÇÃO (Sem Atualização &gt;15 dias)",IF(X690&gt;90,"CRÍTICO (Aberto &gt;90 dias)","OK"))))))</f>
        <v/>
      </c>
      <c r="Z690" s="90" t="str">
        <f aca="false">IF(B690="","",IF(OR(O690="27 - Instalação concluída",O690="28 - Encerrado"),"OK",IF(NOT(ISNUMBER(X690)),"",IF(X690&gt;365,"MUITO ANTIGO (&gt;1 ano)",IF(X690&gt;180,"ANTIGO (&gt;6 meses)",IF(X690&gt;90,"ATENÇÃO ANTIG. (&gt;3 meses)","OK"))))))</f>
        <v/>
      </c>
      <c r="AA690" s="91"/>
    </row>
    <row r="691" customFormat="false" ht="16.5" hidden="false" customHeight="true" outlineLevel="0" collapsed="false">
      <c r="A691" s="86"/>
      <c r="B691" s="91"/>
      <c r="C691" s="91" t="str">
        <f aca="false">IF(D691="","",IFERROR(INDEX(CADASTRO_VIVO_3CRE!$B$2:$B$150,MATCH(D691,CADASTRO_VIVO_3CRE!$E$2:$E$150,0)),""))</f>
        <v/>
      </c>
      <c r="D691" s="91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8"/>
      <c r="S691" s="92" t="str">
        <f aca="true">IF(R691="","",TODAY()-INT(R691))</f>
        <v/>
      </c>
      <c r="T691" s="86"/>
      <c r="U691" s="86"/>
      <c r="V691" s="86"/>
      <c r="W691" s="88"/>
      <c r="X691" s="92" t="str">
        <f aca="true">IF(W691="","",IF(OR(O691="28 - Encerrado",O691="27 - Instalação concluída"),"Concluído",TODAY()-INT(W691)))</f>
        <v/>
      </c>
      <c r="Y691" s="91" t="str">
        <f aca="false">IF(OR(O691="28 - Encerrado",O691="27 - Instalação concluída"),"OK",IF(AND(B691&lt;&gt;"",S691=""),"ATENÇÃO (Sem data de atualização)",IF(S691="","",IF(S691&gt;30,"CRÍTICO (Sem Atualização &gt;30 dias)",IF(S691&gt;15,"ATENÇÃO (Sem Atualização &gt;15 dias)",IF(X691&gt;90,"CRÍTICO (Aberto &gt;90 dias)","OK"))))))</f>
        <v/>
      </c>
      <c r="Z691" s="90" t="str">
        <f aca="false">IF(B691="","",IF(OR(O691="27 - Instalação concluída",O691="28 - Encerrado"),"OK",IF(NOT(ISNUMBER(X691)),"",IF(X691&gt;365,"MUITO ANTIGO (&gt;1 ano)",IF(X691&gt;180,"ANTIGO (&gt;6 meses)",IF(X691&gt;90,"ATENÇÃO ANTIG. (&gt;3 meses)","OK"))))))</f>
        <v/>
      </c>
      <c r="AA691" s="91"/>
    </row>
    <row r="692" customFormat="false" ht="16.5" hidden="false" customHeight="true" outlineLevel="0" collapsed="false">
      <c r="A692" s="86"/>
      <c r="B692" s="91"/>
      <c r="C692" s="91" t="str">
        <f aca="false">IF(D692="","",IFERROR(INDEX(CADASTRO_VIVO_3CRE!$B$2:$B$150,MATCH(D692,CADASTRO_VIVO_3CRE!$E$2:$E$150,0)),""))</f>
        <v/>
      </c>
      <c r="D692" s="91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8"/>
      <c r="S692" s="92" t="str">
        <f aca="true">IF(R692="","",TODAY()-INT(R692))</f>
        <v/>
      </c>
      <c r="T692" s="86"/>
      <c r="U692" s="86"/>
      <c r="V692" s="86"/>
      <c r="W692" s="88"/>
      <c r="X692" s="92" t="str">
        <f aca="true">IF(W692="","",IF(OR(O692="28 - Encerrado",O692="27 - Instalação concluída"),"Concluído",TODAY()-INT(W692)))</f>
        <v/>
      </c>
      <c r="Y692" s="91" t="str">
        <f aca="false">IF(OR(O692="28 - Encerrado",O692="27 - Instalação concluída"),"OK",IF(AND(B692&lt;&gt;"",S692=""),"ATENÇÃO (Sem data de atualização)",IF(S692="","",IF(S692&gt;30,"CRÍTICO (Sem Atualização &gt;30 dias)",IF(S692&gt;15,"ATENÇÃO (Sem Atualização &gt;15 dias)",IF(X692&gt;90,"CRÍTICO (Aberto &gt;90 dias)","OK"))))))</f>
        <v/>
      </c>
      <c r="Z692" s="90" t="str">
        <f aca="false">IF(B692="","",IF(OR(O692="27 - Instalação concluída",O692="28 - Encerrado"),"OK",IF(NOT(ISNUMBER(X692)),"",IF(X692&gt;365,"MUITO ANTIGO (&gt;1 ano)",IF(X692&gt;180,"ANTIGO (&gt;6 meses)",IF(X692&gt;90,"ATENÇÃO ANTIG. (&gt;3 meses)","OK"))))))</f>
        <v/>
      </c>
      <c r="AA692" s="91"/>
    </row>
    <row r="693" customFormat="false" ht="16.5" hidden="false" customHeight="true" outlineLevel="0" collapsed="false">
      <c r="A693" s="86"/>
      <c r="B693" s="91"/>
      <c r="C693" s="91" t="str">
        <f aca="false">IF(D693="","",IFERROR(INDEX(CADASTRO_VIVO_3CRE!$B$2:$B$150,MATCH(D693,CADASTRO_VIVO_3CRE!$E$2:$E$150,0)),""))</f>
        <v/>
      </c>
      <c r="D693" s="91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8"/>
      <c r="S693" s="92" t="str">
        <f aca="true">IF(R693="","",TODAY()-INT(R693))</f>
        <v/>
      </c>
      <c r="T693" s="86"/>
      <c r="U693" s="86"/>
      <c r="V693" s="86"/>
      <c r="W693" s="88"/>
      <c r="X693" s="92" t="str">
        <f aca="true">IF(W693="","",IF(OR(O693="28 - Encerrado",O693="27 - Instalação concluída"),"Concluído",TODAY()-INT(W693)))</f>
        <v/>
      </c>
      <c r="Y693" s="91" t="str">
        <f aca="false">IF(OR(O693="28 - Encerrado",O693="27 - Instalação concluída"),"OK",IF(AND(B693&lt;&gt;"",S693=""),"ATENÇÃO (Sem data de atualização)",IF(S693="","",IF(S693&gt;30,"CRÍTICO (Sem Atualização &gt;30 dias)",IF(S693&gt;15,"ATENÇÃO (Sem Atualização &gt;15 dias)",IF(X693&gt;90,"CRÍTICO (Aberto &gt;90 dias)","OK"))))))</f>
        <v/>
      </c>
      <c r="Z693" s="90" t="str">
        <f aca="false">IF(B693="","",IF(OR(O693="27 - Instalação concluída",O693="28 - Encerrado"),"OK",IF(NOT(ISNUMBER(X693)),"",IF(X693&gt;365,"MUITO ANTIGO (&gt;1 ano)",IF(X693&gt;180,"ANTIGO (&gt;6 meses)",IF(X693&gt;90,"ATENÇÃO ANTIG. (&gt;3 meses)","OK"))))))</f>
        <v/>
      </c>
      <c r="AA693" s="91"/>
    </row>
    <row r="694" customFormat="false" ht="16.5" hidden="false" customHeight="true" outlineLevel="0" collapsed="false">
      <c r="A694" s="86"/>
      <c r="B694" s="91"/>
      <c r="C694" s="91" t="str">
        <f aca="false">IF(D694="","",IFERROR(INDEX(CADASTRO_VIVO_3CRE!$B$2:$B$150,MATCH(D694,CADASTRO_VIVO_3CRE!$E$2:$E$150,0)),""))</f>
        <v/>
      </c>
      <c r="D694" s="91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8"/>
      <c r="S694" s="92" t="str">
        <f aca="true">IF(R694="","",TODAY()-INT(R694))</f>
        <v/>
      </c>
      <c r="T694" s="86"/>
      <c r="U694" s="86"/>
      <c r="V694" s="86"/>
      <c r="W694" s="88"/>
      <c r="X694" s="92" t="str">
        <f aca="true">IF(W694="","",IF(OR(O694="28 - Encerrado",O694="27 - Instalação concluída"),"Concluído",TODAY()-INT(W694)))</f>
        <v/>
      </c>
      <c r="Y694" s="91" t="str">
        <f aca="false">IF(OR(O694="28 - Encerrado",O694="27 - Instalação concluída"),"OK",IF(AND(B694&lt;&gt;"",S694=""),"ATENÇÃO (Sem data de atualização)",IF(S694="","",IF(S694&gt;30,"CRÍTICO (Sem Atualização &gt;30 dias)",IF(S694&gt;15,"ATENÇÃO (Sem Atualização &gt;15 dias)",IF(X694&gt;90,"CRÍTICO (Aberto &gt;90 dias)","OK"))))))</f>
        <v/>
      </c>
      <c r="Z694" s="90" t="str">
        <f aca="false">IF(B694="","",IF(OR(O694="27 - Instalação concluída",O694="28 - Encerrado"),"OK",IF(NOT(ISNUMBER(X694)),"",IF(X694&gt;365,"MUITO ANTIGO (&gt;1 ano)",IF(X694&gt;180,"ANTIGO (&gt;6 meses)",IF(X694&gt;90,"ATENÇÃO ANTIG. (&gt;3 meses)","OK"))))))</f>
        <v/>
      </c>
      <c r="AA694" s="91"/>
    </row>
    <row r="695" customFormat="false" ht="16.5" hidden="false" customHeight="true" outlineLevel="0" collapsed="false">
      <c r="A695" s="86"/>
      <c r="B695" s="91"/>
      <c r="C695" s="91" t="str">
        <f aca="false">IF(D695="","",IFERROR(INDEX(CADASTRO_VIVO_3CRE!$B$2:$B$150,MATCH(D695,CADASTRO_VIVO_3CRE!$E$2:$E$150,0)),""))</f>
        <v/>
      </c>
      <c r="D695" s="91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8"/>
      <c r="S695" s="92" t="str">
        <f aca="true">IF(R695="","",TODAY()-INT(R695))</f>
        <v/>
      </c>
      <c r="T695" s="86"/>
      <c r="U695" s="86"/>
      <c r="V695" s="86"/>
      <c r="W695" s="88"/>
      <c r="X695" s="92" t="str">
        <f aca="true">IF(W695="","",IF(OR(O695="28 - Encerrado",O695="27 - Instalação concluída"),"Concluído",TODAY()-INT(W695)))</f>
        <v/>
      </c>
      <c r="Y695" s="91" t="str">
        <f aca="false">IF(OR(O695="28 - Encerrado",O695="27 - Instalação concluída"),"OK",IF(AND(B695&lt;&gt;"",S695=""),"ATENÇÃO (Sem data de atualização)",IF(S695="","",IF(S695&gt;30,"CRÍTICO (Sem Atualização &gt;30 dias)",IF(S695&gt;15,"ATENÇÃO (Sem Atualização &gt;15 dias)",IF(X695&gt;90,"CRÍTICO (Aberto &gt;90 dias)","OK"))))))</f>
        <v/>
      </c>
      <c r="Z695" s="90" t="str">
        <f aca="false">IF(B695="","",IF(OR(O695="27 - Instalação concluída",O695="28 - Encerrado"),"OK",IF(NOT(ISNUMBER(X695)),"",IF(X695&gt;365,"MUITO ANTIGO (&gt;1 ano)",IF(X695&gt;180,"ANTIGO (&gt;6 meses)",IF(X695&gt;90,"ATENÇÃO ANTIG. (&gt;3 meses)","OK"))))))</f>
        <v/>
      </c>
      <c r="AA695" s="91"/>
    </row>
    <row r="696" customFormat="false" ht="16.5" hidden="false" customHeight="true" outlineLevel="0" collapsed="false">
      <c r="A696" s="86"/>
      <c r="B696" s="91"/>
      <c r="C696" s="91" t="str">
        <f aca="false">IF(D696="","",IFERROR(INDEX(CADASTRO_VIVO_3CRE!$B$2:$B$150,MATCH(D696,CADASTRO_VIVO_3CRE!$E$2:$E$150,0)),""))</f>
        <v/>
      </c>
      <c r="D696" s="91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8"/>
      <c r="S696" s="92" t="str">
        <f aca="true">IF(R696="","",TODAY()-INT(R696))</f>
        <v/>
      </c>
      <c r="T696" s="86"/>
      <c r="U696" s="86"/>
      <c r="V696" s="86"/>
      <c r="W696" s="88"/>
      <c r="X696" s="92" t="str">
        <f aca="true">IF(W696="","",IF(OR(O696="28 - Encerrado",O696="27 - Instalação concluída"),"Concluído",TODAY()-INT(W696)))</f>
        <v/>
      </c>
      <c r="Y696" s="91" t="str">
        <f aca="false">IF(OR(O696="28 - Encerrado",O696="27 - Instalação concluída"),"OK",IF(AND(B696&lt;&gt;"",S696=""),"ATENÇÃO (Sem data de atualização)",IF(S696="","",IF(S696&gt;30,"CRÍTICO (Sem Atualização &gt;30 dias)",IF(S696&gt;15,"ATENÇÃO (Sem Atualização &gt;15 dias)",IF(X696&gt;90,"CRÍTICO (Aberto &gt;90 dias)","OK"))))))</f>
        <v/>
      </c>
      <c r="Z696" s="90" t="str">
        <f aca="false">IF(B696="","",IF(OR(O696="27 - Instalação concluída",O696="28 - Encerrado"),"OK",IF(NOT(ISNUMBER(X696)),"",IF(X696&gt;365,"MUITO ANTIGO (&gt;1 ano)",IF(X696&gt;180,"ANTIGO (&gt;6 meses)",IF(X696&gt;90,"ATENÇÃO ANTIG. (&gt;3 meses)","OK"))))))</f>
        <v/>
      </c>
      <c r="AA696" s="91"/>
    </row>
    <row r="697" customFormat="false" ht="16.5" hidden="false" customHeight="true" outlineLevel="0" collapsed="false">
      <c r="A697" s="86"/>
      <c r="B697" s="91"/>
      <c r="C697" s="91" t="str">
        <f aca="false">IF(D697="","",IFERROR(INDEX(CADASTRO_VIVO_3CRE!$B$2:$B$150,MATCH(D697,CADASTRO_VIVO_3CRE!$E$2:$E$150,0)),""))</f>
        <v/>
      </c>
      <c r="D697" s="91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8"/>
      <c r="S697" s="92" t="str">
        <f aca="true">IF(R697="","",TODAY()-INT(R697))</f>
        <v/>
      </c>
      <c r="T697" s="86"/>
      <c r="U697" s="86"/>
      <c r="V697" s="86"/>
      <c r="W697" s="88"/>
      <c r="X697" s="92" t="str">
        <f aca="true">IF(W697="","",IF(OR(O697="28 - Encerrado",O697="27 - Instalação concluída"),"Concluído",TODAY()-INT(W697)))</f>
        <v/>
      </c>
      <c r="Y697" s="91" t="str">
        <f aca="false">IF(OR(O697="28 - Encerrado",O697="27 - Instalação concluída"),"OK",IF(AND(B697&lt;&gt;"",S697=""),"ATENÇÃO (Sem data de atualização)",IF(S697="","",IF(S697&gt;30,"CRÍTICO (Sem Atualização &gt;30 dias)",IF(S697&gt;15,"ATENÇÃO (Sem Atualização &gt;15 dias)",IF(X697&gt;90,"CRÍTICO (Aberto &gt;90 dias)","OK"))))))</f>
        <v/>
      </c>
      <c r="Z697" s="90" t="str">
        <f aca="false">IF(B697="","",IF(OR(O697="27 - Instalação concluída",O697="28 - Encerrado"),"OK",IF(NOT(ISNUMBER(X697)),"",IF(X697&gt;365,"MUITO ANTIGO (&gt;1 ano)",IF(X697&gt;180,"ANTIGO (&gt;6 meses)",IF(X697&gt;90,"ATENÇÃO ANTIG. (&gt;3 meses)","OK"))))))</f>
        <v/>
      </c>
      <c r="AA697" s="91"/>
    </row>
    <row r="698" customFormat="false" ht="16.5" hidden="false" customHeight="true" outlineLevel="0" collapsed="false">
      <c r="A698" s="86"/>
      <c r="B698" s="91"/>
      <c r="C698" s="91" t="str">
        <f aca="false">IF(D698="","",IFERROR(INDEX(CADASTRO_VIVO_3CRE!$B$2:$B$150,MATCH(D698,CADASTRO_VIVO_3CRE!$E$2:$E$150,0)),""))</f>
        <v/>
      </c>
      <c r="D698" s="91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8"/>
      <c r="S698" s="92" t="str">
        <f aca="true">IF(R698="","",TODAY()-INT(R698))</f>
        <v/>
      </c>
      <c r="T698" s="86"/>
      <c r="U698" s="86"/>
      <c r="V698" s="86"/>
      <c r="W698" s="88"/>
      <c r="X698" s="92" t="str">
        <f aca="true">IF(W698="","",IF(OR(O698="28 - Encerrado",O698="27 - Instalação concluída"),"Concluído",TODAY()-INT(W698)))</f>
        <v/>
      </c>
      <c r="Y698" s="91" t="str">
        <f aca="false">IF(OR(O698="28 - Encerrado",O698="27 - Instalação concluída"),"OK",IF(AND(B698&lt;&gt;"",S698=""),"ATENÇÃO (Sem data de atualização)",IF(S698="","",IF(S698&gt;30,"CRÍTICO (Sem Atualização &gt;30 dias)",IF(S698&gt;15,"ATENÇÃO (Sem Atualização &gt;15 dias)",IF(X698&gt;90,"CRÍTICO (Aberto &gt;90 dias)","OK"))))))</f>
        <v/>
      </c>
      <c r="Z698" s="90" t="str">
        <f aca="false">IF(B698="","",IF(OR(O698="27 - Instalação concluída",O698="28 - Encerrado"),"OK",IF(NOT(ISNUMBER(X698)),"",IF(X698&gt;365,"MUITO ANTIGO (&gt;1 ano)",IF(X698&gt;180,"ANTIGO (&gt;6 meses)",IF(X698&gt;90,"ATENÇÃO ANTIG. (&gt;3 meses)","OK"))))))</f>
        <v/>
      </c>
      <c r="AA698" s="91"/>
    </row>
    <row r="699" customFormat="false" ht="16.5" hidden="false" customHeight="true" outlineLevel="0" collapsed="false">
      <c r="A699" s="86"/>
      <c r="B699" s="91"/>
      <c r="C699" s="91" t="str">
        <f aca="false">IF(D699="","",IFERROR(INDEX(CADASTRO_VIVO_3CRE!$B$2:$B$150,MATCH(D699,CADASTRO_VIVO_3CRE!$E$2:$E$150,0)),""))</f>
        <v/>
      </c>
      <c r="D699" s="91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8"/>
      <c r="S699" s="92" t="str">
        <f aca="true">IF(R699="","",TODAY()-INT(R699))</f>
        <v/>
      </c>
      <c r="T699" s="86"/>
      <c r="U699" s="86"/>
      <c r="V699" s="86"/>
      <c r="W699" s="88"/>
      <c r="X699" s="92" t="str">
        <f aca="true">IF(W699="","",IF(OR(O699="28 - Encerrado",O699="27 - Instalação concluída"),"Concluído",TODAY()-INT(W699)))</f>
        <v/>
      </c>
      <c r="Y699" s="91" t="str">
        <f aca="false">IF(OR(O699="28 - Encerrado",O699="27 - Instalação concluída"),"OK",IF(AND(B699&lt;&gt;"",S699=""),"ATENÇÃO (Sem data de atualização)",IF(S699="","",IF(S699&gt;30,"CRÍTICO (Sem Atualização &gt;30 dias)",IF(S699&gt;15,"ATENÇÃO (Sem Atualização &gt;15 dias)",IF(X699&gt;90,"CRÍTICO (Aberto &gt;90 dias)","OK"))))))</f>
        <v/>
      </c>
      <c r="Z699" s="90" t="str">
        <f aca="false">IF(B699="","",IF(OR(O699="27 - Instalação concluída",O699="28 - Encerrado"),"OK",IF(NOT(ISNUMBER(X699)),"",IF(X699&gt;365,"MUITO ANTIGO (&gt;1 ano)",IF(X699&gt;180,"ANTIGO (&gt;6 meses)",IF(X699&gt;90,"ATENÇÃO ANTIG. (&gt;3 meses)","OK"))))))</f>
        <v/>
      </c>
      <c r="AA699" s="91"/>
    </row>
    <row r="700" customFormat="false" ht="16.5" hidden="false" customHeight="true" outlineLevel="0" collapsed="false">
      <c r="A700" s="86"/>
      <c r="B700" s="91"/>
      <c r="C700" s="91" t="str">
        <f aca="false">IF(D700="","",IFERROR(INDEX(CADASTRO_VIVO_3CRE!$B$2:$B$150,MATCH(D700,CADASTRO_VIVO_3CRE!$E$2:$E$150,0)),""))</f>
        <v/>
      </c>
      <c r="D700" s="91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8"/>
      <c r="S700" s="92" t="str">
        <f aca="true">IF(R700="","",TODAY()-INT(R700))</f>
        <v/>
      </c>
      <c r="T700" s="86"/>
      <c r="U700" s="86"/>
      <c r="V700" s="86"/>
      <c r="W700" s="88"/>
      <c r="X700" s="92" t="str">
        <f aca="true">IF(W700="","",IF(OR(O700="28 - Encerrado",O700="27 - Instalação concluída"),"Concluído",TODAY()-INT(W700)))</f>
        <v/>
      </c>
      <c r="Y700" s="91" t="str">
        <f aca="false">IF(OR(O700="28 - Encerrado",O700="27 - Instalação concluída"),"OK",IF(AND(B700&lt;&gt;"",S700=""),"ATENÇÃO (Sem data de atualização)",IF(S700="","",IF(S700&gt;30,"CRÍTICO (Sem Atualização &gt;30 dias)",IF(S700&gt;15,"ATENÇÃO (Sem Atualização &gt;15 dias)",IF(X700&gt;90,"CRÍTICO (Aberto &gt;90 dias)","OK"))))))</f>
        <v/>
      </c>
      <c r="Z700" s="90" t="str">
        <f aca="false">IF(B700="","",IF(OR(O700="27 - Instalação concluída",O700="28 - Encerrado"),"OK",IF(NOT(ISNUMBER(X700)),"",IF(X700&gt;365,"MUITO ANTIGO (&gt;1 ano)",IF(X700&gt;180,"ANTIGO (&gt;6 meses)",IF(X700&gt;90,"ATENÇÃO ANTIG. (&gt;3 meses)","OK"))))))</f>
        <v/>
      </c>
      <c r="AA700" s="91"/>
    </row>
    <row r="701" customFormat="false" ht="16.5" hidden="false" customHeight="true" outlineLevel="0" collapsed="false">
      <c r="A701" s="86"/>
      <c r="B701" s="91"/>
      <c r="C701" s="91" t="str">
        <f aca="false">IF(D701="","",IFERROR(INDEX(CADASTRO_VIVO_3CRE!$B$2:$B$150,MATCH(D701,CADASTRO_VIVO_3CRE!$E$2:$E$150,0)),""))</f>
        <v/>
      </c>
      <c r="D701" s="91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8"/>
      <c r="S701" s="92" t="str">
        <f aca="true">IF(R701="","",TODAY()-INT(R701))</f>
        <v/>
      </c>
      <c r="T701" s="86"/>
      <c r="U701" s="86"/>
      <c r="V701" s="86"/>
      <c r="W701" s="88"/>
      <c r="X701" s="92" t="str">
        <f aca="true">IF(W701="","",IF(OR(O701="28 - Encerrado",O701="27 - Instalação concluída"),"Concluído",TODAY()-INT(W701)))</f>
        <v/>
      </c>
      <c r="Y701" s="91" t="str">
        <f aca="false">IF(OR(O701="28 - Encerrado",O701="27 - Instalação concluída"),"OK",IF(AND(B701&lt;&gt;"",S701=""),"ATENÇÃO (Sem data de atualização)",IF(S701="","",IF(S701&gt;30,"CRÍTICO (Sem Atualização &gt;30 dias)",IF(S701&gt;15,"ATENÇÃO (Sem Atualização &gt;15 dias)",IF(X701&gt;90,"CRÍTICO (Aberto &gt;90 dias)","OK"))))))</f>
        <v/>
      </c>
      <c r="Z701" s="90" t="str">
        <f aca="false">IF(B701="","",IF(OR(O701="27 - Instalação concluída",O701="28 - Encerrado"),"OK",IF(NOT(ISNUMBER(X701)),"",IF(X701&gt;365,"MUITO ANTIGO (&gt;1 ano)",IF(X701&gt;180,"ANTIGO (&gt;6 meses)",IF(X701&gt;90,"ATENÇÃO ANTIG. (&gt;3 meses)","OK"))))))</f>
        <v/>
      </c>
      <c r="AA701" s="91"/>
    </row>
    <row r="702" customFormat="false" ht="16.5" hidden="false" customHeight="true" outlineLevel="0" collapsed="false">
      <c r="A702" s="86"/>
      <c r="B702" s="91"/>
      <c r="C702" s="91" t="str">
        <f aca="false">IF(D702="","",IFERROR(INDEX(CADASTRO_VIVO_3CRE!$B$2:$B$150,MATCH(D702,CADASTRO_VIVO_3CRE!$E$2:$E$150,0)),""))</f>
        <v/>
      </c>
      <c r="D702" s="91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8"/>
      <c r="S702" s="92" t="str">
        <f aca="true">IF(R702="","",TODAY()-INT(R702))</f>
        <v/>
      </c>
      <c r="T702" s="86"/>
      <c r="U702" s="86"/>
      <c r="V702" s="86"/>
      <c r="W702" s="88"/>
      <c r="X702" s="92" t="str">
        <f aca="true">IF(W702="","",IF(OR(O702="28 - Encerrado",O702="27 - Instalação concluída"),"Concluído",TODAY()-INT(W702)))</f>
        <v/>
      </c>
      <c r="Y702" s="91" t="str">
        <f aca="false">IF(OR(O702="28 - Encerrado",O702="27 - Instalação concluída"),"OK",IF(AND(B702&lt;&gt;"",S702=""),"ATENÇÃO (Sem data de atualização)",IF(S702="","",IF(S702&gt;30,"CRÍTICO (Sem Atualização &gt;30 dias)",IF(S702&gt;15,"ATENÇÃO (Sem Atualização &gt;15 dias)",IF(X702&gt;90,"CRÍTICO (Aberto &gt;90 dias)","OK"))))))</f>
        <v/>
      </c>
      <c r="Z702" s="90" t="str">
        <f aca="false">IF(B702="","",IF(OR(O702="27 - Instalação concluída",O702="28 - Encerrado"),"OK",IF(NOT(ISNUMBER(X702)),"",IF(X702&gt;365,"MUITO ANTIGO (&gt;1 ano)",IF(X702&gt;180,"ANTIGO (&gt;6 meses)",IF(X702&gt;90,"ATENÇÃO ANTIG. (&gt;3 meses)","OK"))))))</f>
        <v/>
      </c>
      <c r="AA702" s="91"/>
    </row>
    <row r="703" customFormat="false" ht="16.5" hidden="false" customHeight="true" outlineLevel="0" collapsed="false">
      <c r="A703" s="86"/>
      <c r="B703" s="91"/>
      <c r="C703" s="91" t="str">
        <f aca="false">IF(D703="","",IFERROR(INDEX(CADASTRO_VIVO_3CRE!$B$2:$B$150,MATCH(D703,CADASTRO_VIVO_3CRE!$E$2:$E$150,0)),""))</f>
        <v/>
      </c>
      <c r="D703" s="91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8"/>
      <c r="S703" s="92" t="str">
        <f aca="true">IF(R703="","",TODAY()-INT(R703))</f>
        <v/>
      </c>
      <c r="T703" s="86"/>
      <c r="U703" s="86"/>
      <c r="V703" s="86"/>
      <c r="W703" s="88"/>
      <c r="X703" s="92" t="str">
        <f aca="true">IF(W703="","",IF(OR(O703="28 - Encerrado",O703="27 - Instalação concluída"),"Concluído",TODAY()-INT(W703)))</f>
        <v/>
      </c>
      <c r="Y703" s="91" t="str">
        <f aca="false">IF(OR(O703="28 - Encerrado",O703="27 - Instalação concluída"),"OK",IF(AND(B703&lt;&gt;"",S703=""),"ATENÇÃO (Sem data de atualização)",IF(S703="","",IF(S703&gt;30,"CRÍTICO (Sem Atualização &gt;30 dias)",IF(S703&gt;15,"ATENÇÃO (Sem Atualização &gt;15 dias)",IF(X703&gt;90,"CRÍTICO (Aberto &gt;90 dias)","OK"))))))</f>
        <v/>
      </c>
      <c r="Z703" s="90" t="str">
        <f aca="false">IF(B703="","",IF(OR(O703="27 - Instalação concluída",O703="28 - Encerrado"),"OK",IF(NOT(ISNUMBER(X703)),"",IF(X703&gt;365,"MUITO ANTIGO (&gt;1 ano)",IF(X703&gt;180,"ANTIGO (&gt;6 meses)",IF(X703&gt;90,"ATENÇÃO ANTIG. (&gt;3 meses)","OK"))))))</f>
        <v/>
      </c>
      <c r="AA703" s="91"/>
    </row>
    <row r="704" customFormat="false" ht="16.5" hidden="false" customHeight="true" outlineLevel="0" collapsed="false">
      <c r="A704" s="86"/>
      <c r="B704" s="91"/>
      <c r="C704" s="91" t="str">
        <f aca="false">IF(D704="","",IFERROR(INDEX(CADASTRO_VIVO_3CRE!$B$2:$B$150,MATCH(D704,CADASTRO_VIVO_3CRE!$E$2:$E$150,0)),""))</f>
        <v/>
      </c>
      <c r="D704" s="91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8"/>
      <c r="S704" s="92" t="str">
        <f aca="true">IF(R704="","",TODAY()-INT(R704))</f>
        <v/>
      </c>
      <c r="T704" s="86"/>
      <c r="U704" s="86"/>
      <c r="V704" s="86"/>
      <c r="W704" s="88"/>
      <c r="X704" s="92" t="str">
        <f aca="true">IF(W704="","",IF(OR(O704="28 - Encerrado",O704="27 - Instalação concluída"),"Concluído",TODAY()-INT(W704)))</f>
        <v/>
      </c>
      <c r="Y704" s="91" t="str">
        <f aca="false">IF(OR(O704="28 - Encerrado",O704="27 - Instalação concluída"),"OK",IF(AND(B704&lt;&gt;"",S704=""),"ATENÇÃO (Sem data de atualização)",IF(S704="","",IF(S704&gt;30,"CRÍTICO (Sem Atualização &gt;30 dias)",IF(S704&gt;15,"ATENÇÃO (Sem Atualização &gt;15 dias)",IF(X704&gt;90,"CRÍTICO (Aberto &gt;90 dias)","OK"))))))</f>
        <v/>
      </c>
      <c r="Z704" s="90" t="str">
        <f aca="false">IF(B704="","",IF(OR(O704="27 - Instalação concluída",O704="28 - Encerrado"),"OK",IF(NOT(ISNUMBER(X704)),"",IF(X704&gt;365,"MUITO ANTIGO (&gt;1 ano)",IF(X704&gt;180,"ANTIGO (&gt;6 meses)",IF(X704&gt;90,"ATENÇÃO ANTIG. (&gt;3 meses)","OK"))))))</f>
        <v/>
      </c>
      <c r="AA704" s="91"/>
    </row>
    <row r="705" customFormat="false" ht="16.5" hidden="false" customHeight="true" outlineLevel="0" collapsed="false">
      <c r="A705" s="86"/>
      <c r="B705" s="91"/>
      <c r="C705" s="91" t="str">
        <f aca="false">IF(D705="","",IFERROR(INDEX(CADASTRO_VIVO_3CRE!$B$2:$B$150,MATCH(D705,CADASTRO_VIVO_3CRE!$E$2:$E$150,0)),""))</f>
        <v/>
      </c>
      <c r="D705" s="91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8"/>
      <c r="S705" s="92" t="str">
        <f aca="true">IF(R705="","",TODAY()-INT(R705))</f>
        <v/>
      </c>
      <c r="T705" s="86"/>
      <c r="U705" s="86"/>
      <c r="V705" s="86"/>
      <c r="W705" s="88"/>
      <c r="X705" s="92" t="str">
        <f aca="true">IF(W705="","",IF(OR(O705="28 - Encerrado",O705="27 - Instalação concluída"),"Concluído",TODAY()-INT(W705)))</f>
        <v/>
      </c>
      <c r="Y705" s="91" t="str">
        <f aca="false">IF(OR(O705="28 - Encerrado",O705="27 - Instalação concluída"),"OK",IF(AND(B705&lt;&gt;"",S705=""),"ATENÇÃO (Sem data de atualização)",IF(S705="","",IF(S705&gt;30,"CRÍTICO (Sem Atualização &gt;30 dias)",IF(S705&gt;15,"ATENÇÃO (Sem Atualização &gt;15 dias)",IF(X705&gt;90,"CRÍTICO (Aberto &gt;90 dias)","OK"))))))</f>
        <v/>
      </c>
      <c r="Z705" s="90" t="str">
        <f aca="false">IF(B705="","",IF(OR(O705="27 - Instalação concluída",O705="28 - Encerrado"),"OK",IF(NOT(ISNUMBER(X705)),"",IF(X705&gt;365,"MUITO ANTIGO (&gt;1 ano)",IF(X705&gt;180,"ANTIGO (&gt;6 meses)",IF(X705&gt;90,"ATENÇÃO ANTIG. (&gt;3 meses)","OK"))))))</f>
        <v/>
      </c>
      <c r="AA705" s="91"/>
    </row>
    <row r="706" customFormat="false" ht="16.5" hidden="false" customHeight="true" outlineLevel="0" collapsed="false">
      <c r="A706" s="86"/>
      <c r="B706" s="91"/>
      <c r="C706" s="91" t="str">
        <f aca="false">IF(D706="","",IFERROR(INDEX(CADASTRO_VIVO_3CRE!$B$2:$B$150,MATCH(D706,CADASTRO_VIVO_3CRE!$E$2:$E$150,0)),""))</f>
        <v/>
      </c>
      <c r="D706" s="91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8"/>
      <c r="S706" s="92" t="str">
        <f aca="true">IF(R706="","",TODAY()-INT(R706))</f>
        <v/>
      </c>
      <c r="T706" s="86"/>
      <c r="U706" s="86"/>
      <c r="V706" s="86"/>
      <c r="W706" s="88"/>
      <c r="X706" s="92" t="str">
        <f aca="true">IF(W706="","",IF(OR(O706="28 - Encerrado",O706="27 - Instalação concluída"),"Concluído",TODAY()-INT(W706)))</f>
        <v/>
      </c>
      <c r="Y706" s="91" t="str">
        <f aca="false">IF(OR(O706="28 - Encerrado",O706="27 - Instalação concluída"),"OK",IF(AND(B706&lt;&gt;"",S706=""),"ATENÇÃO (Sem data de atualização)",IF(S706="","",IF(S706&gt;30,"CRÍTICO (Sem Atualização &gt;30 dias)",IF(S706&gt;15,"ATENÇÃO (Sem Atualização &gt;15 dias)",IF(X706&gt;90,"CRÍTICO (Aberto &gt;90 dias)","OK"))))))</f>
        <v/>
      </c>
      <c r="Z706" s="90" t="str">
        <f aca="false">IF(B706="","",IF(OR(O706="27 - Instalação concluída",O706="28 - Encerrado"),"OK",IF(NOT(ISNUMBER(X706)),"",IF(X706&gt;365,"MUITO ANTIGO (&gt;1 ano)",IF(X706&gt;180,"ANTIGO (&gt;6 meses)",IF(X706&gt;90,"ATENÇÃO ANTIG. (&gt;3 meses)","OK"))))))</f>
        <v/>
      </c>
      <c r="AA706" s="91"/>
    </row>
    <row r="707" customFormat="false" ht="16.5" hidden="false" customHeight="true" outlineLevel="0" collapsed="false">
      <c r="A707" s="86"/>
      <c r="B707" s="91"/>
      <c r="C707" s="91" t="str">
        <f aca="false">IF(D707="","",IFERROR(INDEX(CADASTRO_VIVO_3CRE!$B$2:$B$150,MATCH(D707,CADASTRO_VIVO_3CRE!$E$2:$E$150,0)),""))</f>
        <v/>
      </c>
      <c r="D707" s="91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8"/>
      <c r="S707" s="92" t="str">
        <f aca="true">IF(R707="","",TODAY()-INT(R707))</f>
        <v/>
      </c>
      <c r="T707" s="86"/>
      <c r="U707" s="86"/>
      <c r="V707" s="86"/>
      <c r="W707" s="88"/>
      <c r="X707" s="92" t="str">
        <f aca="true">IF(W707="","",IF(OR(O707="28 - Encerrado",O707="27 - Instalação concluída"),"Concluído",TODAY()-INT(W707)))</f>
        <v/>
      </c>
      <c r="Y707" s="91" t="str">
        <f aca="false">IF(OR(O707="28 - Encerrado",O707="27 - Instalação concluída"),"OK",IF(AND(B707&lt;&gt;"",S707=""),"ATENÇÃO (Sem data de atualização)",IF(S707="","",IF(S707&gt;30,"CRÍTICO (Sem Atualização &gt;30 dias)",IF(S707&gt;15,"ATENÇÃO (Sem Atualização &gt;15 dias)",IF(X707&gt;90,"CRÍTICO (Aberto &gt;90 dias)","OK"))))))</f>
        <v/>
      </c>
      <c r="Z707" s="90" t="str">
        <f aca="false">IF(B707="","",IF(OR(O707="27 - Instalação concluída",O707="28 - Encerrado"),"OK",IF(NOT(ISNUMBER(X707)),"",IF(X707&gt;365,"MUITO ANTIGO (&gt;1 ano)",IF(X707&gt;180,"ANTIGO (&gt;6 meses)",IF(X707&gt;90,"ATENÇÃO ANTIG. (&gt;3 meses)","OK"))))))</f>
        <v/>
      </c>
      <c r="AA707" s="91"/>
    </row>
    <row r="708" customFormat="false" ht="16.5" hidden="false" customHeight="true" outlineLevel="0" collapsed="false">
      <c r="A708" s="86"/>
      <c r="B708" s="91"/>
      <c r="C708" s="91" t="str">
        <f aca="false">IF(D708="","",IFERROR(INDEX(CADASTRO_VIVO_3CRE!$B$2:$B$150,MATCH(D708,CADASTRO_VIVO_3CRE!$E$2:$E$150,0)),""))</f>
        <v/>
      </c>
      <c r="D708" s="91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8"/>
      <c r="S708" s="92" t="str">
        <f aca="true">IF(R708="","",TODAY()-INT(R708))</f>
        <v/>
      </c>
      <c r="T708" s="86"/>
      <c r="U708" s="86"/>
      <c r="V708" s="86"/>
      <c r="W708" s="88"/>
      <c r="X708" s="92" t="str">
        <f aca="true">IF(W708="","",IF(OR(O708="28 - Encerrado",O708="27 - Instalação concluída"),"Concluído",TODAY()-INT(W708)))</f>
        <v/>
      </c>
      <c r="Y708" s="91" t="str">
        <f aca="false">IF(OR(O708="28 - Encerrado",O708="27 - Instalação concluída"),"OK",IF(AND(B708&lt;&gt;"",S708=""),"ATENÇÃO (Sem data de atualização)",IF(S708="","",IF(S708&gt;30,"CRÍTICO (Sem Atualização &gt;30 dias)",IF(S708&gt;15,"ATENÇÃO (Sem Atualização &gt;15 dias)",IF(X708&gt;90,"CRÍTICO (Aberto &gt;90 dias)","OK"))))))</f>
        <v/>
      </c>
      <c r="Z708" s="90" t="str">
        <f aca="false">IF(B708="","",IF(OR(O708="27 - Instalação concluída",O708="28 - Encerrado"),"OK",IF(NOT(ISNUMBER(X708)),"",IF(X708&gt;365,"MUITO ANTIGO (&gt;1 ano)",IF(X708&gt;180,"ANTIGO (&gt;6 meses)",IF(X708&gt;90,"ATENÇÃO ANTIG. (&gt;3 meses)","OK"))))))</f>
        <v/>
      </c>
      <c r="AA708" s="91"/>
    </row>
    <row r="709" customFormat="false" ht="16.5" hidden="false" customHeight="true" outlineLevel="0" collapsed="false">
      <c r="A709" s="86"/>
      <c r="B709" s="91"/>
      <c r="C709" s="91" t="str">
        <f aca="false">IF(D709="","",IFERROR(INDEX(CADASTRO_VIVO_3CRE!$B$2:$B$150,MATCH(D709,CADASTRO_VIVO_3CRE!$E$2:$E$150,0)),""))</f>
        <v/>
      </c>
      <c r="D709" s="91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8"/>
      <c r="S709" s="92" t="str">
        <f aca="true">IF(R709="","",TODAY()-INT(R709))</f>
        <v/>
      </c>
      <c r="T709" s="86"/>
      <c r="U709" s="86"/>
      <c r="V709" s="86"/>
      <c r="W709" s="88"/>
      <c r="X709" s="92" t="str">
        <f aca="true">IF(W709="","",IF(OR(O709="28 - Encerrado",O709="27 - Instalação concluída"),"Concluído",TODAY()-INT(W709)))</f>
        <v/>
      </c>
      <c r="Y709" s="91" t="str">
        <f aca="false">IF(OR(O709="28 - Encerrado",O709="27 - Instalação concluída"),"OK",IF(AND(B709&lt;&gt;"",S709=""),"ATENÇÃO (Sem data de atualização)",IF(S709="","",IF(S709&gt;30,"CRÍTICO (Sem Atualização &gt;30 dias)",IF(S709&gt;15,"ATENÇÃO (Sem Atualização &gt;15 dias)",IF(X709&gt;90,"CRÍTICO (Aberto &gt;90 dias)","OK"))))))</f>
        <v/>
      </c>
      <c r="Z709" s="90" t="str">
        <f aca="false">IF(B709="","",IF(OR(O709="27 - Instalação concluída",O709="28 - Encerrado"),"OK",IF(NOT(ISNUMBER(X709)),"",IF(X709&gt;365,"MUITO ANTIGO (&gt;1 ano)",IF(X709&gt;180,"ANTIGO (&gt;6 meses)",IF(X709&gt;90,"ATENÇÃO ANTIG. (&gt;3 meses)","OK"))))))</f>
        <v/>
      </c>
      <c r="AA709" s="91"/>
    </row>
    <row r="710" customFormat="false" ht="16.5" hidden="false" customHeight="true" outlineLevel="0" collapsed="false">
      <c r="A710" s="86"/>
      <c r="B710" s="91"/>
      <c r="C710" s="91" t="str">
        <f aca="false">IF(D710="","",IFERROR(INDEX(CADASTRO_VIVO_3CRE!$B$2:$B$150,MATCH(D710,CADASTRO_VIVO_3CRE!$E$2:$E$150,0)),""))</f>
        <v/>
      </c>
      <c r="D710" s="91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8"/>
      <c r="S710" s="92" t="str">
        <f aca="true">IF(R710="","",TODAY()-INT(R710))</f>
        <v/>
      </c>
      <c r="T710" s="86"/>
      <c r="U710" s="86"/>
      <c r="V710" s="86"/>
      <c r="W710" s="88"/>
      <c r="X710" s="92" t="str">
        <f aca="true">IF(W710="","",IF(OR(O710="28 - Encerrado",O710="27 - Instalação concluída"),"Concluído",TODAY()-INT(W710)))</f>
        <v/>
      </c>
      <c r="Y710" s="91" t="str">
        <f aca="false">IF(OR(O710="28 - Encerrado",O710="27 - Instalação concluída"),"OK",IF(AND(B710&lt;&gt;"",S710=""),"ATENÇÃO (Sem data de atualização)",IF(S710="","",IF(S710&gt;30,"CRÍTICO (Sem Atualização &gt;30 dias)",IF(S710&gt;15,"ATENÇÃO (Sem Atualização &gt;15 dias)",IF(X710&gt;90,"CRÍTICO (Aberto &gt;90 dias)","OK"))))))</f>
        <v/>
      </c>
      <c r="Z710" s="90" t="str">
        <f aca="false">IF(B710="","",IF(OR(O710="27 - Instalação concluída",O710="28 - Encerrado"),"OK",IF(NOT(ISNUMBER(X710)),"",IF(X710&gt;365,"MUITO ANTIGO (&gt;1 ano)",IF(X710&gt;180,"ANTIGO (&gt;6 meses)",IF(X710&gt;90,"ATENÇÃO ANTIG. (&gt;3 meses)","OK"))))))</f>
        <v/>
      </c>
      <c r="AA710" s="91"/>
    </row>
    <row r="711" customFormat="false" ht="16.5" hidden="false" customHeight="true" outlineLevel="0" collapsed="false">
      <c r="A711" s="86"/>
      <c r="B711" s="91"/>
      <c r="C711" s="91" t="str">
        <f aca="false">IF(D711="","",IFERROR(INDEX(CADASTRO_VIVO_3CRE!$B$2:$B$150,MATCH(D711,CADASTRO_VIVO_3CRE!$E$2:$E$150,0)),""))</f>
        <v/>
      </c>
      <c r="D711" s="91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8"/>
      <c r="S711" s="92" t="str">
        <f aca="true">IF(R711="","",TODAY()-INT(R711))</f>
        <v/>
      </c>
      <c r="T711" s="86"/>
      <c r="U711" s="86"/>
      <c r="V711" s="86"/>
      <c r="W711" s="88"/>
      <c r="X711" s="92" t="str">
        <f aca="true">IF(W711="","",IF(OR(O711="28 - Encerrado",O711="27 - Instalação concluída"),"Concluído",TODAY()-INT(W711)))</f>
        <v/>
      </c>
      <c r="Y711" s="91" t="str">
        <f aca="false">IF(OR(O711="28 - Encerrado",O711="27 - Instalação concluída"),"OK",IF(AND(B711&lt;&gt;"",S711=""),"ATENÇÃO (Sem data de atualização)",IF(S711="","",IF(S711&gt;30,"CRÍTICO (Sem Atualização &gt;30 dias)",IF(S711&gt;15,"ATENÇÃO (Sem Atualização &gt;15 dias)",IF(X711&gt;90,"CRÍTICO (Aberto &gt;90 dias)","OK"))))))</f>
        <v/>
      </c>
      <c r="Z711" s="90" t="str">
        <f aca="false">IF(B711="","",IF(OR(O711="27 - Instalação concluída",O711="28 - Encerrado"),"OK",IF(NOT(ISNUMBER(X711)),"",IF(X711&gt;365,"MUITO ANTIGO (&gt;1 ano)",IF(X711&gt;180,"ANTIGO (&gt;6 meses)",IF(X711&gt;90,"ATENÇÃO ANTIG. (&gt;3 meses)","OK"))))))</f>
        <v/>
      </c>
      <c r="AA711" s="91"/>
    </row>
    <row r="712" customFormat="false" ht="16.5" hidden="false" customHeight="true" outlineLevel="0" collapsed="false">
      <c r="A712" s="86"/>
      <c r="B712" s="91"/>
      <c r="C712" s="91" t="str">
        <f aca="false">IF(D712="","",IFERROR(INDEX(CADASTRO_VIVO_3CRE!$B$2:$B$150,MATCH(D712,CADASTRO_VIVO_3CRE!$E$2:$E$150,0)),""))</f>
        <v/>
      </c>
      <c r="D712" s="91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8"/>
      <c r="S712" s="92" t="str">
        <f aca="true">IF(R712="","",TODAY()-INT(R712))</f>
        <v/>
      </c>
      <c r="T712" s="86"/>
      <c r="U712" s="86"/>
      <c r="V712" s="86"/>
      <c r="W712" s="88"/>
      <c r="X712" s="92" t="str">
        <f aca="true">IF(W712="","",IF(OR(O712="28 - Encerrado",O712="27 - Instalação concluída"),"Concluído",TODAY()-INT(W712)))</f>
        <v/>
      </c>
      <c r="Y712" s="91" t="str">
        <f aca="false">IF(OR(O712="28 - Encerrado",O712="27 - Instalação concluída"),"OK",IF(AND(B712&lt;&gt;"",S712=""),"ATENÇÃO (Sem data de atualização)",IF(S712="","",IF(S712&gt;30,"CRÍTICO (Sem Atualização &gt;30 dias)",IF(S712&gt;15,"ATENÇÃO (Sem Atualização &gt;15 dias)",IF(X712&gt;90,"CRÍTICO (Aberto &gt;90 dias)","OK"))))))</f>
        <v/>
      </c>
      <c r="Z712" s="90" t="str">
        <f aca="false">IF(B712="","",IF(OR(O712="27 - Instalação concluída",O712="28 - Encerrado"),"OK",IF(NOT(ISNUMBER(X712)),"",IF(X712&gt;365,"MUITO ANTIGO (&gt;1 ano)",IF(X712&gt;180,"ANTIGO (&gt;6 meses)",IF(X712&gt;90,"ATENÇÃO ANTIG. (&gt;3 meses)","OK"))))))</f>
        <v/>
      </c>
      <c r="AA712" s="91"/>
    </row>
    <row r="713" customFormat="false" ht="16.5" hidden="false" customHeight="true" outlineLevel="0" collapsed="false">
      <c r="A713" s="86"/>
      <c r="B713" s="91"/>
      <c r="C713" s="91" t="str">
        <f aca="false">IF(D713="","",IFERROR(INDEX(CADASTRO_VIVO_3CRE!$B$2:$B$150,MATCH(D713,CADASTRO_VIVO_3CRE!$E$2:$E$150,0)),""))</f>
        <v/>
      </c>
      <c r="D713" s="91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8"/>
      <c r="S713" s="92" t="str">
        <f aca="true">IF(R713="","",TODAY()-INT(R713))</f>
        <v/>
      </c>
      <c r="T713" s="86"/>
      <c r="U713" s="86"/>
      <c r="V713" s="86"/>
      <c r="W713" s="88"/>
      <c r="X713" s="92" t="str">
        <f aca="true">IF(W713="","",IF(OR(O713="28 - Encerrado",O713="27 - Instalação concluída"),"Concluído",TODAY()-INT(W713)))</f>
        <v/>
      </c>
      <c r="Y713" s="91" t="str">
        <f aca="false">IF(OR(O713="28 - Encerrado",O713="27 - Instalação concluída"),"OK",IF(AND(B713&lt;&gt;"",S713=""),"ATENÇÃO (Sem data de atualização)",IF(S713="","",IF(S713&gt;30,"CRÍTICO (Sem Atualização &gt;30 dias)",IF(S713&gt;15,"ATENÇÃO (Sem Atualização &gt;15 dias)",IF(X713&gt;90,"CRÍTICO (Aberto &gt;90 dias)","OK"))))))</f>
        <v/>
      </c>
      <c r="Z713" s="90" t="str">
        <f aca="false">IF(B713="","",IF(OR(O713="27 - Instalação concluída",O713="28 - Encerrado"),"OK",IF(NOT(ISNUMBER(X713)),"",IF(X713&gt;365,"MUITO ANTIGO (&gt;1 ano)",IF(X713&gt;180,"ANTIGO (&gt;6 meses)",IF(X713&gt;90,"ATENÇÃO ANTIG. (&gt;3 meses)","OK"))))))</f>
        <v/>
      </c>
      <c r="AA713" s="91"/>
    </row>
    <row r="714" customFormat="false" ht="16.5" hidden="false" customHeight="true" outlineLevel="0" collapsed="false">
      <c r="A714" s="86"/>
      <c r="B714" s="91"/>
      <c r="C714" s="91" t="str">
        <f aca="false">IF(D714="","",IFERROR(INDEX(CADASTRO_VIVO_3CRE!$B$2:$B$150,MATCH(D714,CADASTRO_VIVO_3CRE!$E$2:$E$150,0)),""))</f>
        <v/>
      </c>
      <c r="D714" s="91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8"/>
      <c r="S714" s="92" t="str">
        <f aca="true">IF(R714="","",TODAY()-INT(R714))</f>
        <v/>
      </c>
      <c r="T714" s="86"/>
      <c r="U714" s="86"/>
      <c r="V714" s="86"/>
      <c r="W714" s="88"/>
      <c r="X714" s="92" t="str">
        <f aca="true">IF(W714="","",IF(OR(O714="28 - Encerrado",O714="27 - Instalação concluída"),"Concluído",TODAY()-INT(W714)))</f>
        <v/>
      </c>
      <c r="Y714" s="91" t="str">
        <f aca="false">IF(OR(O714="28 - Encerrado",O714="27 - Instalação concluída"),"OK",IF(AND(B714&lt;&gt;"",S714=""),"ATENÇÃO (Sem data de atualização)",IF(S714="","",IF(S714&gt;30,"CRÍTICO (Sem Atualização &gt;30 dias)",IF(S714&gt;15,"ATENÇÃO (Sem Atualização &gt;15 dias)",IF(X714&gt;90,"CRÍTICO (Aberto &gt;90 dias)","OK"))))))</f>
        <v/>
      </c>
      <c r="Z714" s="90" t="str">
        <f aca="false">IF(B714="","",IF(OR(O714="27 - Instalação concluída",O714="28 - Encerrado"),"OK",IF(NOT(ISNUMBER(X714)),"",IF(X714&gt;365,"MUITO ANTIGO (&gt;1 ano)",IF(X714&gt;180,"ANTIGO (&gt;6 meses)",IF(X714&gt;90,"ATENÇÃO ANTIG. (&gt;3 meses)","OK"))))))</f>
        <v/>
      </c>
      <c r="AA714" s="91"/>
    </row>
    <row r="715" customFormat="false" ht="16.5" hidden="false" customHeight="true" outlineLevel="0" collapsed="false">
      <c r="A715" s="86"/>
      <c r="B715" s="91"/>
      <c r="C715" s="91" t="str">
        <f aca="false">IF(D715="","",IFERROR(INDEX(CADASTRO_VIVO_3CRE!$B$2:$B$150,MATCH(D715,CADASTRO_VIVO_3CRE!$E$2:$E$150,0)),""))</f>
        <v/>
      </c>
      <c r="D715" s="91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8"/>
      <c r="S715" s="92" t="str">
        <f aca="true">IF(R715="","",TODAY()-INT(R715))</f>
        <v/>
      </c>
      <c r="T715" s="86"/>
      <c r="U715" s="86"/>
      <c r="V715" s="86"/>
      <c r="W715" s="88"/>
      <c r="X715" s="92" t="str">
        <f aca="true">IF(W715="","",IF(OR(O715="28 - Encerrado",O715="27 - Instalação concluída"),"Concluído",TODAY()-INT(W715)))</f>
        <v/>
      </c>
      <c r="Y715" s="91" t="str">
        <f aca="false">IF(OR(O715="28 - Encerrado",O715="27 - Instalação concluída"),"OK",IF(AND(B715&lt;&gt;"",S715=""),"ATENÇÃO (Sem data de atualização)",IF(S715="","",IF(S715&gt;30,"CRÍTICO (Sem Atualização &gt;30 dias)",IF(S715&gt;15,"ATENÇÃO (Sem Atualização &gt;15 dias)",IF(X715&gt;90,"CRÍTICO (Aberto &gt;90 dias)","OK"))))))</f>
        <v/>
      </c>
      <c r="Z715" s="90" t="str">
        <f aca="false">IF(B715="","",IF(OR(O715="27 - Instalação concluída",O715="28 - Encerrado"),"OK",IF(NOT(ISNUMBER(X715)),"",IF(X715&gt;365,"MUITO ANTIGO (&gt;1 ano)",IF(X715&gt;180,"ANTIGO (&gt;6 meses)",IF(X715&gt;90,"ATENÇÃO ANTIG. (&gt;3 meses)","OK"))))))</f>
        <v/>
      </c>
      <c r="AA715" s="91"/>
    </row>
    <row r="716" customFormat="false" ht="16.5" hidden="false" customHeight="true" outlineLevel="0" collapsed="false">
      <c r="A716" s="86"/>
      <c r="B716" s="91"/>
      <c r="C716" s="91" t="str">
        <f aca="false">IF(D716="","",IFERROR(INDEX(CADASTRO_VIVO_3CRE!$B$2:$B$150,MATCH(D716,CADASTRO_VIVO_3CRE!$E$2:$E$150,0)),""))</f>
        <v/>
      </c>
      <c r="D716" s="91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8"/>
      <c r="S716" s="92" t="str">
        <f aca="true">IF(R716="","",TODAY()-INT(R716))</f>
        <v/>
      </c>
      <c r="T716" s="86"/>
      <c r="U716" s="86"/>
      <c r="V716" s="86"/>
      <c r="W716" s="88"/>
      <c r="X716" s="92" t="str">
        <f aca="true">IF(W716="","",IF(OR(O716="28 - Encerrado",O716="27 - Instalação concluída"),"Concluído",TODAY()-INT(W716)))</f>
        <v/>
      </c>
      <c r="Y716" s="91" t="str">
        <f aca="false">IF(OR(O716="28 - Encerrado",O716="27 - Instalação concluída"),"OK",IF(AND(B716&lt;&gt;"",S716=""),"ATENÇÃO (Sem data de atualização)",IF(S716="","",IF(S716&gt;30,"CRÍTICO (Sem Atualização &gt;30 dias)",IF(S716&gt;15,"ATENÇÃO (Sem Atualização &gt;15 dias)",IF(X716&gt;90,"CRÍTICO (Aberto &gt;90 dias)","OK"))))))</f>
        <v/>
      </c>
      <c r="Z716" s="90" t="str">
        <f aca="false">IF(B716="","",IF(OR(O716="27 - Instalação concluída",O716="28 - Encerrado"),"OK",IF(NOT(ISNUMBER(X716)),"",IF(X716&gt;365,"MUITO ANTIGO (&gt;1 ano)",IF(X716&gt;180,"ANTIGO (&gt;6 meses)",IF(X716&gt;90,"ATENÇÃO ANTIG. (&gt;3 meses)","OK"))))))</f>
        <v/>
      </c>
      <c r="AA716" s="91"/>
    </row>
    <row r="717" customFormat="false" ht="16.5" hidden="false" customHeight="true" outlineLevel="0" collapsed="false">
      <c r="A717" s="86"/>
      <c r="B717" s="91"/>
      <c r="C717" s="91" t="str">
        <f aca="false">IF(D717="","",IFERROR(INDEX(CADASTRO_VIVO_3CRE!$B$2:$B$150,MATCH(D717,CADASTRO_VIVO_3CRE!$E$2:$E$150,0)),""))</f>
        <v/>
      </c>
      <c r="D717" s="91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8"/>
      <c r="S717" s="92" t="str">
        <f aca="true">IF(R717="","",TODAY()-INT(R717))</f>
        <v/>
      </c>
      <c r="T717" s="86"/>
      <c r="U717" s="86"/>
      <c r="V717" s="86"/>
      <c r="W717" s="88"/>
      <c r="X717" s="92" t="str">
        <f aca="true">IF(W717="","",IF(OR(O717="28 - Encerrado",O717="27 - Instalação concluída"),"Concluído",TODAY()-INT(W717)))</f>
        <v/>
      </c>
      <c r="Y717" s="91" t="str">
        <f aca="false">IF(OR(O717="28 - Encerrado",O717="27 - Instalação concluída"),"OK",IF(AND(B717&lt;&gt;"",S717=""),"ATENÇÃO (Sem data de atualização)",IF(S717="","",IF(S717&gt;30,"CRÍTICO (Sem Atualização &gt;30 dias)",IF(S717&gt;15,"ATENÇÃO (Sem Atualização &gt;15 dias)",IF(X717&gt;90,"CRÍTICO (Aberto &gt;90 dias)","OK"))))))</f>
        <v/>
      </c>
      <c r="Z717" s="90" t="str">
        <f aca="false">IF(B717="","",IF(OR(O717="27 - Instalação concluída",O717="28 - Encerrado"),"OK",IF(NOT(ISNUMBER(X717)),"",IF(X717&gt;365,"MUITO ANTIGO (&gt;1 ano)",IF(X717&gt;180,"ANTIGO (&gt;6 meses)",IF(X717&gt;90,"ATENÇÃO ANTIG. (&gt;3 meses)","OK"))))))</f>
        <v/>
      </c>
      <c r="AA717" s="91"/>
    </row>
    <row r="718" customFormat="false" ht="16.5" hidden="false" customHeight="true" outlineLevel="0" collapsed="false">
      <c r="A718" s="86"/>
      <c r="B718" s="91"/>
      <c r="C718" s="91" t="str">
        <f aca="false">IF(D718="","",IFERROR(INDEX(CADASTRO_VIVO_3CRE!$B$2:$B$150,MATCH(D718,CADASTRO_VIVO_3CRE!$E$2:$E$150,0)),""))</f>
        <v/>
      </c>
      <c r="D718" s="91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8"/>
      <c r="S718" s="92" t="str">
        <f aca="true">IF(R718="","",TODAY()-INT(R718))</f>
        <v/>
      </c>
      <c r="T718" s="86"/>
      <c r="U718" s="86"/>
      <c r="V718" s="86"/>
      <c r="W718" s="88"/>
      <c r="X718" s="92" t="str">
        <f aca="true">IF(W718="","",IF(OR(O718="28 - Encerrado",O718="27 - Instalação concluída"),"Concluído",TODAY()-INT(W718)))</f>
        <v/>
      </c>
      <c r="Y718" s="91" t="str">
        <f aca="false">IF(OR(O718="28 - Encerrado",O718="27 - Instalação concluída"),"OK",IF(AND(B718&lt;&gt;"",S718=""),"ATENÇÃO (Sem data de atualização)",IF(S718="","",IF(S718&gt;30,"CRÍTICO (Sem Atualização &gt;30 dias)",IF(S718&gt;15,"ATENÇÃO (Sem Atualização &gt;15 dias)",IF(X718&gt;90,"CRÍTICO (Aberto &gt;90 dias)","OK"))))))</f>
        <v/>
      </c>
      <c r="Z718" s="90" t="str">
        <f aca="false">IF(B718="","",IF(OR(O718="27 - Instalação concluída",O718="28 - Encerrado"),"OK",IF(NOT(ISNUMBER(X718)),"",IF(X718&gt;365,"MUITO ANTIGO (&gt;1 ano)",IF(X718&gt;180,"ANTIGO (&gt;6 meses)",IF(X718&gt;90,"ATENÇÃO ANTIG. (&gt;3 meses)","OK"))))))</f>
        <v/>
      </c>
      <c r="AA718" s="91"/>
    </row>
    <row r="719" customFormat="false" ht="16.5" hidden="false" customHeight="true" outlineLevel="0" collapsed="false">
      <c r="A719" s="86"/>
      <c r="B719" s="91"/>
      <c r="C719" s="91" t="str">
        <f aca="false">IF(D719="","",IFERROR(INDEX(CADASTRO_VIVO_3CRE!$B$2:$B$150,MATCH(D719,CADASTRO_VIVO_3CRE!$E$2:$E$150,0)),""))</f>
        <v/>
      </c>
      <c r="D719" s="91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8"/>
      <c r="S719" s="92" t="str">
        <f aca="true">IF(R719="","",TODAY()-INT(R719))</f>
        <v/>
      </c>
      <c r="T719" s="86"/>
      <c r="U719" s="86"/>
      <c r="V719" s="86"/>
      <c r="W719" s="88"/>
      <c r="X719" s="92" t="str">
        <f aca="true">IF(W719="","",IF(OR(O719="28 - Encerrado",O719="27 - Instalação concluída"),"Concluído",TODAY()-INT(W719)))</f>
        <v/>
      </c>
      <c r="Y719" s="91" t="str">
        <f aca="false">IF(OR(O719="28 - Encerrado",O719="27 - Instalação concluída"),"OK",IF(AND(B719&lt;&gt;"",S719=""),"ATENÇÃO (Sem data de atualização)",IF(S719="","",IF(S719&gt;30,"CRÍTICO (Sem Atualização &gt;30 dias)",IF(S719&gt;15,"ATENÇÃO (Sem Atualização &gt;15 dias)",IF(X719&gt;90,"CRÍTICO (Aberto &gt;90 dias)","OK"))))))</f>
        <v/>
      </c>
      <c r="Z719" s="90" t="str">
        <f aca="false">IF(B719="","",IF(OR(O719="27 - Instalação concluída",O719="28 - Encerrado"),"OK",IF(NOT(ISNUMBER(X719)),"",IF(X719&gt;365,"MUITO ANTIGO (&gt;1 ano)",IF(X719&gt;180,"ANTIGO (&gt;6 meses)",IF(X719&gt;90,"ATENÇÃO ANTIG. (&gt;3 meses)","OK"))))))</f>
        <v/>
      </c>
      <c r="AA719" s="91"/>
    </row>
    <row r="720" customFormat="false" ht="16.5" hidden="false" customHeight="true" outlineLevel="0" collapsed="false">
      <c r="A720" s="86"/>
      <c r="B720" s="91"/>
      <c r="C720" s="91" t="str">
        <f aca="false">IF(D720="","",IFERROR(INDEX(CADASTRO_VIVO_3CRE!$B$2:$B$150,MATCH(D720,CADASTRO_VIVO_3CRE!$E$2:$E$150,0)),""))</f>
        <v/>
      </c>
      <c r="D720" s="91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8"/>
      <c r="S720" s="92" t="str">
        <f aca="true">IF(R720="","",TODAY()-INT(R720))</f>
        <v/>
      </c>
      <c r="T720" s="86"/>
      <c r="U720" s="86"/>
      <c r="V720" s="86"/>
      <c r="W720" s="88"/>
      <c r="X720" s="92" t="str">
        <f aca="true">IF(W720="","",IF(OR(O720="28 - Encerrado",O720="27 - Instalação concluída"),"Concluído",TODAY()-INT(W720)))</f>
        <v/>
      </c>
      <c r="Y720" s="91" t="str">
        <f aca="false">IF(OR(O720="28 - Encerrado",O720="27 - Instalação concluída"),"OK",IF(AND(B720&lt;&gt;"",S720=""),"ATENÇÃO (Sem data de atualização)",IF(S720="","",IF(S720&gt;30,"CRÍTICO (Sem Atualização &gt;30 dias)",IF(S720&gt;15,"ATENÇÃO (Sem Atualização &gt;15 dias)",IF(X720&gt;90,"CRÍTICO (Aberto &gt;90 dias)","OK"))))))</f>
        <v/>
      </c>
      <c r="Z720" s="90" t="str">
        <f aca="false">IF(B720="","",IF(OR(O720="27 - Instalação concluída",O720="28 - Encerrado"),"OK",IF(NOT(ISNUMBER(X720)),"",IF(X720&gt;365,"MUITO ANTIGO (&gt;1 ano)",IF(X720&gt;180,"ANTIGO (&gt;6 meses)",IF(X720&gt;90,"ATENÇÃO ANTIG. (&gt;3 meses)","OK"))))))</f>
        <v/>
      </c>
      <c r="AA720" s="91"/>
    </row>
    <row r="721" customFormat="false" ht="16.5" hidden="false" customHeight="true" outlineLevel="0" collapsed="false">
      <c r="A721" s="86"/>
      <c r="B721" s="91"/>
      <c r="C721" s="91" t="str">
        <f aca="false">IF(D721="","",IFERROR(INDEX(CADASTRO_VIVO_3CRE!$B$2:$B$150,MATCH(D721,CADASTRO_VIVO_3CRE!$E$2:$E$150,0)),""))</f>
        <v/>
      </c>
      <c r="D721" s="91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8"/>
      <c r="S721" s="92" t="str">
        <f aca="true">IF(R721="","",TODAY()-INT(R721))</f>
        <v/>
      </c>
      <c r="T721" s="86"/>
      <c r="U721" s="86"/>
      <c r="V721" s="86"/>
      <c r="W721" s="88"/>
      <c r="X721" s="92" t="str">
        <f aca="true">IF(W721="","",IF(OR(O721="28 - Encerrado",O721="27 - Instalação concluída"),"Concluído",TODAY()-INT(W721)))</f>
        <v/>
      </c>
      <c r="Y721" s="91" t="str">
        <f aca="false">IF(OR(O721="28 - Encerrado",O721="27 - Instalação concluída"),"OK",IF(AND(B721&lt;&gt;"",S721=""),"ATENÇÃO (Sem data de atualização)",IF(S721="","",IF(S721&gt;30,"CRÍTICO (Sem Atualização &gt;30 dias)",IF(S721&gt;15,"ATENÇÃO (Sem Atualização &gt;15 dias)",IF(X721&gt;90,"CRÍTICO (Aberto &gt;90 dias)","OK"))))))</f>
        <v/>
      </c>
      <c r="Z721" s="90" t="str">
        <f aca="false">IF(B721="","",IF(OR(O721="27 - Instalação concluída",O721="28 - Encerrado"),"OK",IF(NOT(ISNUMBER(X721)),"",IF(X721&gt;365,"MUITO ANTIGO (&gt;1 ano)",IF(X721&gt;180,"ANTIGO (&gt;6 meses)",IF(X721&gt;90,"ATENÇÃO ANTIG. (&gt;3 meses)","OK"))))))</f>
        <v/>
      </c>
      <c r="AA721" s="91"/>
    </row>
    <row r="722" customFormat="false" ht="16.5" hidden="false" customHeight="true" outlineLevel="0" collapsed="false">
      <c r="A722" s="86"/>
      <c r="B722" s="91"/>
      <c r="C722" s="91" t="str">
        <f aca="false">IF(D722="","",IFERROR(INDEX(CADASTRO_VIVO_3CRE!$B$2:$B$150,MATCH(D722,CADASTRO_VIVO_3CRE!$E$2:$E$150,0)),""))</f>
        <v/>
      </c>
      <c r="D722" s="91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8"/>
      <c r="S722" s="92" t="str">
        <f aca="true">IF(R722="","",TODAY()-INT(R722))</f>
        <v/>
      </c>
      <c r="T722" s="86"/>
      <c r="U722" s="86"/>
      <c r="V722" s="86"/>
      <c r="W722" s="88"/>
      <c r="X722" s="92" t="str">
        <f aca="true">IF(W722="","",IF(OR(O722="28 - Encerrado",O722="27 - Instalação concluída"),"Concluído",TODAY()-INT(W722)))</f>
        <v/>
      </c>
      <c r="Y722" s="91" t="str">
        <f aca="false">IF(OR(O722="28 - Encerrado",O722="27 - Instalação concluída"),"OK",IF(AND(B722&lt;&gt;"",S722=""),"ATENÇÃO (Sem data de atualização)",IF(S722="","",IF(S722&gt;30,"CRÍTICO (Sem Atualização &gt;30 dias)",IF(S722&gt;15,"ATENÇÃO (Sem Atualização &gt;15 dias)",IF(X722&gt;90,"CRÍTICO (Aberto &gt;90 dias)","OK"))))))</f>
        <v/>
      </c>
      <c r="Z722" s="90" t="str">
        <f aca="false">IF(B722="","",IF(OR(O722="27 - Instalação concluída",O722="28 - Encerrado"),"OK",IF(NOT(ISNUMBER(X722)),"",IF(X722&gt;365,"MUITO ANTIGO (&gt;1 ano)",IF(X722&gt;180,"ANTIGO (&gt;6 meses)",IF(X722&gt;90,"ATENÇÃO ANTIG. (&gt;3 meses)","OK"))))))</f>
        <v/>
      </c>
      <c r="AA722" s="91"/>
    </row>
    <row r="723" customFormat="false" ht="16.5" hidden="false" customHeight="true" outlineLevel="0" collapsed="false">
      <c r="A723" s="86"/>
      <c r="B723" s="91"/>
      <c r="C723" s="91" t="str">
        <f aca="false">IF(D723="","",IFERROR(INDEX(CADASTRO_VIVO_3CRE!$B$2:$B$150,MATCH(D723,CADASTRO_VIVO_3CRE!$E$2:$E$150,0)),""))</f>
        <v/>
      </c>
      <c r="D723" s="91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8"/>
      <c r="S723" s="92" t="str">
        <f aca="true">IF(R723="","",TODAY()-INT(R723))</f>
        <v/>
      </c>
      <c r="T723" s="86"/>
      <c r="U723" s="86"/>
      <c r="V723" s="86"/>
      <c r="W723" s="88"/>
      <c r="X723" s="92" t="str">
        <f aca="true">IF(W723="","",IF(OR(O723="28 - Encerrado",O723="27 - Instalação concluída"),"Concluído",TODAY()-INT(W723)))</f>
        <v/>
      </c>
      <c r="Y723" s="91" t="str">
        <f aca="false">IF(OR(O723="28 - Encerrado",O723="27 - Instalação concluída"),"OK",IF(AND(B723&lt;&gt;"",S723=""),"ATENÇÃO (Sem data de atualização)",IF(S723="","",IF(S723&gt;30,"CRÍTICO (Sem Atualização &gt;30 dias)",IF(S723&gt;15,"ATENÇÃO (Sem Atualização &gt;15 dias)",IF(X723&gt;90,"CRÍTICO (Aberto &gt;90 dias)","OK"))))))</f>
        <v/>
      </c>
      <c r="Z723" s="90" t="str">
        <f aca="false">IF(B723="","",IF(OR(O723="27 - Instalação concluída",O723="28 - Encerrado"),"OK",IF(NOT(ISNUMBER(X723)),"",IF(X723&gt;365,"MUITO ANTIGO (&gt;1 ano)",IF(X723&gt;180,"ANTIGO (&gt;6 meses)",IF(X723&gt;90,"ATENÇÃO ANTIG. (&gt;3 meses)","OK"))))))</f>
        <v/>
      </c>
      <c r="AA723" s="91"/>
    </row>
    <row r="724" customFormat="false" ht="16.5" hidden="false" customHeight="true" outlineLevel="0" collapsed="false">
      <c r="A724" s="86"/>
      <c r="B724" s="91"/>
      <c r="C724" s="91" t="str">
        <f aca="false">IF(D724="","",IFERROR(INDEX(CADASTRO_VIVO_3CRE!$B$2:$B$150,MATCH(D724,CADASTRO_VIVO_3CRE!$E$2:$E$150,0)),""))</f>
        <v/>
      </c>
      <c r="D724" s="91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8"/>
      <c r="S724" s="92" t="str">
        <f aca="true">IF(R724="","",TODAY()-INT(R724))</f>
        <v/>
      </c>
      <c r="T724" s="86"/>
      <c r="U724" s="86"/>
      <c r="V724" s="86"/>
      <c r="W724" s="88"/>
      <c r="X724" s="92" t="str">
        <f aca="true">IF(W724="","",IF(OR(O724="28 - Encerrado",O724="27 - Instalação concluída"),"Concluído",TODAY()-INT(W724)))</f>
        <v/>
      </c>
      <c r="Y724" s="91" t="str">
        <f aca="false">IF(OR(O724="28 - Encerrado",O724="27 - Instalação concluída"),"OK",IF(AND(B724&lt;&gt;"",S724=""),"ATENÇÃO (Sem data de atualização)",IF(S724="","",IF(S724&gt;30,"CRÍTICO (Sem Atualização &gt;30 dias)",IF(S724&gt;15,"ATENÇÃO (Sem Atualização &gt;15 dias)",IF(X724&gt;90,"CRÍTICO (Aberto &gt;90 dias)","OK"))))))</f>
        <v/>
      </c>
      <c r="Z724" s="90" t="str">
        <f aca="false">IF(B724="","",IF(OR(O724="27 - Instalação concluída",O724="28 - Encerrado"),"OK",IF(NOT(ISNUMBER(X724)),"",IF(X724&gt;365,"MUITO ANTIGO (&gt;1 ano)",IF(X724&gt;180,"ANTIGO (&gt;6 meses)",IF(X724&gt;90,"ATENÇÃO ANTIG. (&gt;3 meses)","OK"))))))</f>
        <v/>
      </c>
      <c r="AA724" s="91"/>
    </row>
    <row r="725" customFormat="false" ht="16.5" hidden="false" customHeight="true" outlineLevel="0" collapsed="false">
      <c r="A725" s="86"/>
      <c r="B725" s="91"/>
      <c r="C725" s="91" t="str">
        <f aca="false">IF(D725="","",IFERROR(INDEX(CADASTRO_VIVO_3CRE!$B$2:$B$150,MATCH(D725,CADASTRO_VIVO_3CRE!$E$2:$E$150,0)),""))</f>
        <v/>
      </c>
      <c r="D725" s="91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8"/>
      <c r="S725" s="92" t="str">
        <f aca="true">IF(R725="","",TODAY()-INT(R725))</f>
        <v/>
      </c>
      <c r="T725" s="86"/>
      <c r="U725" s="86"/>
      <c r="V725" s="86"/>
      <c r="W725" s="88"/>
      <c r="X725" s="92" t="str">
        <f aca="true">IF(W725="","",IF(OR(O725="28 - Encerrado",O725="27 - Instalação concluída"),"Concluído",TODAY()-INT(W725)))</f>
        <v/>
      </c>
      <c r="Y725" s="91" t="str">
        <f aca="false">IF(OR(O725="28 - Encerrado",O725="27 - Instalação concluída"),"OK",IF(AND(B725&lt;&gt;"",S725=""),"ATENÇÃO (Sem data de atualização)",IF(S725="","",IF(S725&gt;30,"CRÍTICO (Sem Atualização &gt;30 dias)",IF(S725&gt;15,"ATENÇÃO (Sem Atualização &gt;15 dias)",IF(X725&gt;90,"CRÍTICO (Aberto &gt;90 dias)","OK"))))))</f>
        <v/>
      </c>
      <c r="Z725" s="90" t="str">
        <f aca="false">IF(B725="","",IF(OR(O725="27 - Instalação concluída",O725="28 - Encerrado"),"OK",IF(NOT(ISNUMBER(X725)),"",IF(X725&gt;365,"MUITO ANTIGO (&gt;1 ano)",IF(X725&gt;180,"ANTIGO (&gt;6 meses)",IF(X725&gt;90,"ATENÇÃO ANTIG. (&gt;3 meses)","OK"))))))</f>
        <v/>
      </c>
      <c r="AA725" s="91"/>
    </row>
    <row r="726" customFormat="false" ht="16.5" hidden="false" customHeight="true" outlineLevel="0" collapsed="false">
      <c r="A726" s="86"/>
      <c r="B726" s="91"/>
      <c r="C726" s="91" t="str">
        <f aca="false">IF(D726="","",IFERROR(INDEX(CADASTRO_VIVO_3CRE!$B$2:$B$150,MATCH(D726,CADASTRO_VIVO_3CRE!$E$2:$E$150,0)),""))</f>
        <v/>
      </c>
      <c r="D726" s="91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8"/>
      <c r="S726" s="92" t="str">
        <f aca="true">IF(R726="","",TODAY()-INT(R726))</f>
        <v/>
      </c>
      <c r="T726" s="86"/>
      <c r="U726" s="86"/>
      <c r="V726" s="86"/>
      <c r="W726" s="88"/>
      <c r="X726" s="92" t="str">
        <f aca="true">IF(W726="","",IF(OR(O726="28 - Encerrado",O726="27 - Instalação concluída"),"Concluído",TODAY()-INT(W726)))</f>
        <v/>
      </c>
      <c r="Y726" s="91" t="str">
        <f aca="false">IF(OR(O726="28 - Encerrado",O726="27 - Instalação concluída"),"OK",IF(AND(B726&lt;&gt;"",S726=""),"ATENÇÃO (Sem data de atualização)",IF(S726="","",IF(S726&gt;30,"CRÍTICO (Sem Atualização &gt;30 dias)",IF(S726&gt;15,"ATENÇÃO (Sem Atualização &gt;15 dias)",IF(X726&gt;90,"CRÍTICO (Aberto &gt;90 dias)","OK"))))))</f>
        <v/>
      </c>
      <c r="Z726" s="90" t="str">
        <f aca="false">IF(B726="","",IF(OR(O726="27 - Instalação concluída",O726="28 - Encerrado"),"OK",IF(NOT(ISNUMBER(X726)),"",IF(X726&gt;365,"MUITO ANTIGO (&gt;1 ano)",IF(X726&gt;180,"ANTIGO (&gt;6 meses)",IF(X726&gt;90,"ATENÇÃO ANTIG. (&gt;3 meses)","OK"))))))</f>
        <v/>
      </c>
      <c r="AA726" s="91"/>
    </row>
    <row r="727" customFormat="false" ht="16.5" hidden="false" customHeight="true" outlineLevel="0" collapsed="false">
      <c r="A727" s="86"/>
      <c r="B727" s="91"/>
      <c r="C727" s="91" t="str">
        <f aca="false">IF(D727="","",IFERROR(INDEX(CADASTRO_VIVO_3CRE!$B$2:$B$150,MATCH(D727,CADASTRO_VIVO_3CRE!$E$2:$E$150,0)),""))</f>
        <v/>
      </c>
      <c r="D727" s="91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8"/>
      <c r="S727" s="92" t="str">
        <f aca="true">IF(R727="","",TODAY()-INT(R727))</f>
        <v/>
      </c>
      <c r="T727" s="86"/>
      <c r="U727" s="86"/>
      <c r="V727" s="86"/>
      <c r="W727" s="88"/>
      <c r="X727" s="92" t="str">
        <f aca="true">IF(W727="","",IF(OR(O727="28 - Encerrado",O727="27 - Instalação concluída"),"Concluído",TODAY()-INT(W727)))</f>
        <v/>
      </c>
      <c r="Y727" s="91" t="str">
        <f aca="false">IF(OR(O727="28 - Encerrado",O727="27 - Instalação concluída"),"OK",IF(AND(B727&lt;&gt;"",S727=""),"ATENÇÃO (Sem data de atualização)",IF(S727="","",IF(S727&gt;30,"CRÍTICO (Sem Atualização &gt;30 dias)",IF(S727&gt;15,"ATENÇÃO (Sem Atualização &gt;15 dias)",IF(X727&gt;90,"CRÍTICO (Aberto &gt;90 dias)","OK"))))))</f>
        <v/>
      </c>
      <c r="Z727" s="90" t="str">
        <f aca="false">IF(B727="","",IF(OR(O727="27 - Instalação concluída",O727="28 - Encerrado"),"OK",IF(NOT(ISNUMBER(X727)),"",IF(X727&gt;365,"MUITO ANTIGO (&gt;1 ano)",IF(X727&gt;180,"ANTIGO (&gt;6 meses)",IF(X727&gt;90,"ATENÇÃO ANTIG. (&gt;3 meses)","OK"))))))</f>
        <v/>
      </c>
      <c r="AA727" s="91"/>
    </row>
    <row r="728" customFormat="false" ht="16.5" hidden="false" customHeight="true" outlineLevel="0" collapsed="false">
      <c r="A728" s="86"/>
      <c r="B728" s="91"/>
      <c r="C728" s="91" t="str">
        <f aca="false">IF(D728="","",IFERROR(INDEX(CADASTRO_VIVO_3CRE!$B$2:$B$150,MATCH(D728,CADASTRO_VIVO_3CRE!$E$2:$E$150,0)),""))</f>
        <v/>
      </c>
      <c r="D728" s="91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8"/>
      <c r="S728" s="92" t="str">
        <f aca="true">IF(R728="","",TODAY()-INT(R728))</f>
        <v/>
      </c>
      <c r="T728" s="86"/>
      <c r="U728" s="86"/>
      <c r="V728" s="86"/>
      <c r="W728" s="88"/>
      <c r="X728" s="92" t="str">
        <f aca="true">IF(W728="","",IF(OR(O728="28 - Encerrado",O728="27 - Instalação concluída"),"Concluído",TODAY()-INT(W728)))</f>
        <v/>
      </c>
      <c r="Y728" s="91" t="str">
        <f aca="false">IF(OR(O728="28 - Encerrado",O728="27 - Instalação concluída"),"OK",IF(AND(B728&lt;&gt;"",S728=""),"ATENÇÃO (Sem data de atualização)",IF(S728="","",IF(S728&gt;30,"CRÍTICO (Sem Atualização &gt;30 dias)",IF(S728&gt;15,"ATENÇÃO (Sem Atualização &gt;15 dias)",IF(X728&gt;90,"CRÍTICO (Aberto &gt;90 dias)","OK"))))))</f>
        <v/>
      </c>
      <c r="Z728" s="90" t="str">
        <f aca="false">IF(B728="","",IF(OR(O728="27 - Instalação concluída",O728="28 - Encerrado"),"OK",IF(NOT(ISNUMBER(X728)),"",IF(X728&gt;365,"MUITO ANTIGO (&gt;1 ano)",IF(X728&gt;180,"ANTIGO (&gt;6 meses)",IF(X728&gt;90,"ATENÇÃO ANTIG. (&gt;3 meses)","OK"))))))</f>
        <v/>
      </c>
      <c r="AA728" s="91"/>
    </row>
    <row r="729" customFormat="false" ht="16.5" hidden="false" customHeight="true" outlineLevel="0" collapsed="false">
      <c r="A729" s="86"/>
      <c r="B729" s="91"/>
      <c r="C729" s="91" t="str">
        <f aca="false">IF(D729="","",IFERROR(INDEX(CADASTRO_VIVO_3CRE!$B$2:$B$150,MATCH(D729,CADASTRO_VIVO_3CRE!$E$2:$E$150,0)),""))</f>
        <v/>
      </c>
      <c r="D729" s="91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8"/>
      <c r="S729" s="92" t="str">
        <f aca="true">IF(R729="","",TODAY()-INT(R729))</f>
        <v/>
      </c>
      <c r="T729" s="86"/>
      <c r="U729" s="86"/>
      <c r="V729" s="86"/>
      <c r="W729" s="88"/>
      <c r="X729" s="92" t="str">
        <f aca="true">IF(W729="","",IF(OR(O729="28 - Encerrado",O729="27 - Instalação concluída"),"Concluído",TODAY()-INT(W729)))</f>
        <v/>
      </c>
      <c r="Y729" s="91" t="str">
        <f aca="false">IF(OR(O729="28 - Encerrado",O729="27 - Instalação concluída"),"OK",IF(AND(B729&lt;&gt;"",S729=""),"ATENÇÃO (Sem data de atualização)",IF(S729="","",IF(S729&gt;30,"CRÍTICO (Sem Atualização &gt;30 dias)",IF(S729&gt;15,"ATENÇÃO (Sem Atualização &gt;15 dias)",IF(X729&gt;90,"CRÍTICO (Aberto &gt;90 dias)","OK"))))))</f>
        <v/>
      </c>
      <c r="Z729" s="90" t="str">
        <f aca="false">IF(B729="","",IF(OR(O729="27 - Instalação concluída",O729="28 - Encerrado"),"OK",IF(NOT(ISNUMBER(X729)),"",IF(X729&gt;365,"MUITO ANTIGO (&gt;1 ano)",IF(X729&gt;180,"ANTIGO (&gt;6 meses)",IF(X729&gt;90,"ATENÇÃO ANTIG. (&gt;3 meses)","OK"))))))</f>
        <v/>
      </c>
      <c r="AA729" s="91"/>
    </row>
    <row r="730" customFormat="false" ht="16.5" hidden="false" customHeight="true" outlineLevel="0" collapsed="false">
      <c r="A730" s="86"/>
      <c r="B730" s="91"/>
      <c r="C730" s="91" t="str">
        <f aca="false">IF(D730="","",IFERROR(INDEX(CADASTRO_VIVO_3CRE!$B$2:$B$150,MATCH(D730,CADASTRO_VIVO_3CRE!$E$2:$E$150,0)),""))</f>
        <v/>
      </c>
      <c r="D730" s="91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8"/>
      <c r="S730" s="92" t="str">
        <f aca="true">IF(R730="","",TODAY()-INT(R730))</f>
        <v/>
      </c>
      <c r="T730" s="86"/>
      <c r="U730" s="86"/>
      <c r="V730" s="86"/>
      <c r="W730" s="88"/>
      <c r="X730" s="92" t="str">
        <f aca="true">IF(W730="","",IF(OR(O730="28 - Encerrado",O730="27 - Instalação concluída"),"Concluído",TODAY()-INT(W730)))</f>
        <v/>
      </c>
      <c r="Y730" s="91" t="str">
        <f aca="false">IF(OR(O730="28 - Encerrado",O730="27 - Instalação concluída"),"OK",IF(AND(B730&lt;&gt;"",S730=""),"ATENÇÃO (Sem data de atualização)",IF(S730="","",IF(S730&gt;30,"CRÍTICO (Sem Atualização &gt;30 dias)",IF(S730&gt;15,"ATENÇÃO (Sem Atualização &gt;15 dias)",IF(X730&gt;90,"CRÍTICO (Aberto &gt;90 dias)","OK"))))))</f>
        <v/>
      </c>
      <c r="Z730" s="90" t="str">
        <f aca="false">IF(B730="","",IF(OR(O730="27 - Instalação concluída",O730="28 - Encerrado"),"OK",IF(NOT(ISNUMBER(X730)),"",IF(X730&gt;365,"MUITO ANTIGO (&gt;1 ano)",IF(X730&gt;180,"ANTIGO (&gt;6 meses)",IF(X730&gt;90,"ATENÇÃO ANTIG. (&gt;3 meses)","OK"))))))</f>
        <v/>
      </c>
      <c r="AA730" s="91"/>
    </row>
    <row r="731" customFormat="false" ht="16.5" hidden="false" customHeight="true" outlineLevel="0" collapsed="false">
      <c r="A731" s="86"/>
      <c r="B731" s="91"/>
      <c r="C731" s="91" t="str">
        <f aca="false">IF(D731="","",IFERROR(INDEX(CADASTRO_VIVO_3CRE!$B$2:$B$150,MATCH(D731,CADASTRO_VIVO_3CRE!$E$2:$E$150,0)),""))</f>
        <v/>
      </c>
      <c r="D731" s="91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8"/>
      <c r="S731" s="92" t="str">
        <f aca="true">IF(R731="","",TODAY()-INT(R731))</f>
        <v/>
      </c>
      <c r="T731" s="86"/>
      <c r="U731" s="86"/>
      <c r="V731" s="86"/>
      <c r="W731" s="88"/>
      <c r="X731" s="92" t="str">
        <f aca="true">IF(W731="","",IF(OR(O731="28 - Encerrado",O731="27 - Instalação concluída"),"Concluído",TODAY()-INT(W731)))</f>
        <v/>
      </c>
      <c r="Y731" s="91" t="str">
        <f aca="false">IF(OR(O731="28 - Encerrado",O731="27 - Instalação concluída"),"OK",IF(AND(B731&lt;&gt;"",S731=""),"ATENÇÃO (Sem data de atualização)",IF(S731="","",IF(S731&gt;30,"CRÍTICO (Sem Atualização &gt;30 dias)",IF(S731&gt;15,"ATENÇÃO (Sem Atualização &gt;15 dias)",IF(X731&gt;90,"CRÍTICO (Aberto &gt;90 dias)","OK"))))))</f>
        <v/>
      </c>
      <c r="Z731" s="90" t="str">
        <f aca="false">IF(B731="","",IF(OR(O731="27 - Instalação concluída",O731="28 - Encerrado"),"OK",IF(NOT(ISNUMBER(X731)),"",IF(X731&gt;365,"MUITO ANTIGO (&gt;1 ano)",IF(X731&gt;180,"ANTIGO (&gt;6 meses)",IF(X731&gt;90,"ATENÇÃO ANTIG. (&gt;3 meses)","OK"))))))</f>
        <v/>
      </c>
      <c r="AA731" s="91"/>
    </row>
    <row r="732" customFormat="false" ht="16.5" hidden="false" customHeight="true" outlineLevel="0" collapsed="false">
      <c r="A732" s="86"/>
      <c r="B732" s="91"/>
      <c r="C732" s="91" t="str">
        <f aca="false">IF(D732="","",IFERROR(INDEX(CADASTRO_VIVO_3CRE!$B$2:$B$150,MATCH(D732,CADASTRO_VIVO_3CRE!$E$2:$E$150,0)),""))</f>
        <v/>
      </c>
      <c r="D732" s="91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8"/>
      <c r="S732" s="92" t="str">
        <f aca="true">IF(R732="","",TODAY()-INT(R732))</f>
        <v/>
      </c>
      <c r="T732" s="86"/>
      <c r="U732" s="86"/>
      <c r="V732" s="86"/>
      <c r="W732" s="88"/>
      <c r="X732" s="92" t="str">
        <f aca="true">IF(W732="","",IF(OR(O732="28 - Encerrado",O732="27 - Instalação concluída"),"Concluído",TODAY()-INT(W732)))</f>
        <v/>
      </c>
      <c r="Y732" s="91" t="str">
        <f aca="false">IF(OR(O732="28 - Encerrado",O732="27 - Instalação concluída"),"OK",IF(AND(B732&lt;&gt;"",S732=""),"ATENÇÃO (Sem data de atualização)",IF(S732="","",IF(S732&gt;30,"CRÍTICO (Sem Atualização &gt;30 dias)",IF(S732&gt;15,"ATENÇÃO (Sem Atualização &gt;15 dias)",IF(X732&gt;90,"CRÍTICO (Aberto &gt;90 dias)","OK"))))))</f>
        <v/>
      </c>
      <c r="Z732" s="90" t="str">
        <f aca="false">IF(B732="","",IF(OR(O732="27 - Instalação concluída",O732="28 - Encerrado"),"OK",IF(NOT(ISNUMBER(X732)),"",IF(X732&gt;365,"MUITO ANTIGO (&gt;1 ano)",IF(X732&gt;180,"ANTIGO (&gt;6 meses)",IF(X732&gt;90,"ATENÇÃO ANTIG. (&gt;3 meses)","OK"))))))</f>
        <v/>
      </c>
      <c r="AA732" s="91"/>
    </row>
    <row r="733" customFormat="false" ht="16.5" hidden="false" customHeight="true" outlineLevel="0" collapsed="false">
      <c r="A733" s="86"/>
      <c r="B733" s="91"/>
      <c r="C733" s="91" t="str">
        <f aca="false">IF(D733="","",IFERROR(INDEX(CADASTRO_VIVO_3CRE!$B$2:$B$150,MATCH(D733,CADASTRO_VIVO_3CRE!$E$2:$E$150,0)),""))</f>
        <v/>
      </c>
      <c r="D733" s="91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8"/>
      <c r="S733" s="92" t="str">
        <f aca="true">IF(R733="","",TODAY()-INT(R733))</f>
        <v/>
      </c>
      <c r="T733" s="86"/>
      <c r="U733" s="86"/>
      <c r="V733" s="86"/>
      <c r="W733" s="88"/>
      <c r="X733" s="92" t="str">
        <f aca="true">IF(W733="","",IF(OR(O733="28 - Encerrado",O733="27 - Instalação concluída"),"Concluído",TODAY()-INT(W733)))</f>
        <v/>
      </c>
      <c r="Y733" s="91" t="str">
        <f aca="false">IF(OR(O733="28 - Encerrado",O733="27 - Instalação concluída"),"OK",IF(AND(B733&lt;&gt;"",S733=""),"ATENÇÃO (Sem data de atualização)",IF(S733="","",IF(S733&gt;30,"CRÍTICO (Sem Atualização &gt;30 dias)",IF(S733&gt;15,"ATENÇÃO (Sem Atualização &gt;15 dias)",IF(X733&gt;90,"CRÍTICO (Aberto &gt;90 dias)","OK"))))))</f>
        <v/>
      </c>
      <c r="Z733" s="90" t="str">
        <f aca="false">IF(B733="","",IF(OR(O733="27 - Instalação concluída",O733="28 - Encerrado"),"OK",IF(NOT(ISNUMBER(X733)),"",IF(X733&gt;365,"MUITO ANTIGO (&gt;1 ano)",IF(X733&gt;180,"ANTIGO (&gt;6 meses)",IF(X733&gt;90,"ATENÇÃO ANTIG. (&gt;3 meses)","OK"))))))</f>
        <v/>
      </c>
      <c r="AA733" s="91"/>
    </row>
    <row r="734" customFormat="false" ht="16.5" hidden="false" customHeight="true" outlineLevel="0" collapsed="false">
      <c r="A734" s="86"/>
      <c r="B734" s="91"/>
      <c r="C734" s="91" t="str">
        <f aca="false">IF(D734="","",IFERROR(INDEX(CADASTRO_VIVO_3CRE!$B$2:$B$150,MATCH(D734,CADASTRO_VIVO_3CRE!$E$2:$E$150,0)),""))</f>
        <v/>
      </c>
      <c r="D734" s="91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8"/>
      <c r="S734" s="92" t="str">
        <f aca="true">IF(R734="","",TODAY()-INT(R734))</f>
        <v/>
      </c>
      <c r="T734" s="86"/>
      <c r="U734" s="86"/>
      <c r="V734" s="86"/>
      <c r="W734" s="88"/>
      <c r="X734" s="92" t="str">
        <f aca="true">IF(W734="","",IF(OR(O734="28 - Encerrado",O734="27 - Instalação concluída"),"Concluído",TODAY()-INT(W734)))</f>
        <v/>
      </c>
      <c r="Y734" s="91" t="str">
        <f aca="false">IF(OR(O734="28 - Encerrado",O734="27 - Instalação concluída"),"OK",IF(AND(B734&lt;&gt;"",S734=""),"ATENÇÃO (Sem data de atualização)",IF(S734="","",IF(S734&gt;30,"CRÍTICO (Sem Atualização &gt;30 dias)",IF(S734&gt;15,"ATENÇÃO (Sem Atualização &gt;15 dias)",IF(X734&gt;90,"CRÍTICO (Aberto &gt;90 dias)","OK"))))))</f>
        <v/>
      </c>
      <c r="Z734" s="90" t="str">
        <f aca="false">IF(B734="","",IF(OR(O734="27 - Instalação concluída",O734="28 - Encerrado"),"OK",IF(NOT(ISNUMBER(X734)),"",IF(X734&gt;365,"MUITO ANTIGO (&gt;1 ano)",IF(X734&gt;180,"ANTIGO (&gt;6 meses)",IF(X734&gt;90,"ATENÇÃO ANTIG. (&gt;3 meses)","OK"))))))</f>
        <v/>
      </c>
      <c r="AA734" s="91"/>
    </row>
    <row r="735" customFormat="false" ht="16.5" hidden="false" customHeight="true" outlineLevel="0" collapsed="false">
      <c r="A735" s="86"/>
      <c r="B735" s="91"/>
      <c r="C735" s="91" t="str">
        <f aca="false">IF(D735="","",IFERROR(INDEX(CADASTRO_VIVO_3CRE!$B$2:$B$150,MATCH(D735,CADASTRO_VIVO_3CRE!$E$2:$E$150,0)),""))</f>
        <v/>
      </c>
      <c r="D735" s="91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8"/>
      <c r="S735" s="92" t="str">
        <f aca="true">IF(R735="","",TODAY()-INT(R735))</f>
        <v/>
      </c>
      <c r="T735" s="86"/>
      <c r="U735" s="86"/>
      <c r="V735" s="86"/>
      <c r="W735" s="88"/>
      <c r="X735" s="92" t="str">
        <f aca="true">IF(W735="","",IF(OR(O735="28 - Encerrado",O735="27 - Instalação concluída"),"Concluído",TODAY()-INT(W735)))</f>
        <v/>
      </c>
      <c r="Y735" s="91" t="str">
        <f aca="false">IF(OR(O735="28 - Encerrado",O735="27 - Instalação concluída"),"OK",IF(AND(B735&lt;&gt;"",S735=""),"ATENÇÃO (Sem data de atualização)",IF(S735="","",IF(S735&gt;30,"CRÍTICO (Sem Atualização &gt;30 dias)",IF(S735&gt;15,"ATENÇÃO (Sem Atualização &gt;15 dias)",IF(X735&gt;90,"CRÍTICO (Aberto &gt;90 dias)","OK"))))))</f>
        <v/>
      </c>
      <c r="Z735" s="90" t="str">
        <f aca="false">IF(B735="","",IF(OR(O735="27 - Instalação concluída",O735="28 - Encerrado"),"OK",IF(NOT(ISNUMBER(X735)),"",IF(X735&gt;365,"MUITO ANTIGO (&gt;1 ano)",IF(X735&gt;180,"ANTIGO (&gt;6 meses)",IF(X735&gt;90,"ATENÇÃO ANTIG. (&gt;3 meses)","OK"))))))</f>
        <v/>
      </c>
      <c r="AA735" s="91"/>
    </row>
    <row r="736" customFormat="false" ht="16.5" hidden="false" customHeight="true" outlineLevel="0" collapsed="false">
      <c r="A736" s="86"/>
      <c r="B736" s="91"/>
      <c r="C736" s="91" t="str">
        <f aca="false">IF(D736="","",IFERROR(INDEX(CADASTRO_VIVO_3CRE!$B$2:$B$150,MATCH(D736,CADASTRO_VIVO_3CRE!$E$2:$E$150,0)),""))</f>
        <v/>
      </c>
      <c r="D736" s="91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8"/>
      <c r="S736" s="92" t="str">
        <f aca="true">IF(R736="","",TODAY()-INT(R736))</f>
        <v/>
      </c>
      <c r="T736" s="86"/>
      <c r="U736" s="86"/>
      <c r="V736" s="86"/>
      <c r="W736" s="88"/>
      <c r="X736" s="92" t="str">
        <f aca="true">IF(W736="","",IF(OR(O736="28 - Encerrado",O736="27 - Instalação concluída"),"Concluído",TODAY()-INT(W736)))</f>
        <v/>
      </c>
      <c r="Y736" s="91" t="str">
        <f aca="false">IF(OR(O736="28 - Encerrado",O736="27 - Instalação concluída"),"OK",IF(AND(B736&lt;&gt;"",S736=""),"ATENÇÃO (Sem data de atualização)",IF(S736="","",IF(S736&gt;30,"CRÍTICO (Sem Atualização &gt;30 dias)",IF(S736&gt;15,"ATENÇÃO (Sem Atualização &gt;15 dias)",IF(X736&gt;90,"CRÍTICO (Aberto &gt;90 dias)","OK"))))))</f>
        <v/>
      </c>
      <c r="Z736" s="90" t="str">
        <f aca="false">IF(B736="","",IF(OR(O736="27 - Instalação concluída",O736="28 - Encerrado"),"OK",IF(NOT(ISNUMBER(X736)),"",IF(X736&gt;365,"MUITO ANTIGO (&gt;1 ano)",IF(X736&gt;180,"ANTIGO (&gt;6 meses)",IF(X736&gt;90,"ATENÇÃO ANTIG. (&gt;3 meses)","OK"))))))</f>
        <v/>
      </c>
      <c r="AA736" s="91"/>
    </row>
    <row r="737" customFormat="false" ht="16.5" hidden="false" customHeight="true" outlineLevel="0" collapsed="false">
      <c r="A737" s="86"/>
      <c r="B737" s="91"/>
      <c r="C737" s="91" t="str">
        <f aca="false">IF(D737="","",IFERROR(INDEX(CADASTRO_VIVO_3CRE!$B$2:$B$150,MATCH(D737,CADASTRO_VIVO_3CRE!$E$2:$E$150,0)),""))</f>
        <v/>
      </c>
      <c r="D737" s="91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8"/>
      <c r="S737" s="92" t="str">
        <f aca="true">IF(R737="","",TODAY()-INT(R737))</f>
        <v/>
      </c>
      <c r="T737" s="86"/>
      <c r="U737" s="86"/>
      <c r="V737" s="86"/>
      <c r="W737" s="88"/>
      <c r="X737" s="92" t="str">
        <f aca="true">IF(W737="","",IF(OR(O737="28 - Encerrado",O737="27 - Instalação concluída"),"Concluído",TODAY()-INT(W737)))</f>
        <v/>
      </c>
      <c r="Y737" s="91" t="str">
        <f aca="false">IF(OR(O737="28 - Encerrado",O737="27 - Instalação concluída"),"OK",IF(AND(B737&lt;&gt;"",S737=""),"ATENÇÃO (Sem data de atualização)",IF(S737="","",IF(S737&gt;30,"CRÍTICO (Sem Atualização &gt;30 dias)",IF(S737&gt;15,"ATENÇÃO (Sem Atualização &gt;15 dias)",IF(X737&gt;90,"CRÍTICO (Aberto &gt;90 dias)","OK"))))))</f>
        <v/>
      </c>
      <c r="Z737" s="90" t="str">
        <f aca="false">IF(B737="","",IF(OR(O737="27 - Instalação concluída",O737="28 - Encerrado"),"OK",IF(NOT(ISNUMBER(X737)),"",IF(X737&gt;365,"MUITO ANTIGO (&gt;1 ano)",IF(X737&gt;180,"ANTIGO (&gt;6 meses)",IF(X737&gt;90,"ATENÇÃO ANTIG. (&gt;3 meses)","OK"))))))</f>
        <v/>
      </c>
      <c r="AA737" s="91"/>
    </row>
    <row r="738" customFormat="false" ht="16.5" hidden="false" customHeight="true" outlineLevel="0" collapsed="false">
      <c r="A738" s="86"/>
      <c r="B738" s="91"/>
      <c r="C738" s="91" t="str">
        <f aca="false">IF(D738="","",IFERROR(INDEX(CADASTRO_VIVO_3CRE!$B$2:$B$150,MATCH(D738,CADASTRO_VIVO_3CRE!$E$2:$E$150,0)),""))</f>
        <v/>
      </c>
      <c r="D738" s="91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8"/>
      <c r="S738" s="92" t="str">
        <f aca="true">IF(R738="","",TODAY()-INT(R738))</f>
        <v/>
      </c>
      <c r="T738" s="86"/>
      <c r="U738" s="86"/>
      <c r="V738" s="86"/>
      <c r="W738" s="88"/>
      <c r="X738" s="92" t="str">
        <f aca="true">IF(W738="","",IF(OR(O738="28 - Encerrado",O738="27 - Instalação concluída"),"Concluído",TODAY()-INT(W738)))</f>
        <v/>
      </c>
      <c r="Y738" s="91" t="str">
        <f aca="false">IF(OR(O738="28 - Encerrado",O738="27 - Instalação concluída"),"OK",IF(AND(B738&lt;&gt;"",S738=""),"ATENÇÃO (Sem data de atualização)",IF(S738="","",IF(S738&gt;30,"CRÍTICO (Sem Atualização &gt;30 dias)",IF(S738&gt;15,"ATENÇÃO (Sem Atualização &gt;15 dias)",IF(X738&gt;90,"CRÍTICO (Aberto &gt;90 dias)","OK"))))))</f>
        <v/>
      </c>
      <c r="Z738" s="90" t="str">
        <f aca="false">IF(B738="","",IF(OR(O738="27 - Instalação concluída",O738="28 - Encerrado"),"OK",IF(NOT(ISNUMBER(X738)),"",IF(X738&gt;365,"MUITO ANTIGO (&gt;1 ano)",IF(X738&gt;180,"ANTIGO (&gt;6 meses)",IF(X738&gt;90,"ATENÇÃO ANTIG. (&gt;3 meses)","OK"))))))</f>
        <v/>
      </c>
      <c r="AA738" s="91"/>
    </row>
    <row r="739" customFormat="false" ht="16.5" hidden="false" customHeight="true" outlineLevel="0" collapsed="false">
      <c r="A739" s="86"/>
      <c r="B739" s="91"/>
      <c r="C739" s="91" t="str">
        <f aca="false">IF(D739="","",IFERROR(INDEX(CADASTRO_VIVO_3CRE!$B$2:$B$150,MATCH(D739,CADASTRO_VIVO_3CRE!$E$2:$E$150,0)),""))</f>
        <v/>
      </c>
      <c r="D739" s="91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8"/>
      <c r="S739" s="92" t="str">
        <f aca="true">IF(R739="","",TODAY()-INT(R739))</f>
        <v/>
      </c>
      <c r="T739" s="86"/>
      <c r="U739" s="86"/>
      <c r="V739" s="86"/>
      <c r="W739" s="88"/>
      <c r="X739" s="92" t="str">
        <f aca="true">IF(W739="","",IF(OR(O739="28 - Encerrado",O739="27 - Instalação concluída"),"Concluído",TODAY()-INT(W739)))</f>
        <v/>
      </c>
      <c r="Y739" s="91" t="str">
        <f aca="false">IF(OR(O739="28 - Encerrado",O739="27 - Instalação concluída"),"OK",IF(AND(B739&lt;&gt;"",S739=""),"ATENÇÃO (Sem data de atualização)",IF(S739="","",IF(S739&gt;30,"CRÍTICO (Sem Atualização &gt;30 dias)",IF(S739&gt;15,"ATENÇÃO (Sem Atualização &gt;15 dias)",IF(X739&gt;90,"CRÍTICO (Aberto &gt;90 dias)","OK"))))))</f>
        <v/>
      </c>
      <c r="Z739" s="90" t="str">
        <f aca="false">IF(B739="","",IF(OR(O739="27 - Instalação concluída",O739="28 - Encerrado"),"OK",IF(NOT(ISNUMBER(X739)),"",IF(X739&gt;365,"MUITO ANTIGO (&gt;1 ano)",IF(X739&gt;180,"ANTIGO (&gt;6 meses)",IF(X739&gt;90,"ATENÇÃO ANTIG. (&gt;3 meses)","OK"))))))</f>
        <v/>
      </c>
      <c r="AA739" s="91"/>
    </row>
    <row r="740" customFormat="false" ht="16.5" hidden="false" customHeight="true" outlineLevel="0" collapsed="false">
      <c r="A740" s="86"/>
      <c r="B740" s="91"/>
      <c r="C740" s="91" t="str">
        <f aca="false">IF(D740="","",IFERROR(INDEX(CADASTRO_VIVO_3CRE!$B$2:$B$150,MATCH(D740,CADASTRO_VIVO_3CRE!$E$2:$E$150,0)),""))</f>
        <v/>
      </c>
      <c r="D740" s="91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8"/>
      <c r="S740" s="92" t="str">
        <f aca="true">IF(R740="","",TODAY()-INT(R740))</f>
        <v/>
      </c>
      <c r="T740" s="86"/>
      <c r="U740" s="86"/>
      <c r="V740" s="86"/>
      <c r="W740" s="88"/>
      <c r="X740" s="92" t="str">
        <f aca="true">IF(W740="","",IF(OR(O740="28 - Encerrado",O740="27 - Instalação concluída"),"Concluído",TODAY()-INT(W740)))</f>
        <v/>
      </c>
      <c r="Y740" s="91" t="str">
        <f aca="false">IF(OR(O740="28 - Encerrado",O740="27 - Instalação concluída"),"OK",IF(AND(B740&lt;&gt;"",S740=""),"ATENÇÃO (Sem data de atualização)",IF(S740="","",IF(S740&gt;30,"CRÍTICO (Sem Atualização &gt;30 dias)",IF(S740&gt;15,"ATENÇÃO (Sem Atualização &gt;15 dias)",IF(X740&gt;90,"CRÍTICO (Aberto &gt;90 dias)","OK"))))))</f>
        <v/>
      </c>
      <c r="Z740" s="90" t="str">
        <f aca="false">IF(B740="","",IF(OR(O740="27 - Instalação concluída",O740="28 - Encerrado"),"OK",IF(NOT(ISNUMBER(X740)),"",IF(X740&gt;365,"MUITO ANTIGO (&gt;1 ano)",IF(X740&gt;180,"ANTIGO (&gt;6 meses)",IF(X740&gt;90,"ATENÇÃO ANTIG. (&gt;3 meses)","OK"))))))</f>
        <v/>
      </c>
      <c r="AA740" s="91"/>
    </row>
    <row r="741" customFormat="false" ht="16.5" hidden="false" customHeight="true" outlineLevel="0" collapsed="false">
      <c r="A741" s="86"/>
      <c r="B741" s="91"/>
      <c r="C741" s="91" t="str">
        <f aca="false">IF(D741="","",IFERROR(INDEX(CADASTRO_VIVO_3CRE!$B$2:$B$150,MATCH(D741,CADASTRO_VIVO_3CRE!$E$2:$E$150,0)),""))</f>
        <v/>
      </c>
      <c r="D741" s="91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8"/>
      <c r="S741" s="92" t="str">
        <f aca="true">IF(R741="","",TODAY()-INT(R741))</f>
        <v/>
      </c>
      <c r="T741" s="86"/>
      <c r="U741" s="86"/>
      <c r="V741" s="86"/>
      <c r="W741" s="88"/>
      <c r="X741" s="92" t="str">
        <f aca="true">IF(W741="","",IF(OR(O741="28 - Encerrado",O741="27 - Instalação concluída"),"Concluído",TODAY()-INT(W741)))</f>
        <v/>
      </c>
      <c r="Y741" s="91" t="str">
        <f aca="false">IF(OR(O741="28 - Encerrado",O741="27 - Instalação concluída"),"OK",IF(AND(B741&lt;&gt;"",S741=""),"ATENÇÃO (Sem data de atualização)",IF(S741="","",IF(S741&gt;30,"CRÍTICO (Sem Atualização &gt;30 dias)",IF(S741&gt;15,"ATENÇÃO (Sem Atualização &gt;15 dias)",IF(X741&gt;90,"CRÍTICO (Aberto &gt;90 dias)","OK"))))))</f>
        <v/>
      </c>
      <c r="Z741" s="90" t="str">
        <f aca="false">IF(B741="","",IF(OR(O741="27 - Instalação concluída",O741="28 - Encerrado"),"OK",IF(NOT(ISNUMBER(X741)),"",IF(X741&gt;365,"MUITO ANTIGO (&gt;1 ano)",IF(X741&gt;180,"ANTIGO (&gt;6 meses)",IF(X741&gt;90,"ATENÇÃO ANTIG. (&gt;3 meses)","OK"))))))</f>
        <v/>
      </c>
      <c r="AA741" s="91"/>
    </row>
    <row r="742" customFormat="false" ht="16.5" hidden="false" customHeight="true" outlineLevel="0" collapsed="false">
      <c r="A742" s="86"/>
      <c r="B742" s="91"/>
      <c r="C742" s="91" t="str">
        <f aca="false">IF(D742="","",IFERROR(INDEX(CADASTRO_VIVO_3CRE!$B$2:$B$150,MATCH(D742,CADASTRO_VIVO_3CRE!$E$2:$E$150,0)),""))</f>
        <v/>
      </c>
      <c r="D742" s="91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8"/>
      <c r="S742" s="92" t="str">
        <f aca="true">IF(R742="","",TODAY()-INT(R742))</f>
        <v/>
      </c>
      <c r="T742" s="86"/>
      <c r="U742" s="86"/>
      <c r="V742" s="86"/>
      <c r="W742" s="88"/>
      <c r="X742" s="92" t="str">
        <f aca="true">IF(W742="","",IF(OR(O742="28 - Encerrado",O742="27 - Instalação concluída"),"Concluído",TODAY()-INT(W742)))</f>
        <v/>
      </c>
      <c r="Y742" s="91" t="str">
        <f aca="false">IF(OR(O742="28 - Encerrado",O742="27 - Instalação concluída"),"OK",IF(AND(B742&lt;&gt;"",S742=""),"ATENÇÃO (Sem data de atualização)",IF(S742="","",IF(S742&gt;30,"CRÍTICO (Sem Atualização &gt;30 dias)",IF(S742&gt;15,"ATENÇÃO (Sem Atualização &gt;15 dias)",IF(X742&gt;90,"CRÍTICO (Aberto &gt;90 dias)","OK"))))))</f>
        <v/>
      </c>
      <c r="Z742" s="90" t="str">
        <f aca="false">IF(B742="","",IF(OR(O742="27 - Instalação concluída",O742="28 - Encerrado"),"OK",IF(NOT(ISNUMBER(X742)),"",IF(X742&gt;365,"MUITO ANTIGO (&gt;1 ano)",IF(X742&gt;180,"ANTIGO (&gt;6 meses)",IF(X742&gt;90,"ATENÇÃO ANTIG. (&gt;3 meses)","OK"))))))</f>
        <v/>
      </c>
      <c r="AA742" s="91"/>
    </row>
    <row r="743" customFormat="false" ht="16.5" hidden="false" customHeight="true" outlineLevel="0" collapsed="false">
      <c r="A743" s="86"/>
      <c r="B743" s="91"/>
      <c r="C743" s="91" t="str">
        <f aca="false">IF(D743="","",IFERROR(INDEX(CADASTRO_VIVO_3CRE!$B$2:$B$150,MATCH(D743,CADASTRO_VIVO_3CRE!$E$2:$E$150,0)),""))</f>
        <v/>
      </c>
      <c r="D743" s="91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8"/>
      <c r="S743" s="92" t="str">
        <f aca="true">IF(R743="","",TODAY()-INT(R743))</f>
        <v/>
      </c>
      <c r="T743" s="86"/>
      <c r="U743" s="86"/>
      <c r="V743" s="86"/>
      <c r="W743" s="88"/>
      <c r="X743" s="92" t="str">
        <f aca="true">IF(W743="","",IF(OR(O743="28 - Encerrado",O743="27 - Instalação concluída"),"Concluído",TODAY()-INT(W743)))</f>
        <v/>
      </c>
      <c r="Y743" s="91" t="str">
        <f aca="false">IF(OR(O743="28 - Encerrado",O743="27 - Instalação concluída"),"OK",IF(AND(B743&lt;&gt;"",S743=""),"ATENÇÃO (Sem data de atualização)",IF(S743="","",IF(S743&gt;30,"CRÍTICO (Sem Atualização &gt;30 dias)",IF(S743&gt;15,"ATENÇÃO (Sem Atualização &gt;15 dias)",IF(X743&gt;90,"CRÍTICO (Aberto &gt;90 dias)","OK"))))))</f>
        <v/>
      </c>
      <c r="Z743" s="90" t="str">
        <f aca="false">IF(B743="","",IF(OR(O743="27 - Instalação concluída",O743="28 - Encerrado"),"OK",IF(NOT(ISNUMBER(X743)),"",IF(X743&gt;365,"MUITO ANTIGO (&gt;1 ano)",IF(X743&gt;180,"ANTIGO (&gt;6 meses)",IF(X743&gt;90,"ATENÇÃO ANTIG. (&gt;3 meses)","OK"))))))</f>
        <v/>
      </c>
      <c r="AA743" s="91"/>
    </row>
    <row r="744" customFormat="false" ht="16.5" hidden="false" customHeight="true" outlineLevel="0" collapsed="false">
      <c r="A744" s="86"/>
      <c r="B744" s="91"/>
      <c r="C744" s="91" t="str">
        <f aca="false">IF(D744="","",IFERROR(INDEX(CADASTRO_VIVO_3CRE!$B$2:$B$150,MATCH(D744,CADASTRO_VIVO_3CRE!$E$2:$E$150,0)),""))</f>
        <v/>
      </c>
      <c r="D744" s="91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8"/>
      <c r="S744" s="92" t="str">
        <f aca="true">IF(R744="","",TODAY()-INT(R744))</f>
        <v/>
      </c>
      <c r="T744" s="86"/>
      <c r="U744" s="86"/>
      <c r="V744" s="86"/>
      <c r="W744" s="88"/>
      <c r="X744" s="92" t="str">
        <f aca="true">IF(W744="","",IF(OR(O744="28 - Encerrado",O744="27 - Instalação concluída"),"Concluído",TODAY()-INT(W744)))</f>
        <v/>
      </c>
      <c r="Y744" s="91" t="str">
        <f aca="false">IF(OR(O744="28 - Encerrado",O744="27 - Instalação concluída"),"OK",IF(AND(B744&lt;&gt;"",S744=""),"ATENÇÃO (Sem data de atualização)",IF(S744="","",IF(S744&gt;30,"CRÍTICO (Sem Atualização &gt;30 dias)",IF(S744&gt;15,"ATENÇÃO (Sem Atualização &gt;15 dias)",IF(X744&gt;90,"CRÍTICO (Aberto &gt;90 dias)","OK"))))))</f>
        <v/>
      </c>
      <c r="Z744" s="90" t="str">
        <f aca="false">IF(B744="","",IF(OR(O744="27 - Instalação concluída",O744="28 - Encerrado"),"OK",IF(NOT(ISNUMBER(X744)),"",IF(X744&gt;365,"MUITO ANTIGO (&gt;1 ano)",IF(X744&gt;180,"ANTIGO (&gt;6 meses)",IF(X744&gt;90,"ATENÇÃO ANTIG. (&gt;3 meses)","OK"))))))</f>
        <v/>
      </c>
      <c r="AA744" s="91"/>
    </row>
    <row r="745" customFormat="false" ht="16.5" hidden="false" customHeight="true" outlineLevel="0" collapsed="false">
      <c r="A745" s="86"/>
      <c r="B745" s="91"/>
      <c r="C745" s="91" t="str">
        <f aca="false">IF(D745="","",IFERROR(INDEX(CADASTRO_VIVO_3CRE!$B$2:$B$150,MATCH(D745,CADASTRO_VIVO_3CRE!$E$2:$E$150,0)),""))</f>
        <v/>
      </c>
      <c r="D745" s="91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8"/>
      <c r="S745" s="92" t="str">
        <f aca="true">IF(R745="","",TODAY()-INT(R745))</f>
        <v/>
      </c>
      <c r="T745" s="86"/>
      <c r="U745" s="86"/>
      <c r="V745" s="86"/>
      <c r="W745" s="88"/>
      <c r="X745" s="92" t="str">
        <f aca="true">IF(W745="","",IF(OR(O745="28 - Encerrado",O745="27 - Instalação concluída"),"Concluído",TODAY()-INT(W745)))</f>
        <v/>
      </c>
      <c r="Y745" s="91" t="str">
        <f aca="false">IF(OR(O745="28 - Encerrado",O745="27 - Instalação concluída"),"OK",IF(AND(B745&lt;&gt;"",S745=""),"ATENÇÃO (Sem data de atualização)",IF(S745="","",IF(S745&gt;30,"CRÍTICO (Sem Atualização &gt;30 dias)",IF(S745&gt;15,"ATENÇÃO (Sem Atualização &gt;15 dias)",IF(X745&gt;90,"CRÍTICO (Aberto &gt;90 dias)","OK"))))))</f>
        <v/>
      </c>
      <c r="Z745" s="90" t="str">
        <f aca="false">IF(B745="","",IF(OR(O745="27 - Instalação concluída",O745="28 - Encerrado"),"OK",IF(NOT(ISNUMBER(X745)),"",IF(X745&gt;365,"MUITO ANTIGO (&gt;1 ano)",IF(X745&gt;180,"ANTIGO (&gt;6 meses)",IF(X745&gt;90,"ATENÇÃO ANTIG. (&gt;3 meses)","OK"))))))</f>
        <v/>
      </c>
      <c r="AA745" s="91"/>
    </row>
    <row r="746" customFormat="false" ht="16.5" hidden="false" customHeight="true" outlineLevel="0" collapsed="false">
      <c r="A746" s="86"/>
      <c r="B746" s="91"/>
      <c r="C746" s="91" t="str">
        <f aca="false">IF(D746="","",IFERROR(INDEX(CADASTRO_VIVO_3CRE!$B$2:$B$150,MATCH(D746,CADASTRO_VIVO_3CRE!$E$2:$E$150,0)),""))</f>
        <v/>
      </c>
      <c r="D746" s="91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8"/>
      <c r="S746" s="92" t="str">
        <f aca="true">IF(R746="","",TODAY()-INT(R746))</f>
        <v/>
      </c>
      <c r="T746" s="86"/>
      <c r="U746" s="86"/>
      <c r="V746" s="86"/>
      <c r="W746" s="88"/>
      <c r="X746" s="92" t="str">
        <f aca="true">IF(W746="","",IF(OR(O746="28 - Encerrado",O746="27 - Instalação concluída"),"Concluído",TODAY()-INT(W746)))</f>
        <v/>
      </c>
      <c r="Y746" s="91" t="str">
        <f aca="false">IF(OR(O746="28 - Encerrado",O746="27 - Instalação concluída"),"OK",IF(AND(B746&lt;&gt;"",S746=""),"ATENÇÃO (Sem data de atualização)",IF(S746="","",IF(S746&gt;30,"CRÍTICO (Sem Atualização &gt;30 dias)",IF(S746&gt;15,"ATENÇÃO (Sem Atualização &gt;15 dias)",IF(X746&gt;90,"CRÍTICO (Aberto &gt;90 dias)","OK"))))))</f>
        <v/>
      </c>
      <c r="Z746" s="90" t="str">
        <f aca="false">IF(B746="","",IF(OR(O746="27 - Instalação concluída",O746="28 - Encerrado"),"OK",IF(NOT(ISNUMBER(X746)),"",IF(X746&gt;365,"MUITO ANTIGO (&gt;1 ano)",IF(X746&gt;180,"ANTIGO (&gt;6 meses)",IF(X746&gt;90,"ATENÇÃO ANTIG. (&gt;3 meses)","OK"))))))</f>
        <v/>
      </c>
      <c r="AA746" s="91"/>
    </row>
    <row r="747" customFormat="false" ht="16.5" hidden="false" customHeight="true" outlineLevel="0" collapsed="false">
      <c r="A747" s="86"/>
      <c r="B747" s="91"/>
      <c r="C747" s="91" t="str">
        <f aca="false">IF(D747="","",IFERROR(INDEX(CADASTRO_VIVO_3CRE!$B$2:$B$150,MATCH(D747,CADASTRO_VIVO_3CRE!$E$2:$E$150,0)),""))</f>
        <v/>
      </c>
      <c r="D747" s="91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8"/>
      <c r="S747" s="92" t="str">
        <f aca="true">IF(R747="","",TODAY()-INT(R747))</f>
        <v/>
      </c>
      <c r="T747" s="86"/>
      <c r="U747" s="86"/>
      <c r="V747" s="86"/>
      <c r="W747" s="88"/>
      <c r="X747" s="92" t="str">
        <f aca="true">IF(W747="","",IF(OR(O747="28 - Encerrado",O747="27 - Instalação concluída"),"Concluído",TODAY()-INT(W747)))</f>
        <v/>
      </c>
      <c r="Y747" s="91" t="str">
        <f aca="false">IF(OR(O747="28 - Encerrado",O747="27 - Instalação concluída"),"OK",IF(AND(B747&lt;&gt;"",S747=""),"ATENÇÃO (Sem data de atualização)",IF(S747="","",IF(S747&gt;30,"CRÍTICO (Sem Atualização &gt;30 dias)",IF(S747&gt;15,"ATENÇÃO (Sem Atualização &gt;15 dias)",IF(X747&gt;90,"CRÍTICO (Aberto &gt;90 dias)","OK"))))))</f>
        <v/>
      </c>
      <c r="Z747" s="90" t="str">
        <f aca="false">IF(B747="","",IF(OR(O747="27 - Instalação concluída",O747="28 - Encerrado"),"OK",IF(NOT(ISNUMBER(X747)),"",IF(X747&gt;365,"MUITO ANTIGO (&gt;1 ano)",IF(X747&gt;180,"ANTIGO (&gt;6 meses)",IF(X747&gt;90,"ATENÇÃO ANTIG. (&gt;3 meses)","OK"))))))</f>
        <v/>
      </c>
      <c r="AA747" s="91"/>
    </row>
    <row r="748" customFormat="false" ht="16.5" hidden="false" customHeight="true" outlineLevel="0" collapsed="false">
      <c r="A748" s="86"/>
      <c r="B748" s="91"/>
      <c r="C748" s="91" t="str">
        <f aca="false">IF(D748="","",IFERROR(INDEX(CADASTRO_VIVO_3CRE!$B$2:$B$150,MATCH(D748,CADASTRO_VIVO_3CRE!$E$2:$E$150,0)),""))</f>
        <v/>
      </c>
      <c r="D748" s="91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8"/>
      <c r="S748" s="92" t="str">
        <f aca="true">IF(R748="","",TODAY()-INT(R748))</f>
        <v/>
      </c>
      <c r="T748" s="86"/>
      <c r="U748" s="86"/>
      <c r="V748" s="86"/>
      <c r="W748" s="88"/>
      <c r="X748" s="92" t="str">
        <f aca="true">IF(W748="","",IF(OR(O748="28 - Encerrado",O748="27 - Instalação concluída"),"Concluído",TODAY()-INT(W748)))</f>
        <v/>
      </c>
      <c r="Y748" s="91" t="str">
        <f aca="false">IF(OR(O748="28 - Encerrado",O748="27 - Instalação concluída"),"OK",IF(AND(B748&lt;&gt;"",S748=""),"ATENÇÃO (Sem data de atualização)",IF(S748="","",IF(S748&gt;30,"CRÍTICO (Sem Atualização &gt;30 dias)",IF(S748&gt;15,"ATENÇÃO (Sem Atualização &gt;15 dias)",IF(X748&gt;90,"CRÍTICO (Aberto &gt;90 dias)","OK"))))))</f>
        <v/>
      </c>
      <c r="Z748" s="90" t="str">
        <f aca="false">IF(B748="","",IF(OR(O748="27 - Instalação concluída",O748="28 - Encerrado"),"OK",IF(NOT(ISNUMBER(X748)),"",IF(X748&gt;365,"MUITO ANTIGO (&gt;1 ano)",IF(X748&gt;180,"ANTIGO (&gt;6 meses)",IF(X748&gt;90,"ATENÇÃO ANTIG. (&gt;3 meses)","OK"))))))</f>
        <v/>
      </c>
      <c r="AA748" s="91"/>
    </row>
    <row r="749" customFormat="false" ht="16.5" hidden="false" customHeight="true" outlineLevel="0" collapsed="false">
      <c r="A749" s="86"/>
      <c r="B749" s="91"/>
      <c r="C749" s="91" t="str">
        <f aca="false">IF(D749="","",IFERROR(INDEX(CADASTRO_VIVO_3CRE!$B$2:$B$150,MATCH(D749,CADASTRO_VIVO_3CRE!$E$2:$E$150,0)),""))</f>
        <v/>
      </c>
      <c r="D749" s="91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8"/>
      <c r="S749" s="92" t="str">
        <f aca="true">IF(R749="","",TODAY()-INT(R749))</f>
        <v/>
      </c>
      <c r="T749" s="86"/>
      <c r="U749" s="86"/>
      <c r="V749" s="86"/>
      <c r="W749" s="88"/>
      <c r="X749" s="92" t="str">
        <f aca="true">IF(W749="","",IF(OR(O749="28 - Encerrado",O749="27 - Instalação concluída"),"Concluído",TODAY()-INT(W749)))</f>
        <v/>
      </c>
      <c r="Y749" s="91" t="str">
        <f aca="false">IF(OR(O749="28 - Encerrado",O749="27 - Instalação concluída"),"OK",IF(AND(B749&lt;&gt;"",S749=""),"ATENÇÃO (Sem data de atualização)",IF(S749="","",IF(S749&gt;30,"CRÍTICO (Sem Atualização &gt;30 dias)",IF(S749&gt;15,"ATENÇÃO (Sem Atualização &gt;15 dias)",IF(X749&gt;90,"CRÍTICO (Aberto &gt;90 dias)","OK"))))))</f>
        <v/>
      </c>
      <c r="Z749" s="90" t="str">
        <f aca="false">IF(B749="","",IF(OR(O749="27 - Instalação concluída",O749="28 - Encerrado"),"OK",IF(NOT(ISNUMBER(X749)),"",IF(X749&gt;365,"MUITO ANTIGO (&gt;1 ano)",IF(X749&gt;180,"ANTIGO (&gt;6 meses)",IF(X749&gt;90,"ATENÇÃO ANTIG. (&gt;3 meses)","OK"))))))</f>
        <v/>
      </c>
      <c r="AA749" s="91"/>
    </row>
    <row r="750" customFormat="false" ht="16.5" hidden="false" customHeight="true" outlineLevel="0" collapsed="false">
      <c r="A750" s="86"/>
      <c r="B750" s="91"/>
      <c r="C750" s="91" t="str">
        <f aca="false">IF(D750="","",IFERROR(INDEX(CADASTRO_VIVO_3CRE!$B$2:$B$150,MATCH(D750,CADASTRO_VIVO_3CRE!$E$2:$E$150,0)),""))</f>
        <v/>
      </c>
      <c r="D750" s="91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8"/>
      <c r="S750" s="92" t="str">
        <f aca="true">IF(R750="","",TODAY()-INT(R750))</f>
        <v/>
      </c>
      <c r="T750" s="86"/>
      <c r="U750" s="86"/>
      <c r="V750" s="86"/>
      <c r="W750" s="88"/>
      <c r="X750" s="92" t="str">
        <f aca="true">IF(W750="","",IF(OR(O750="28 - Encerrado",O750="27 - Instalação concluída"),"Concluído",TODAY()-INT(W750)))</f>
        <v/>
      </c>
      <c r="Y750" s="91" t="str">
        <f aca="false">IF(OR(O750="28 - Encerrado",O750="27 - Instalação concluída"),"OK",IF(AND(B750&lt;&gt;"",S750=""),"ATENÇÃO (Sem data de atualização)",IF(S750="","",IF(S750&gt;30,"CRÍTICO (Sem Atualização &gt;30 dias)",IF(S750&gt;15,"ATENÇÃO (Sem Atualização &gt;15 dias)",IF(X750&gt;90,"CRÍTICO (Aberto &gt;90 dias)","OK"))))))</f>
        <v/>
      </c>
      <c r="Z750" s="90" t="str">
        <f aca="false">IF(B750="","",IF(OR(O750="27 - Instalação concluída",O750="28 - Encerrado"),"OK",IF(NOT(ISNUMBER(X750)),"",IF(X750&gt;365,"MUITO ANTIGO (&gt;1 ano)",IF(X750&gt;180,"ANTIGO (&gt;6 meses)",IF(X750&gt;90,"ATENÇÃO ANTIG. (&gt;3 meses)","OK"))))))</f>
        <v/>
      </c>
      <c r="AA750" s="91"/>
    </row>
    <row r="751" customFormat="false" ht="16.5" hidden="false" customHeight="true" outlineLevel="0" collapsed="false">
      <c r="A751" s="86"/>
      <c r="B751" s="91"/>
      <c r="C751" s="91" t="str">
        <f aca="false">IF(D751="","",IFERROR(INDEX(CADASTRO_VIVO_3CRE!$B$2:$B$150,MATCH(D751,CADASTRO_VIVO_3CRE!$E$2:$E$150,0)),""))</f>
        <v/>
      </c>
      <c r="D751" s="91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8"/>
      <c r="S751" s="92" t="str">
        <f aca="true">IF(R751="","",TODAY()-INT(R751))</f>
        <v/>
      </c>
      <c r="T751" s="86"/>
      <c r="U751" s="86"/>
      <c r="V751" s="86"/>
      <c r="W751" s="88"/>
      <c r="X751" s="92" t="str">
        <f aca="true">IF(W751="","",IF(OR(O751="28 - Encerrado",O751="27 - Instalação concluída"),"Concluído",TODAY()-INT(W751)))</f>
        <v/>
      </c>
      <c r="Y751" s="91" t="str">
        <f aca="false">IF(OR(O751="28 - Encerrado",O751="27 - Instalação concluída"),"OK",IF(AND(B751&lt;&gt;"",S751=""),"ATENÇÃO (Sem data de atualização)",IF(S751="","",IF(S751&gt;30,"CRÍTICO (Sem Atualização &gt;30 dias)",IF(S751&gt;15,"ATENÇÃO (Sem Atualização &gt;15 dias)",IF(X751&gt;90,"CRÍTICO (Aberto &gt;90 dias)","OK"))))))</f>
        <v/>
      </c>
      <c r="Z751" s="90" t="str">
        <f aca="false">IF(B751="","",IF(OR(O751="27 - Instalação concluída",O751="28 - Encerrado"),"OK",IF(NOT(ISNUMBER(X751)),"",IF(X751&gt;365,"MUITO ANTIGO (&gt;1 ano)",IF(X751&gt;180,"ANTIGO (&gt;6 meses)",IF(X751&gt;90,"ATENÇÃO ANTIG. (&gt;3 meses)","OK"))))))</f>
        <v/>
      </c>
      <c r="AA751" s="91"/>
    </row>
    <row r="752" customFormat="false" ht="16.5" hidden="false" customHeight="true" outlineLevel="0" collapsed="false">
      <c r="A752" s="86"/>
      <c r="B752" s="91"/>
      <c r="C752" s="91" t="str">
        <f aca="false">IF(D752="","",IFERROR(INDEX(CADASTRO_VIVO_3CRE!$B$2:$B$150,MATCH(D752,CADASTRO_VIVO_3CRE!$E$2:$E$150,0)),""))</f>
        <v/>
      </c>
      <c r="D752" s="91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8"/>
      <c r="S752" s="92" t="str">
        <f aca="true">IF(R752="","",TODAY()-INT(R752))</f>
        <v/>
      </c>
      <c r="T752" s="86"/>
      <c r="U752" s="86"/>
      <c r="V752" s="86"/>
      <c r="W752" s="88"/>
      <c r="X752" s="92" t="str">
        <f aca="true">IF(W752="","",IF(OR(O752="28 - Encerrado",O752="27 - Instalação concluída"),"Concluído",TODAY()-INT(W752)))</f>
        <v/>
      </c>
      <c r="Y752" s="91" t="str">
        <f aca="false">IF(OR(O752="28 - Encerrado",O752="27 - Instalação concluída"),"OK",IF(AND(B752&lt;&gt;"",S752=""),"ATENÇÃO (Sem data de atualização)",IF(S752="","",IF(S752&gt;30,"CRÍTICO (Sem Atualização &gt;30 dias)",IF(S752&gt;15,"ATENÇÃO (Sem Atualização &gt;15 dias)",IF(X752&gt;90,"CRÍTICO (Aberto &gt;90 dias)","OK"))))))</f>
        <v/>
      </c>
      <c r="Z752" s="90" t="str">
        <f aca="false">IF(B752="","",IF(OR(O752="27 - Instalação concluída",O752="28 - Encerrado"),"OK",IF(NOT(ISNUMBER(X752)),"",IF(X752&gt;365,"MUITO ANTIGO (&gt;1 ano)",IF(X752&gt;180,"ANTIGO (&gt;6 meses)",IF(X752&gt;90,"ATENÇÃO ANTIG. (&gt;3 meses)","OK"))))))</f>
        <v/>
      </c>
      <c r="AA752" s="91"/>
    </row>
    <row r="753" customFormat="false" ht="16.5" hidden="false" customHeight="true" outlineLevel="0" collapsed="false">
      <c r="A753" s="86"/>
      <c r="B753" s="91"/>
      <c r="C753" s="91" t="str">
        <f aca="false">IF(D753="","",IFERROR(INDEX(CADASTRO_VIVO_3CRE!$B$2:$B$150,MATCH(D753,CADASTRO_VIVO_3CRE!$E$2:$E$150,0)),""))</f>
        <v/>
      </c>
      <c r="D753" s="91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8"/>
      <c r="S753" s="92" t="str">
        <f aca="true">IF(R753="","",TODAY()-INT(R753))</f>
        <v/>
      </c>
      <c r="T753" s="86"/>
      <c r="U753" s="86"/>
      <c r="V753" s="86"/>
      <c r="W753" s="88"/>
      <c r="X753" s="92" t="str">
        <f aca="true">IF(W753="","",IF(OR(O753="28 - Encerrado",O753="27 - Instalação concluída"),"Concluído",TODAY()-INT(W753)))</f>
        <v/>
      </c>
      <c r="Y753" s="91" t="str">
        <f aca="false">IF(OR(O753="28 - Encerrado",O753="27 - Instalação concluída"),"OK",IF(AND(B753&lt;&gt;"",S753=""),"ATENÇÃO (Sem data de atualização)",IF(S753="","",IF(S753&gt;30,"CRÍTICO (Sem Atualização &gt;30 dias)",IF(S753&gt;15,"ATENÇÃO (Sem Atualização &gt;15 dias)",IF(X753&gt;90,"CRÍTICO (Aberto &gt;90 dias)","OK"))))))</f>
        <v/>
      </c>
      <c r="Z753" s="90" t="str">
        <f aca="false">IF(B753="","",IF(OR(O753="27 - Instalação concluída",O753="28 - Encerrado"),"OK",IF(NOT(ISNUMBER(X753)),"",IF(X753&gt;365,"MUITO ANTIGO (&gt;1 ano)",IF(X753&gt;180,"ANTIGO (&gt;6 meses)",IF(X753&gt;90,"ATENÇÃO ANTIG. (&gt;3 meses)","OK"))))))</f>
        <v/>
      </c>
      <c r="AA753" s="91"/>
    </row>
    <row r="754" customFormat="false" ht="16.5" hidden="false" customHeight="true" outlineLevel="0" collapsed="false">
      <c r="A754" s="86"/>
      <c r="B754" s="91"/>
      <c r="C754" s="91" t="str">
        <f aca="false">IF(D754="","",IFERROR(INDEX(CADASTRO_VIVO_3CRE!$B$2:$B$150,MATCH(D754,CADASTRO_VIVO_3CRE!$E$2:$E$150,0)),""))</f>
        <v/>
      </c>
      <c r="D754" s="91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8"/>
      <c r="S754" s="92" t="str">
        <f aca="true">IF(R754="","",TODAY()-INT(R754))</f>
        <v/>
      </c>
      <c r="T754" s="86"/>
      <c r="U754" s="86"/>
      <c r="V754" s="86"/>
      <c r="W754" s="88"/>
      <c r="X754" s="92" t="str">
        <f aca="true">IF(W754="","",IF(OR(O754="28 - Encerrado",O754="27 - Instalação concluída"),"Concluído",TODAY()-INT(W754)))</f>
        <v/>
      </c>
      <c r="Y754" s="91" t="str">
        <f aca="false">IF(OR(O754="28 - Encerrado",O754="27 - Instalação concluída"),"OK",IF(AND(B754&lt;&gt;"",S754=""),"ATENÇÃO (Sem data de atualização)",IF(S754="","",IF(S754&gt;30,"CRÍTICO (Sem Atualização &gt;30 dias)",IF(S754&gt;15,"ATENÇÃO (Sem Atualização &gt;15 dias)",IF(X754&gt;90,"CRÍTICO (Aberto &gt;90 dias)","OK"))))))</f>
        <v/>
      </c>
      <c r="Z754" s="90" t="str">
        <f aca="false">IF(B754="","",IF(OR(O754="27 - Instalação concluída",O754="28 - Encerrado"),"OK",IF(NOT(ISNUMBER(X754)),"",IF(X754&gt;365,"MUITO ANTIGO (&gt;1 ano)",IF(X754&gt;180,"ANTIGO (&gt;6 meses)",IF(X754&gt;90,"ATENÇÃO ANTIG. (&gt;3 meses)","OK"))))))</f>
        <v/>
      </c>
      <c r="AA754" s="91"/>
    </row>
    <row r="755" customFormat="false" ht="16.5" hidden="false" customHeight="true" outlineLevel="0" collapsed="false">
      <c r="A755" s="86"/>
      <c r="B755" s="91"/>
      <c r="C755" s="91" t="str">
        <f aca="false">IF(D755="","",IFERROR(INDEX(CADASTRO_VIVO_3CRE!$B$2:$B$150,MATCH(D755,CADASTRO_VIVO_3CRE!$E$2:$E$150,0)),""))</f>
        <v/>
      </c>
      <c r="D755" s="91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8"/>
      <c r="S755" s="92" t="str">
        <f aca="true">IF(R755="","",TODAY()-INT(R755))</f>
        <v/>
      </c>
      <c r="T755" s="86"/>
      <c r="U755" s="86"/>
      <c r="V755" s="86"/>
      <c r="W755" s="88"/>
      <c r="X755" s="92" t="str">
        <f aca="true">IF(W755="","",IF(OR(O755="28 - Encerrado",O755="27 - Instalação concluída"),"Concluído",TODAY()-INT(W755)))</f>
        <v/>
      </c>
      <c r="Y755" s="91" t="str">
        <f aca="false">IF(OR(O755="28 - Encerrado",O755="27 - Instalação concluída"),"OK",IF(AND(B755&lt;&gt;"",S755=""),"ATENÇÃO (Sem data de atualização)",IF(S755="","",IF(S755&gt;30,"CRÍTICO (Sem Atualização &gt;30 dias)",IF(S755&gt;15,"ATENÇÃO (Sem Atualização &gt;15 dias)",IF(X755&gt;90,"CRÍTICO (Aberto &gt;90 dias)","OK"))))))</f>
        <v/>
      </c>
      <c r="Z755" s="90" t="str">
        <f aca="false">IF(B755="","",IF(OR(O755="27 - Instalação concluída",O755="28 - Encerrado"),"OK",IF(NOT(ISNUMBER(X755)),"",IF(X755&gt;365,"MUITO ANTIGO (&gt;1 ano)",IF(X755&gt;180,"ANTIGO (&gt;6 meses)",IF(X755&gt;90,"ATENÇÃO ANTIG. (&gt;3 meses)","OK"))))))</f>
        <v/>
      </c>
      <c r="AA755" s="91"/>
    </row>
    <row r="756" customFormat="false" ht="16.5" hidden="false" customHeight="true" outlineLevel="0" collapsed="false">
      <c r="A756" s="86"/>
      <c r="B756" s="91"/>
      <c r="C756" s="91" t="str">
        <f aca="false">IF(D756="","",IFERROR(INDEX(CADASTRO_VIVO_3CRE!$B$2:$B$150,MATCH(D756,CADASTRO_VIVO_3CRE!$E$2:$E$150,0)),""))</f>
        <v/>
      </c>
      <c r="D756" s="91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8"/>
      <c r="S756" s="92" t="str">
        <f aca="true">IF(R756="","",TODAY()-INT(R756))</f>
        <v/>
      </c>
      <c r="T756" s="86"/>
      <c r="U756" s="86"/>
      <c r="V756" s="86"/>
      <c r="W756" s="88"/>
      <c r="X756" s="92" t="str">
        <f aca="true">IF(W756="","",IF(OR(O756="28 - Encerrado",O756="27 - Instalação concluída"),"Concluído",TODAY()-INT(W756)))</f>
        <v/>
      </c>
      <c r="Y756" s="91" t="str">
        <f aca="false">IF(OR(O756="28 - Encerrado",O756="27 - Instalação concluída"),"OK",IF(AND(B756&lt;&gt;"",S756=""),"ATENÇÃO (Sem data de atualização)",IF(S756="","",IF(S756&gt;30,"CRÍTICO (Sem Atualização &gt;30 dias)",IF(S756&gt;15,"ATENÇÃO (Sem Atualização &gt;15 dias)",IF(X756&gt;90,"CRÍTICO (Aberto &gt;90 dias)","OK"))))))</f>
        <v/>
      </c>
      <c r="Z756" s="90" t="str">
        <f aca="false">IF(B756="","",IF(OR(O756="27 - Instalação concluída",O756="28 - Encerrado"),"OK",IF(NOT(ISNUMBER(X756)),"",IF(X756&gt;365,"MUITO ANTIGO (&gt;1 ano)",IF(X756&gt;180,"ANTIGO (&gt;6 meses)",IF(X756&gt;90,"ATENÇÃO ANTIG. (&gt;3 meses)","OK"))))))</f>
        <v/>
      </c>
      <c r="AA756" s="91"/>
    </row>
    <row r="757" customFormat="false" ht="16.5" hidden="false" customHeight="true" outlineLevel="0" collapsed="false">
      <c r="A757" s="86"/>
      <c r="B757" s="91"/>
      <c r="C757" s="91" t="str">
        <f aca="false">IF(D757="","",IFERROR(INDEX(CADASTRO_VIVO_3CRE!$B$2:$B$150,MATCH(D757,CADASTRO_VIVO_3CRE!$E$2:$E$150,0)),""))</f>
        <v/>
      </c>
      <c r="D757" s="91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8"/>
      <c r="S757" s="92" t="str">
        <f aca="true">IF(R757="","",TODAY()-INT(R757))</f>
        <v/>
      </c>
      <c r="T757" s="86"/>
      <c r="U757" s="86"/>
      <c r="V757" s="86"/>
      <c r="W757" s="88"/>
      <c r="X757" s="92" t="str">
        <f aca="true">IF(W757="","",IF(OR(O757="28 - Encerrado",O757="27 - Instalação concluída"),"Concluído",TODAY()-INT(W757)))</f>
        <v/>
      </c>
      <c r="Y757" s="91" t="str">
        <f aca="false">IF(OR(O757="28 - Encerrado",O757="27 - Instalação concluída"),"OK",IF(AND(B757&lt;&gt;"",S757=""),"ATENÇÃO (Sem data de atualização)",IF(S757="","",IF(S757&gt;30,"CRÍTICO (Sem Atualização &gt;30 dias)",IF(S757&gt;15,"ATENÇÃO (Sem Atualização &gt;15 dias)",IF(X757&gt;90,"CRÍTICO (Aberto &gt;90 dias)","OK"))))))</f>
        <v/>
      </c>
      <c r="Z757" s="90" t="str">
        <f aca="false">IF(B757="","",IF(OR(O757="27 - Instalação concluída",O757="28 - Encerrado"),"OK",IF(NOT(ISNUMBER(X757)),"",IF(X757&gt;365,"MUITO ANTIGO (&gt;1 ano)",IF(X757&gt;180,"ANTIGO (&gt;6 meses)",IF(X757&gt;90,"ATENÇÃO ANTIG. (&gt;3 meses)","OK"))))))</f>
        <v/>
      </c>
      <c r="AA757" s="91"/>
    </row>
    <row r="758" customFormat="false" ht="16.5" hidden="false" customHeight="true" outlineLevel="0" collapsed="false">
      <c r="A758" s="86"/>
      <c r="B758" s="91"/>
      <c r="C758" s="91" t="str">
        <f aca="false">IF(D758="","",IFERROR(INDEX(CADASTRO_VIVO_3CRE!$B$2:$B$150,MATCH(D758,CADASTRO_VIVO_3CRE!$E$2:$E$150,0)),""))</f>
        <v/>
      </c>
      <c r="D758" s="91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8"/>
      <c r="S758" s="92" t="str">
        <f aca="true">IF(R758="","",TODAY()-INT(R758))</f>
        <v/>
      </c>
      <c r="T758" s="86"/>
      <c r="U758" s="86"/>
      <c r="V758" s="86"/>
      <c r="W758" s="88"/>
      <c r="X758" s="92" t="str">
        <f aca="true">IF(W758="","",IF(OR(O758="28 - Encerrado",O758="27 - Instalação concluída"),"Concluído",TODAY()-INT(W758)))</f>
        <v/>
      </c>
      <c r="Y758" s="91" t="str">
        <f aca="false">IF(OR(O758="28 - Encerrado",O758="27 - Instalação concluída"),"OK",IF(AND(B758&lt;&gt;"",S758=""),"ATENÇÃO (Sem data de atualização)",IF(S758="","",IF(S758&gt;30,"CRÍTICO (Sem Atualização &gt;30 dias)",IF(S758&gt;15,"ATENÇÃO (Sem Atualização &gt;15 dias)",IF(X758&gt;90,"CRÍTICO (Aberto &gt;90 dias)","OK"))))))</f>
        <v/>
      </c>
      <c r="Z758" s="90" t="str">
        <f aca="false">IF(B758="","",IF(OR(O758="27 - Instalação concluída",O758="28 - Encerrado"),"OK",IF(NOT(ISNUMBER(X758)),"",IF(X758&gt;365,"MUITO ANTIGO (&gt;1 ano)",IF(X758&gt;180,"ANTIGO (&gt;6 meses)",IF(X758&gt;90,"ATENÇÃO ANTIG. (&gt;3 meses)","OK"))))))</f>
        <v/>
      </c>
      <c r="AA758" s="91"/>
    </row>
    <row r="759" customFormat="false" ht="16.5" hidden="false" customHeight="true" outlineLevel="0" collapsed="false">
      <c r="A759" s="86"/>
      <c r="B759" s="91"/>
      <c r="C759" s="91" t="str">
        <f aca="false">IF(D759="","",IFERROR(INDEX(CADASTRO_VIVO_3CRE!$B$2:$B$150,MATCH(D759,CADASTRO_VIVO_3CRE!$E$2:$E$150,0)),""))</f>
        <v/>
      </c>
      <c r="D759" s="91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8"/>
      <c r="S759" s="92" t="str">
        <f aca="true">IF(R759="","",TODAY()-INT(R759))</f>
        <v/>
      </c>
      <c r="T759" s="86"/>
      <c r="U759" s="86"/>
      <c r="V759" s="86"/>
      <c r="W759" s="88"/>
      <c r="X759" s="92" t="str">
        <f aca="true">IF(W759="","",IF(OR(O759="28 - Encerrado",O759="27 - Instalação concluída"),"Concluído",TODAY()-INT(W759)))</f>
        <v/>
      </c>
      <c r="Y759" s="91" t="str">
        <f aca="false">IF(OR(O759="28 - Encerrado",O759="27 - Instalação concluída"),"OK",IF(AND(B759&lt;&gt;"",S759=""),"ATENÇÃO (Sem data de atualização)",IF(S759="","",IF(S759&gt;30,"CRÍTICO (Sem Atualização &gt;30 dias)",IF(S759&gt;15,"ATENÇÃO (Sem Atualização &gt;15 dias)",IF(X759&gt;90,"CRÍTICO (Aberto &gt;90 dias)","OK"))))))</f>
        <v/>
      </c>
      <c r="Z759" s="90" t="str">
        <f aca="false">IF(B759="","",IF(OR(O759="27 - Instalação concluída",O759="28 - Encerrado"),"OK",IF(NOT(ISNUMBER(X759)),"",IF(X759&gt;365,"MUITO ANTIGO (&gt;1 ano)",IF(X759&gt;180,"ANTIGO (&gt;6 meses)",IF(X759&gt;90,"ATENÇÃO ANTIG. (&gt;3 meses)","OK"))))))</f>
        <v/>
      </c>
      <c r="AA759" s="91"/>
    </row>
    <row r="760" customFormat="false" ht="16.5" hidden="false" customHeight="true" outlineLevel="0" collapsed="false">
      <c r="A760" s="86"/>
      <c r="B760" s="91"/>
      <c r="C760" s="91" t="str">
        <f aca="false">IF(D760="","",IFERROR(INDEX(CADASTRO_VIVO_3CRE!$B$2:$B$150,MATCH(D760,CADASTRO_VIVO_3CRE!$E$2:$E$150,0)),""))</f>
        <v/>
      </c>
      <c r="D760" s="91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8"/>
      <c r="S760" s="92" t="str">
        <f aca="true">IF(R760="","",TODAY()-INT(R760))</f>
        <v/>
      </c>
      <c r="T760" s="86"/>
      <c r="U760" s="86"/>
      <c r="V760" s="86"/>
      <c r="W760" s="88"/>
      <c r="X760" s="92" t="str">
        <f aca="true">IF(W760="","",IF(OR(O760="28 - Encerrado",O760="27 - Instalação concluída"),"Concluído",TODAY()-INT(W760)))</f>
        <v/>
      </c>
      <c r="Y760" s="91" t="str">
        <f aca="false">IF(OR(O760="28 - Encerrado",O760="27 - Instalação concluída"),"OK",IF(AND(B760&lt;&gt;"",S760=""),"ATENÇÃO (Sem data de atualização)",IF(S760="","",IF(S760&gt;30,"CRÍTICO (Sem Atualização &gt;30 dias)",IF(S760&gt;15,"ATENÇÃO (Sem Atualização &gt;15 dias)",IF(X760&gt;90,"CRÍTICO (Aberto &gt;90 dias)","OK"))))))</f>
        <v/>
      </c>
      <c r="Z760" s="90" t="str">
        <f aca="false">IF(B760="","",IF(OR(O760="27 - Instalação concluída",O760="28 - Encerrado"),"OK",IF(NOT(ISNUMBER(X760)),"",IF(X760&gt;365,"MUITO ANTIGO (&gt;1 ano)",IF(X760&gt;180,"ANTIGO (&gt;6 meses)",IF(X760&gt;90,"ATENÇÃO ANTIG. (&gt;3 meses)","OK"))))))</f>
        <v/>
      </c>
      <c r="AA760" s="91"/>
    </row>
    <row r="761" customFormat="false" ht="16.5" hidden="false" customHeight="true" outlineLevel="0" collapsed="false">
      <c r="A761" s="86"/>
      <c r="B761" s="91"/>
      <c r="C761" s="91" t="str">
        <f aca="false">IF(D761="","",IFERROR(INDEX(CADASTRO_VIVO_3CRE!$B$2:$B$150,MATCH(D761,CADASTRO_VIVO_3CRE!$E$2:$E$150,0)),""))</f>
        <v/>
      </c>
      <c r="D761" s="91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8"/>
      <c r="S761" s="92" t="str">
        <f aca="true">IF(R761="","",TODAY()-INT(R761))</f>
        <v/>
      </c>
      <c r="T761" s="86"/>
      <c r="U761" s="86"/>
      <c r="V761" s="86"/>
      <c r="W761" s="88"/>
      <c r="X761" s="92" t="str">
        <f aca="true">IF(W761="","",IF(OR(O761="28 - Encerrado",O761="27 - Instalação concluída"),"Concluído",TODAY()-INT(W761)))</f>
        <v/>
      </c>
      <c r="Y761" s="91" t="str">
        <f aca="false">IF(OR(O761="28 - Encerrado",O761="27 - Instalação concluída"),"OK",IF(AND(B761&lt;&gt;"",S761=""),"ATENÇÃO (Sem data de atualização)",IF(S761="","",IF(S761&gt;30,"CRÍTICO (Sem Atualização &gt;30 dias)",IF(S761&gt;15,"ATENÇÃO (Sem Atualização &gt;15 dias)",IF(X761&gt;90,"CRÍTICO (Aberto &gt;90 dias)","OK"))))))</f>
        <v/>
      </c>
      <c r="Z761" s="90" t="str">
        <f aca="false">IF(B761="","",IF(OR(O761="27 - Instalação concluída",O761="28 - Encerrado"),"OK",IF(NOT(ISNUMBER(X761)),"",IF(X761&gt;365,"MUITO ANTIGO (&gt;1 ano)",IF(X761&gt;180,"ANTIGO (&gt;6 meses)",IF(X761&gt;90,"ATENÇÃO ANTIG. (&gt;3 meses)","OK"))))))</f>
        <v/>
      </c>
      <c r="AA761" s="91"/>
    </row>
    <row r="762" customFormat="false" ht="16.5" hidden="false" customHeight="true" outlineLevel="0" collapsed="false">
      <c r="A762" s="86"/>
      <c r="B762" s="91"/>
      <c r="C762" s="91" t="str">
        <f aca="false">IF(D762="","",IFERROR(INDEX(CADASTRO_VIVO_3CRE!$B$2:$B$150,MATCH(D762,CADASTRO_VIVO_3CRE!$E$2:$E$150,0)),""))</f>
        <v/>
      </c>
      <c r="D762" s="91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8"/>
      <c r="S762" s="92" t="str">
        <f aca="true">IF(R762="","",TODAY()-INT(R762))</f>
        <v/>
      </c>
      <c r="T762" s="86"/>
      <c r="U762" s="86"/>
      <c r="V762" s="86"/>
      <c r="W762" s="88"/>
      <c r="X762" s="92" t="str">
        <f aca="true">IF(W762="","",IF(OR(O762="28 - Encerrado",O762="27 - Instalação concluída"),"Concluído",TODAY()-INT(W762)))</f>
        <v/>
      </c>
      <c r="Y762" s="91" t="str">
        <f aca="false">IF(OR(O762="28 - Encerrado",O762="27 - Instalação concluída"),"OK",IF(AND(B762&lt;&gt;"",S762=""),"ATENÇÃO (Sem data de atualização)",IF(S762="","",IF(S762&gt;30,"CRÍTICO (Sem Atualização &gt;30 dias)",IF(S762&gt;15,"ATENÇÃO (Sem Atualização &gt;15 dias)",IF(X762&gt;90,"CRÍTICO (Aberto &gt;90 dias)","OK"))))))</f>
        <v/>
      </c>
      <c r="Z762" s="90" t="str">
        <f aca="false">IF(B762="","",IF(OR(O762="27 - Instalação concluída",O762="28 - Encerrado"),"OK",IF(NOT(ISNUMBER(X762)),"",IF(X762&gt;365,"MUITO ANTIGO (&gt;1 ano)",IF(X762&gt;180,"ANTIGO (&gt;6 meses)",IF(X762&gt;90,"ATENÇÃO ANTIG. (&gt;3 meses)","OK"))))))</f>
        <v/>
      </c>
      <c r="AA762" s="91"/>
    </row>
    <row r="763" customFormat="false" ht="16.5" hidden="false" customHeight="true" outlineLevel="0" collapsed="false">
      <c r="A763" s="86"/>
      <c r="B763" s="91"/>
      <c r="C763" s="91" t="str">
        <f aca="false">IF(D763="","",IFERROR(INDEX(CADASTRO_VIVO_3CRE!$B$2:$B$150,MATCH(D763,CADASTRO_VIVO_3CRE!$E$2:$E$150,0)),""))</f>
        <v/>
      </c>
      <c r="D763" s="91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8"/>
      <c r="S763" s="92" t="str">
        <f aca="true">IF(R763="","",TODAY()-INT(R763))</f>
        <v/>
      </c>
      <c r="T763" s="86"/>
      <c r="U763" s="86"/>
      <c r="V763" s="86"/>
      <c r="W763" s="88"/>
      <c r="X763" s="92" t="str">
        <f aca="true">IF(W763="","",IF(OR(O763="28 - Encerrado",O763="27 - Instalação concluída"),"Concluído",TODAY()-INT(W763)))</f>
        <v/>
      </c>
      <c r="Y763" s="91" t="str">
        <f aca="false">IF(OR(O763="28 - Encerrado",O763="27 - Instalação concluída"),"OK",IF(AND(B763&lt;&gt;"",S763=""),"ATENÇÃO (Sem data de atualização)",IF(S763="","",IF(S763&gt;30,"CRÍTICO (Sem Atualização &gt;30 dias)",IF(S763&gt;15,"ATENÇÃO (Sem Atualização &gt;15 dias)",IF(X763&gt;90,"CRÍTICO (Aberto &gt;90 dias)","OK"))))))</f>
        <v/>
      </c>
      <c r="Z763" s="90" t="str">
        <f aca="false">IF(B763="","",IF(OR(O763="27 - Instalação concluída",O763="28 - Encerrado"),"OK",IF(NOT(ISNUMBER(X763)),"",IF(X763&gt;365,"MUITO ANTIGO (&gt;1 ano)",IF(X763&gt;180,"ANTIGO (&gt;6 meses)",IF(X763&gt;90,"ATENÇÃO ANTIG. (&gt;3 meses)","OK"))))))</f>
        <v/>
      </c>
      <c r="AA763" s="91"/>
    </row>
    <row r="764" customFormat="false" ht="16.5" hidden="false" customHeight="true" outlineLevel="0" collapsed="false">
      <c r="A764" s="86"/>
      <c r="B764" s="91"/>
      <c r="C764" s="91" t="str">
        <f aca="false">IF(D764="","",IFERROR(INDEX(CADASTRO_VIVO_3CRE!$B$2:$B$150,MATCH(D764,CADASTRO_VIVO_3CRE!$E$2:$E$150,0)),""))</f>
        <v/>
      </c>
      <c r="D764" s="91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8"/>
      <c r="S764" s="92" t="str">
        <f aca="true">IF(R764="","",TODAY()-INT(R764))</f>
        <v/>
      </c>
      <c r="T764" s="86"/>
      <c r="U764" s="86"/>
      <c r="V764" s="86"/>
      <c r="W764" s="88"/>
      <c r="X764" s="92" t="str">
        <f aca="true">IF(W764="","",IF(OR(O764="28 - Encerrado",O764="27 - Instalação concluída"),"Concluído",TODAY()-INT(W764)))</f>
        <v/>
      </c>
      <c r="Y764" s="91" t="str">
        <f aca="false">IF(OR(O764="28 - Encerrado",O764="27 - Instalação concluída"),"OK",IF(AND(B764&lt;&gt;"",S764=""),"ATENÇÃO (Sem data de atualização)",IF(S764="","",IF(S764&gt;30,"CRÍTICO (Sem Atualização &gt;30 dias)",IF(S764&gt;15,"ATENÇÃO (Sem Atualização &gt;15 dias)",IF(X764&gt;90,"CRÍTICO (Aberto &gt;90 dias)","OK"))))))</f>
        <v/>
      </c>
      <c r="Z764" s="90" t="str">
        <f aca="false">IF(B764="","",IF(OR(O764="27 - Instalação concluída",O764="28 - Encerrado"),"OK",IF(NOT(ISNUMBER(X764)),"",IF(X764&gt;365,"MUITO ANTIGO (&gt;1 ano)",IF(X764&gt;180,"ANTIGO (&gt;6 meses)",IF(X764&gt;90,"ATENÇÃO ANTIG. (&gt;3 meses)","OK"))))))</f>
        <v/>
      </c>
      <c r="AA764" s="91"/>
    </row>
    <row r="765" customFormat="false" ht="16.5" hidden="false" customHeight="true" outlineLevel="0" collapsed="false">
      <c r="A765" s="86"/>
      <c r="B765" s="91"/>
      <c r="C765" s="91" t="str">
        <f aca="false">IF(D765="","",IFERROR(INDEX(CADASTRO_VIVO_3CRE!$B$2:$B$150,MATCH(D765,CADASTRO_VIVO_3CRE!$E$2:$E$150,0)),""))</f>
        <v/>
      </c>
      <c r="D765" s="91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8"/>
      <c r="S765" s="92" t="str">
        <f aca="true">IF(R765="","",TODAY()-INT(R765))</f>
        <v/>
      </c>
      <c r="T765" s="86"/>
      <c r="U765" s="86"/>
      <c r="V765" s="86"/>
      <c r="W765" s="88"/>
      <c r="X765" s="92" t="str">
        <f aca="true">IF(W765="","",IF(OR(O765="28 - Encerrado",O765="27 - Instalação concluída"),"Concluído",TODAY()-INT(W765)))</f>
        <v/>
      </c>
      <c r="Y765" s="91" t="str">
        <f aca="false">IF(OR(O765="28 - Encerrado",O765="27 - Instalação concluída"),"OK",IF(AND(B765&lt;&gt;"",S765=""),"ATENÇÃO (Sem data de atualização)",IF(S765="","",IF(S765&gt;30,"CRÍTICO (Sem Atualização &gt;30 dias)",IF(S765&gt;15,"ATENÇÃO (Sem Atualização &gt;15 dias)",IF(X765&gt;90,"CRÍTICO (Aberto &gt;90 dias)","OK"))))))</f>
        <v/>
      </c>
      <c r="Z765" s="90" t="str">
        <f aca="false">IF(B765="","",IF(OR(O765="27 - Instalação concluída",O765="28 - Encerrado"),"OK",IF(NOT(ISNUMBER(X765)),"",IF(X765&gt;365,"MUITO ANTIGO (&gt;1 ano)",IF(X765&gt;180,"ANTIGO (&gt;6 meses)",IF(X765&gt;90,"ATENÇÃO ANTIG. (&gt;3 meses)","OK"))))))</f>
        <v/>
      </c>
      <c r="AA765" s="91"/>
    </row>
    <row r="766" customFormat="false" ht="16.5" hidden="false" customHeight="true" outlineLevel="0" collapsed="false">
      <c r="A766" s="86"/>
      <c r="B766" s="91"/>
      <c r="C766" s="91" t="str">
        <f aca="false">IF(D766="","",IFERROR(INDEX(CADASTRO_VIVO_3CRE!$B$2:$B$150,MATCH(D766,CADASTRO_VIVO_3CRE!$E$2:$E$150,0)),""))</f>
        <v/>
      </c>
      <c r="D766" s="91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8"/>
      <c r="S766" s="92" t="str">
        <f aca="true">IF(R766="","",TODAY()-INT(R766))</f>
        <v/>
      </c>
      <c r="T766" s="86"/>
      <c r="U766" s="86"/>
      <c r="V766" s="86"/>
      <c r="W766" s="88"/>
      <c r="X766" s="92" t="str">
        <f aca="true">IF(W766="","",IF(OR(O766="28 - Encerrado",O766="27 - Instalação concluída"),"Concluído",TODAY()-INT(W766)))</f>
        <v/>
      </c>
      <c r="Y766" s="91" t="str">
        <f aca="false">IF(OR(O766="28 - Encerrado",O766="27 - Instalação concluída"),"OK",IF(AND(B766&lt;&gt;"",S766=""),"ATENÇÃO (Sem data de atualização)",IF(S766="","",IF(S766&gt;30,"CRÍTICO (Sem Atualização &gt;30 dias)",IF(S766&gt;15,"ATENÇÃO (Sem Atualização &gt;15 dias)",IF(X766&gt;90,"CRÍTICO (Aberto &gt;90 dias)","OK"))))))</f>
        <v/>
      </c>
      <c r="Z766" s="90" t="str">
        <f aca="false">IF(B766="","",IF(OR(O766="27 - Instalação concluída",O766="28 - Encerrado"),"OK",IF(NOT(ISNUMBER(X766)),"",IF(X766&gt;365,"MUITO ANTIGO (&gt;1 ano)",IF(X766&gt;180,"ANTIGO (&gt;6 meses)",IF(X766&gt;90,"ATENÇÃO ANTIG. (&gt;3 meses)","OK"))))))</f>
        <v/>
      </c>
      <c r="AA766" s="91"/>
    </row>
    <row r="767" customFormat="false" ht="16.5" hidden="false" customHeight="true" outlineLevel="0" collapsed="false">
      <c r="A767" s="86"/>
      <c r="B767" s="91"/>
      <c r="C767" s="91" t="str">
        <f aca="false">IF(D767="","",IFERROR(INDEX(CADASTRO_VIVO_3CRE!$B$2:$B$150,MATCH(D767,CADASTRO_VIVO_3CRE!$E$2:$E$150,0)),""))</f>
        <v/>
      </c>
      <c r="D767" s="91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8"/>
      <c r="S767" s="92" t="str">
        <f aca="true">IF(R767="","",TODAY()-INT(R767))</f>
        <v/>
      </c>
      <c r="T767" s="86"/>
      <c r="U767" s="86"/>
      <c r="V767" s="86"/>
      <c r="W767" s="88"/>
      <c r="X767" s="92" t="str">
        <f aca="true">IF(W767="","",IF(OR(O767="28 - Encerrado",O767="27 - Instalação concluída"),"Concluído",TODAY()-INT(W767)))</f>
        <v/>
      </c>
      <c r="Y767" s="91" t="str">
        <f aca="false">IF(OR(O767="28 - Encerrado",O767="27 - Instalação concluída"),"OK",IF(AND(B767&lt;&gt;"",S767=""),"ATENÇÃO (Sem data de atualização)",IF(S767="","",IF(S767&gt;30,"CRÍTICO (Sem Atualização &gt;30 dias)",IF(S767&gt;15,"ATENÇÃO (Sem Atualização &gt;15 dias)",IF(X767&gt;90,"CRÍTICO (Aberto &gt;90 dias)","OK"))))))</f>
        <v/>
      </c>
      <c r="Z767" s="90" t="str">
        <f aca="false">IF(B767="","",IF(OR(O767="27 - Instalação concluída",O767="28 - Encerrado"),"OK",IF(NOT(ISNUMBER(X767)),"",IF(X767&gt;365,"MUITO ANTIGO (&gt;1 ano)",IF(X767&gt;180,"ANTIGO (&gt;6 meses)",IF(X767&gt;90,"ATENÇÃO ANTIG. (&gt;3 meses)","OK"))))))</f>
        <v/>
      </c>
      <c r="AA767" s="91"/>
    </row>
    <row r="768" customFormat="false" ht="16.5" hidden="false" customHeight="true" outlineLevel="0" collapsed="false">
      <c r="A768" s="86"/>
      <c r="B768" s="91"/>
      <c r="C768" s="91" t="str">
        <f aca="false">IF(D768="","",IFERROR(INDEX(CADASTRO_VIVO_3CRE!$B$2:$B$150,MATCH(D768,CADASTRO_VIVO_3CRE!$E$2:$E$150,0)),""))</f>
        <v/>
      </c>
      <c r="D768" s="91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8"/>
      <c r="S768" s="92" t="str">
        <f aca="true">IF(R768="","",TODAY()-INT(R768))</f>
        <v/>
      </c>
      <c r="T768" s="86"/>
      <c r="U768" s="86"/>
      <c r="V768" s="86"/>
      <c r="W768" s="88"/>
      <c r="X768" s="92" t="str">
        <f aca="true">IF(W768="","",IF(OR(O768="28 - Encerrado",O768="27 - Instalação concluída"),"Concluído",TODAY()-INT(W768)))</f>
        <v/>
      </c>
      <c r="Y768" s="91" t="str">
        <f aca="false">IF(OR(O768="28 - Encerrado",O768="27 - Instalação concluída"),"OK",IF(AND(B768&lt;&gt;"",S768=""),"ATENÇÃO (Sem data de atualização)",IF(S768="","",IF(S768&gt;30,"CRÍTICO (Sem Atualização &gt;30 dias)",IF(S768&gt;15,"ATENÇÃO (Sem Atualização &gt;15 dias)",IF(X768&gt;90,"CRÍTICO (Aberto &gt;90 dias)","OK"))))))</f>
        <v/>
      </c>
      <c r="Z768" s="90" t="str">
        <f aca="false">IF(B768="","",IF(OR(O768="27 - Instalação concluída",O768="28 - Encerrado"),"OK",IF(NOT(ISNUMBER(X768)),"",IF(X768&gt;365,"MUITO ANTIGO (&gt;1 ano)",IF(X768&gt;180,"ANTIGO (&gt;6 meses)",IF(X768&gt;90,"ATENÇÃO ANTIG. (&gt;3 meses)","OK"))))))</f>
        <v/>
      </c>
      <c r="AA768" s="91"/>
    </row>
    <row r="769" customFormat="false" ht="16.5" hidden="false" customHeight="true" outlineLevel="0" collapsed="false">
      <c r="A769" s="86"/>
      <c r="B769" s="91"/>
      <c r="C769" s="91" t="str">
        <f aca="false">IF(D769="","",IFERROR(INDEX(CADASTRO_VIVO_3CRE!$B$2:$B$150,MATCH(D769,CADASTRO_VIVO_3CRE!$E$2:$E$150,0)),""))</f>
        <v/>
      </c>
      <c r="D769" s="91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8"/>
      <c r="S769" s="92" t="str">
        <f aca="true">IF(R769="","",TODAY()-INT(R769))</f>
        <v/>
      </c>
      <c r="T769" s="86"/>
      <c r="U769" s="86"/>
      <c r="V769" s="86"/>
      <c r="W769" s="88"/>
      <c r="X769" s="92" t="str">
        <f aca="true">IF(W769="","",IF(OR(O769="28 - Encerrado",O769="27 - Instalação concluída"),"Concluído",TODAY()-INT(W769)))</f>
        <v/>
      </c>
      <c r="Y769" s="91" t="str">
        <f aca="false">IF(OR(O769="28 - Encerrado",O769="27 - Instalação concluída"),"OK",IF(AND(B769&lt;&gt;"",S769=""),"ATENÇÃO (Sem data de atualização)",IF(S769="","",IF(S769&gt;30,"CRÍTICO (Sem Atualização &gt;30 dias)",IF(S769&gt;15,"ATENÇÃO (Sem Atualização &gt;15 dias)",IF(X769&gt;90,"CRÍTICO (Aberto &gt;90 dias)","OK"))))))</f>
        <v/>
      </c>
      <c r="Z769" s="90" t="str">
        <f aca="false">IF(B769="","",IF(OR(O769="27 - Instalação concluída",O769="28 - Encerrado"),"OK",IF(NOT(ISNUMBER(X769)),"",IF(X769&gt;365,"MUITO ANTIGO (&gt;1 ano)",IF(X769&gt;180,"ANTIGO (&gt;6 meses)",IF(X769&gt;90,"ATENÇÃO ANTIG. (&gt;3 meses)","OK"))))))</f>
        <v/>
      </c>
      <c r="AA769" s="91"/>
    </row>
    <row r="770" customFormat="false" ht="16.5" hidden="false" customHeight="true" outlineLevel="0" collapsed="false">
      <c r="A770" s="86"/>
      <c r="B770" s="91"/>
      <c r="C770" s="91" t="str">
        <f aca="false">IF(D770="","",IFERROR(INDEX(CADASTRO_VIVO_3CRE!$B$2:$B$150,MATCH(D770,CADASTRO_VIVO_3CRE!$E$2:$E$150,0)),""))</f>
        <v/>
      </c>
      <c r="D770" s="91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8"/>
      <c r="S770" s="92" t="str">
        <f aca="true">IF(R770="","",TODAY()-INT(R770))</f>
        <v/>
      </c>
      <c r="T770" s="86"/>
      <c r="U770" s="86"/>
      <c r="V770" s="86"/>
      <c r="W770" s="88"/>
      <c r="X770" s="92" t="str">
        <f aca="true">IF(W770="","",IF(OR(O770="28 - Encerrado",O770="27 - Instalação concluída"),"Concluído",TODAY()-INT(W770)))</f>
        <v/>
      </c>
      <c r="Y770" s="91" t="str">
        <f aca="false">IF(OR(O770="28 - Encerrado",O770="27 - Instalação concluída"),"OK",IF(AND(B770&lt;&gt;"",S770=""),"ATENÇÃO (Sem data de atualização)",IF(S770="","",IF(S770&gt;30,"CRÍTICO (Sem Atualização &gt;30 dias)",IF(S770&gt;15,"ATENÇÃO (Sem Atualização &gt;15 dias)",IF(X770&gt;90,"CRÍTICO (Aberto &gt;90 dias)","OK"))))))</f>
        <v/>
      </c>
      <c r="Z770" s="90" t="str">
        <f aca="false">IF(B770="","",IF(OR(O770="27 - Instalação concluída",O770="28 - Encerrado"),"OK",IF(NOT(ISNUMBER(X770)),"",IF(X770&gt;365,"MUITO ANTIGO (&gt;1 ano)",IF(X770&gt;180,"ANTIGO (&gt;6 meses)",IF(X770&gt;90,"ATENÇÃO ANTIG. (&gt;3 meses)","OK"))))))</f>
        <v/>
      </c>
      <c r="AA770" s="91"/>
    </row>
    <row r="771" customFormat="false" ht="16.5" hidden="false" customHeight="true" outlineLevel="0" collapsed="false">
      <c r="A771" s="86"/>
      <c r="B771" s="91"/>
      <c r="C771" s="91" t="str">
        <f aca="false">IF(D771="","",IFERROR(INDEX(CADASTRO_VIVO_3CRE!$B$2:$B$150,MATCH(D771,CADASTRO_VIVO_3CRE!$E$2:$E$150,0)),""))</f>
        <v/>
      </c>
      <c r="D771" s="91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8"/>
      <c r="S771" s="92" t="str">
        <f aca="true">IF(R771="","",TODAY()-INT(R771))</f>
        <v/>
      </c>
      <c r="T771" s="86"/>
      <c r="U771" s="86"/>
      <c r="V771" s="86"/>
      <c r="W771" s="88"/>
      <c r="X771" s="92" t="str">
        <f aca="true">IF(W771="","",IF(OR(O771="28 - Encerrado",O771="27 - Instalação concluída"),"Concluído",TODAY()-INT(W771)))</f>
        <v/>
      </c>
      <c r="Y771" s="91" t="str">
        <f aca="false">IF(OR(O771="28 - Encerrado",O771="27 - Instalação concluída"),"OK",IF(AND(B771&lt;&gt;"",S771=""),"ATENÇÃO (Sem data de atualização)",IF(S771="","",IF(S771&gt;30,"CRÍTICO (Sem Atualização &gt;30 dias)",IF(S771&gt;15,"ATENÇÃO (Sem Atualização &gt;15 dias)",IF(X771&gt;90,"CRÍTICO (Aberto &gt;90 dias)","OK"))))))</f>
        <v/>
      </c>
      <c r="Z771" s="90" t="str">
        <f aca="false">IF(B771="","",IF(OR(O771="27 - Instalação concluída",O771="28 - Encerrado"),"OK",IF(NOT(ISNUMBER(X771)),"",IF(X771&gt;365,"MUITO ANTIGO (&gt;1 ano)",IF(X771&gt;180,"ANTIGO (&gt;6 meses)",IF(X771&gt;90,"ATENÇÃO ANTIG. (&gt;3 meses)","OK"))))))</f>
        <v/>
      </c>
      <c r="AA771" s="91"/>
    </row>
    <row r="772" customFormat="false" ht="16.5" hidden="false" customHeight="true" outlineLevel="0" collapsed="false">
      <c r="A772" s="86"/>
      <c r="B772" s="91"/>
      <c r="C772" s="91" t="str">
        <f aca="false">IF(D772="","",IFERROR(INDEX(CADASTRO_VIVO_3CRE!$B$2:$B$150,MATCH(D772,CADASTRO_VIVO_3CRE!$E$2:$E$150,0)),""))</f>
        <v/>
      </c>
      <c r="D772" s="91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8"/>
      <c r="S772" s="92" t="str">
        <f aca="true">IF(R772="","",TODAY()-INT(R772))</f>
        <v/>
      </c>
      <c r="T772" s="86"/>
      <c r="U772" s="86"/>
      <c r="V772" s="86"/>
      <c r="W772" s="88"/>
      <c r="X772" s="92" t="str">
        <f aca="true">IF(W772="","",IF(OR(O772="28 - Encerrado",O772="27 - Instalação concluída"),"Concluído",TODAY()-INT(W772)))</f>
        <v/>
      </c>
      <c r="Y772" s="91" t="str">
        <f aca="false">IF(OR(O772="28 - Encerrado",O772="27 - Instalação concluída"),"OK",IF(AND(B772&lt;&gt;"",S772=""),"ATENÇÃO (Sem data de atualização)",IF(S772="","",IF(S772&gt;30,"CRÍTICO (Sem Atualização &gt;30 dias)",IF(S772&gt;15,"ATENÇÃO (Sem Atualização &gt;15 dias)",IF(X772&gt;90,"CRÍTICO (Aberto &gt;90 dias)","OK"))))))</f>
        <v/>
      </c>
      <c r="Z772" s="90" t="str">
        <f aca="false">IF(B772="","",IF(OR(O772="27 - Instalação concluída",O772="28 - Encerrado"),"OK",IF(NOT(ISNUMBER(X772)),"",IF(X772&gt;365,"MUITO ANTIGO (&gt;1 ano)",IF(X772&gt;180,"ANTIGO (&gt;6 meses)",IF(X772&gt;90,"ATENÇÃO ANTIG. (&gt;3 meses)","OK"))))))</f>
        <v/>
      </c>
      <c r="AA772" s="91"/>
    </row>
    <row r="773" customFormat="false" ht="16.5" hidden="false" customHeight="true" outlineLevel="0" collapsed="false">
      <c r="A773" s="86"/>
      <c r="B773" s="91"/>
      <c r="C773" s="91" t="str">
        <f aca="false">IF(D773="","",IFERROR(INDEX(CADASTRO_VIVO_3CRE!$B$2:$B$150,MATCH(D773,CADASTRO_VIVO_3CRE!$E$2:$E$150,0)),""))</f>
        <v/>
      </c>
      <c r="D773" s="91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8"/>
      <c r="S773" s="92" t="str">
        <f aca="true">IF(R773="","",TODAY()-INT(R773))</f>
        <v/>
      </c>
      <c r="T773" s="86"/>
      <c r="U773" s="86"/>
      <c r="V773" s="86"/>
      <c r="W773" s="88"/>
      <c r="X773" s="92" t="str">
        <f aca="true">IF(W773="","",IF(OR(O773="28 - Encerrado",O773="27 - Instalação concluída"),"Concluído",TODAY()-INT(W773)))</f>
        <v/>
      </c>
      <c r="Y773" s="91" t="str">
        <f aca="false">IF(OR(O773="28 - Encerrado",O773="27 - Instalação concluída"),"OK",IF(AND(B773&lt;&gt;"",S773=""),"ATENÇÃO (Sem data de atualização)",IF(S773="","",IF(S773&gt;30,"CRÍTICO (Sem Atualização &gt;30 dias)",IF(S773&gt;15,"ATENÇÃO (Sem Atualização &gt;15 dias)",IF(X773&gt;90,"CRÍTICO (Aberto &gt;90 dias)","OK"))))))</f>
        <v/>
      </c>
      <c r="Z773" s="90" t="str">
        <f aca="false">IF(B773="","",IF(OR(O773="27 - Instalação concluída",O773="28 - Encerrado"),"OK",IF(NOT(ISNUMBER(X773)),"",IF(X773&gt;365,"MUITO ANTIGO (&gt;1 ano)",IF(X773&gt;180,"ANTIGO (&gt;6 meses)",IF(X773&gt;90,"ATENÇÃO ANTIG. (&gt;3 meses)","OK"))))))</f>
        <v/>
      </c>
      <c r="AA773" s="91"/>
    </row>
    <row r="774" customFormat="false" ht="16.5" hidden="false" customHeight="true" outlineLevel="0" collapsed="false">
      <c r="A774" s="86"/>
      <c r="B774" s="91"/>
      <c r="C774" s="91" t="str">
        <f aca="false">IF(D774="","",IFERROR(INDEX(CADASTRO_VIVO_3CRE!$B$2:$B$150,MATCH(D774,CADASTRO_VIVO_3CRE!$E$2:$E$150,0)),""))</f>
        <v/>
      </c>
      <c r="D774" s="91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8"/>
      <c r="S774" s="92" t="str">
        <f aca="true">IF(R774="","",TODAY()-INT(R774))</f>
        <v/>
      </c>
      <c r="T774" s="86"/>
      <c r="U774" s="86"/>
      <c r="V774" s="86"/>
      <c r="W774" s="88"/>
      <c r="X774" s="92" t="str">
        <f aca="true">IF(W774="","",IF(OR(O774="28 - Encerrado",O774="27 - Instalação concluída"),"Concluído",TODAY()-INT(W774)))</f>
        <v/>
      </c>
      <c r="Y774" s="91" t="str">
        <f aca="false">IF(OR(O774="28 - Encerrado",O774="27 - Instalação concluída"),"OK",IF(AND(B774&lt;&gt;"",S774=""),"ATENÇÃO (Sem data de atualização)",IF(S774="","",IF(S774&gt;30,"CRÍTICO (Sem Atualização &gt;30 dias)",IF(S774&gt;15,"ATENÇÃO (Sem Atualização &gt;15 dias)",IF(X774&gt;90,"CRÍTICO (Aberto &gt;90 dias)","OK"))))))</f>
        <v/>
      </c>
      <c r="Z774" s="90" t="str">
        <f aca="false">IF(B774="","",IF(OR(O774="27 - Instalação concluída",O774="28 - Encerrado"),"OK",IF(NOT(ISNUMBER(X774)),"",IF(X774&gt;365,"MUITO ANTIGO (&gt;1 ano)",IF(X774&gt;180,"ANTIGO (&gt;6 meses)",IF(X774&gt;90,"ATENÇÃO ANTIG. (&gt;3 meses)","OK"))))))</f>
        <v/>
      </c>
      <c r="AA774" s="91"/>
    </row>
    <row r="775" customFormat="false" ht="16.5" hidden="false" customHeight="true" outlineLevel="0" collapsed="false">
      <c r="A775" s="86"/>
      <c r="B775" s="91"/>
      <c r="C775" s="91" t="str">
        <f aca="false">IF(D775="","",IFERROR(INDEX(CADASTRO_VIVO_3CRE!$B$2:$B$150,MATCH(D775,CADASTRO_VIVO_3CRE!$E$2:$E$150,0)),""))</f>
        <v/>
      </c>
      <c r="D775" s="91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8"/>
      <c r="S775" s="92" t="str">
        <f aca="true">IF(R775="","",TODAY()-INT(R775))</f>
        <v/>
      </c>
      <c r="T775" s="86"/>
      <c r="U775" s="86"/>
      <c r="V775" s="86"/>
      <c r="W775" s="88"/>
      <c r="X775" s="92" t="str">
        <f aca="true">IF(W775="","",IF(OR(O775="28 - Encerrado",O775="27 - Instalação concluída"),"Concluído",TODAY()-INT(W775)))</f>
        <v/>
      </c>
      <c r="Y775" s="91" t="str">
        <f aca="false">IF(OR(O775="28 - Encerrado",O775="27 - Instalação concluída"),"OK",IF(AND(B775&lt;&gt;"",S775=""),"ATENÇÃO (Sem data de atualização)",IF(S775="","",IF(S775&gt;30,"CRÍTICO (Sem Atualização &gt;30 dias)",IF(S775&gt;15,"ATENÇÃO (Sem Atualização &gt;15 dias)",IF(X775&gt;90,"CRÍTICO (Aberto &gt;90 dias)","OK"))))))</f>
        <v/>
      </c>
      <c r="Z775" s="90" t="str">
        <f aca="false">IF(B775="","",IF(OR(O775="27 - Instalação concluída",O775="28 - Encerrado"),"OK",IF(NOT(ISNUMBER(X775)),"",IF(X775&gt;365,"MUITO ANTIGO (&gt;1 ano)",IF(X775&gt;180,"ANTIGO (&gt;6 meses)",IF(X775&gt;90,"ATENÇÃO ANTIG. (&gt;3 meses)","OK"))))))</f>
        <v/>
      </c>
      <c r="AA775" s="91"/>
    </row>
    <row r="776" customFormat="false" ht="16.5" hidden="false" customHeight="true" outlineLevel="0" collapsed="false">
      <c r="A776" s="86"/>
      <c r="B776" s="91"/>
      <c r="C776" s="91" t="str">
        <f aca="false">IF(D776="","",IFERROR(INDEX(CADASTRO_VIVO_3CRE!$B$2:$B$150,MATCH(D776,CADASTRO_VIVO_3CRE!$E$2:$E$150,0)),""))</f>
        <v/>
      </c>
      <c r="D776" s="91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8"/>
      <c r="S776" s="92" t="str">
        <f aca="true">IF(R776="","",TODAY()-INT(R776))</f>
        <v/>
      </c>
      <c r="T776" s="86"/>
      <c r="U776" s="86"/>
      <c r="V776" s="86"/>
      <c r="W776" s="88"/>
      <c r="X776" s="92" t="str">
        <f aca="true">IF(W776="","",IF(OR(O776="28 - Encerrado",O776="27 - Instalação concluída"),"Concluído",TODAY()-INT(W776)))</f>
        <v/>
      </c>
      <c r="Y776" s="91" t="str">
        <f aca="false">IF(OR(O776="28 - Encerrado",O776="27 - Instalação concluída"),"OK",IF(AND(B776&lt;&gt;"",S776=""),"ATENÇÃO (Sem data de atualização)",IF(S776="","",IF(S776&gt;30,"CRÍTICO (Sem Atualização &gt;30 dias)",IF(S776&gt;15,"ATENÇÃO (Sem Atualização &gt;15 dias)",IF(X776&gt;90,"CRÍTICO (Aberto &gt;90 dias)","OK"))))))</f>
        <v/>
      </c>
      <c r="Z776" s="90" t="str">
        <f aca="false">IF(B776="","",IF(OR(O776="27 - Instalação concluída",O776="28 - Encerrado"),"OK",IF(NOT(ISNUMBER(X776)),"",IF(X776&gt;365,"MUITO ANTIGO (&gt;1 ano)",IF(X776&gt;180,"ANTIGO (&gt;6 meses)",IF(X776&gt;90,"ATENÇÃO ANTIG. (&gt;3 meses)","OK"))))))</f>
        <v/>
      </c>
      <c r="AA776" s="91"/>
    </row>
    <row r="777" customFormat="false" ht="16.5" hidden="false" customHeight="true" outlineLevel="0" collapsed="false">
      <c r="A777" s="86"/>
      <c r="B777" s="91"/>
      <c r="C777" s="91" t="str">
        <f aca="false">IF(D777="","",IFERROR(INDEX(CADASTRO_VIVO_3CRE!$B$2:$B$150,MATCH(D777,CADASTRO_VIVO_3CRE!$E$2:$E$150,0)),""))</f>
        <v/>
      </c>
      <c r="D777" s="91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8"/>
      <c r="S777" s="92" t="str">
        <f aca="true">IF(R777="","",TODAY()-INT(R777))</f>
        <v/>
      </c>
      <c r="T777" s="86"/>
      <c r="U777" s="86"/>
      <c r="V777" s="86"/>
      <c r="W777" s="88"/>
      <c r="X777" s="92" t="str">
        <f aca="true">IF(W777="","",IF(OR(O777="28 - Encerrado",O777="27 - Instalação concluída"),"Concluído",TODAY()-INT(W777)))</f>
        <v/>
      </c>
      <c r="Y777" s="91" t="str">
        <f aca="false">IF(OR(O777="28 - Encerrado",O777="27 - Instalação concluída"),"OK",IF(AND(B777&lt;&gt;"",S777=""),"ATENÇÃO (Sem data de atualização)",IF(S777="","",IF(S777&gt;30,"CRÍTICO (Sem Atualização &gt;30 dias)",IF(S777&gt;15,"ATENÇÃO (Sem Atualização &gt;15 dias)",IF(X777&gt;90,"CRÍTICO (Aberto &gt;90 dias)","OK"))))))</f>
        <v/>
      </c>
      <c r="Z777" s="90" t="str">
        <f aca="false">IF(B777="","",IF(OR(O777="27 - Instalação concluída",O777="28 - Encerrado"),"OK",IF(NOT(ISNUMBER(X777)),"",IF(X777&gt;365,"MUITO ANTIGO (&gt;1 ano)",IF(X777&gt;180,"ANTIGO (&gt;6 meses)",IF(X777&gt;90,"ATENÇÃO ANTIG. (&gt;3 meses)","OK"))))))</f>
        <v/>
      </c>
      <c r="AA777" s="91"/>
    </row>
    <row r="778" customFormat="false" ht="16.5" hidden="false" customHeight="true" outlineLevel="0" collapsed="false">
      <c r="A778" s="86"/>
      <c r="B778" s="91"/>
      <c r="C778" s="91" t="str">
        <f aca="false">IF(D778="","",IFERROR(INDEX(CADASTRO_VIVO_3CRE!$B$2:$B$150,MATCH(D778,CADASTRO_VIVO_3CRE!$E$2:$E$150,0)),""))</f>
        <v/>
      </c>
      <c r="D778" s="91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8"/>
      <c r="S778" s="92" t="str">
        <f aca="true">IF(R778="","",TODAY()-INT(R778))</f>
        <v/>
      </c>
      <c r="T778" s="86"/>
      <c r="U778" s="86"/>
      <c r="V778" s="86"/>
      <c r="W778" s="88"/>
      <c r="X778" s="92" t="str">
        <f aca="true">IF(W778="","",IF(OR(O778="28 - Encerrado",O778="27 - Instalação concluída"),"Concluído",TODAY()-INT(W778)))</f>
        <v/>
      </c>
      <c r="Y778" s="91" t="str">
        <f aca="false">IF(OR(O778="28 - Encerrado",O778="27 - Instalação concluída"),"OK",IF(AND(B778&lt;&gt;"",S778=""),"ATENÇÃO (Sem data de atualização)",IF(S778="","",IF(S778&gt;30,"CRÍTICO (Sem Atualização &gt;30 dias)",IF(S778&gt;15,"ATENÇÃO (Sem Atualização &gt;15 dias)",IF(X778&gt;90,"CRÍTICO (Aberto &gt;90 dias)","OK"))))))</f>
        <v/>
      </c>
      <c r="Z778" s="90" t="str">
        <f aca="false">IF(B778="","",IF(OR(O778="27 - Instalação concluída",O778="28 - Encerrado"),"OK",IF(NOT(ISNUMBER(X778)),"",IF(X778&gt;365,"MUITO ANTIGO (&gt;1 ano)",IF(X778&gt;180,"ANTIGO (&gt;6 meses)",IF(X778&gt;90,"ATENÇÃO ANTIG. (&gt;3 meses)","OK"))))))</f>
        <v/>
      </c>
      <c r="AA778" s="91"/>
    </row>
    <row r="779" customFormat="false" ht="16.5" hidden="false" customHeight="true" outlineLevel="0" collapsed="false">
      <c r="A779" s="86"/>
      <c r="B779" s="91"/>
      <c r="C779" s="91" t="str">
        <f aca="false">IF(D779="","",IFERROR(INDEX(CADASTRO_VIVO_3CRE!$B$2:$B$150,MATCH(D779,CADASTRO_VIVO_3CRE!$E$2:$E$150,0)),""))</f>
        <v/>
      </c>
      <c r="D779" s="91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8"/>
      <c r="S779" s="92" t="str">
        <f aca="true">IF(R779="","",TODAY()-INT(R779))</f>
        <v/>
      </c>
      <c r="T779" s="86"/>
      <c r="U779" s="86"/>
      <c r="V779" s="86"/>
      <c r="W779" s="88"/>
      <c r="X779" s="92" t="str">
        <f aca="true">IF(W779="","",IF(OR(O779="28 - Encerrado",O779="27 - Instalação concluída"),"Concluído",TODAY()-INT(W779)))</f>
        <v/>
      </c>
      <c r="Y779" s="91" t="str">
        <f aca="false">IF(OR(O779="28 - Encerrado",O779="27 - Instalação concluída"),"OK",IF(AND(B779&lt;&gt;"",S779=""),"ATENÇÃO (Sem data de atualização)",IF(S779="","",IF(S779&gt;30,"CRÍTICO (Sem Atualização &gt;30 dias)",IF(S779&gt;15,"ATENÇÃO (Sem Atualização &gt;15 dias)",IF(X779&gt;90,"CRÍTICO (Aberto &gt;90 dias)","OK"))))))</f>
        <v/>
      </c>
      <c r="Z779" s="90" t="str">
        <f aca="false">IF(B779="","",IF(OR(O779="27 - Instalação concluída",O779="28 - Encerrado"),"OK",IF(NOT(ISNUMBER(X779)),"",IF(X779&gt;365,"MUITO ANTIGO (&gt;1 ano)",IF(X779&gt;180,"ANTIGO (&gt;6 meses)",IF(X779&gt;90,"ATENÇÃO ANTIG. (&gt;3 meses)","OK"))))))</f>
        <v/>
      </c>
      <c r="AA779" s="91"/>
    </row>
    <row r="780" customFormat="false" ht="16.5" hidden="false" customHeight="true" outlineLevel="0" collapsed="false">
      <c r="A780" s="86"/>
      <c r="B780" s="91"/>
      <c r="C780" s="91" t="str">
        <f aca="false">IF(D780="","",IFERROR(INDEX(CADASTRO_VIVO_3CRE!$B$2:$B$150,MATCH(D780,CADASTRO_VIVO_3CRE!$E$2:$E$150,0)),""))</f>
        <v/>
      </c>
      <c r="D780" s="91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8"/>
      <c r="S780" s="92" t="str">
        <f aca="true">IF(R780="","",TODAY()-INT(R780))</f>
        <v/>
      </c>
      <c r="T780" s="86"/>
      <c r="U780" s="86"/>
      <c r="V780" s="86"/>
      <c r="W780" s="88"/>
      <c r="X780" s="92" t="str">
        <f aca="true">IF(W780="","",IF(OR(O780="28 - Encerrado",O780="27 - Instalação concluída"),"Concluído",TODAY()-INT(W780)))</f>
        <v/>
      </c>
      <c r="Y780" s="91" t="str">
        <f aca="false">IF(OR(O780="28 - Encerrado",O780="27 - Instalação concluída"),"OK",IF(AND(B780&lt;&gt;"",S780=""),"ATENÇÃO (Sem data de atualização)",IF(S780="","",IF(S780&gt;30,"CRÍTICO (Sem Atualização &gt;30 dias)",IF(S780&gt;15,"ATENÇÃO (Sem Atualização &gt;15 dias)",IF(X780&gt;90,"CRÍTICO (Aberto &gt;90 dias)","OK"))))))</f>
        <v/>
      </c>
      <c r="Z780" s="90" t="str">
        <f aca="false">IF(B780="","",IF(OR(O780="27 - Instalação concluída",O780="28 - Encerrado"),"OK",IF(NOT(ISNUMBER(X780)),"",IF(X780&gt;365,"MUITO ANTIGO (&gt;1 ano)",IF(X780&gt;180,"ANTIGO (&gt;6 meses)",IF(X780&gt;90,"ATENÇÃO ANTIG. (&gt;3 meses)","OK"))))))</f>
        <v/>
      </c>
      <c r="AA780" s="91"/>
    </row>
    <row r="781" customFormat="false" ht="16.5" hidden="false" customHeight="true" outlineLevel="0" collapsed="false">
      <c r="A781" s="86"/>
      <c r="B781" s="91"/>
      <c r="C781" s="91" t="str">
        <f aca="false">IF(D781="","",IFERROR(INDEX(CADASTRO_VIVO_3CRE!$B$2:$B$150,MATCH(D781,CADASTRO_VIVO_3CRE!$E$2:$E$150,0)),""))</f>
        <v/>
      </c>
      <c r="D781" s="91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8"/>
      <c r="S781" s="92" t="str">
        <f aca="true">IF(R781="","",TODAY()-INT(R781))</f>
        <v/>
      </c>
      <c r="T781" s="86"/>
      <c r="U781" s="86"/>
      <c r="V781" s="86"/>
      <c r="W781" s="88"/>
      <c r="X781" s="92" t="str">
        <f aca="true">IF(W781="","",IF(OR(O781="28 - Encerrado",O781="27 - Instalação concluída"),"Concluído",TODAY()-INT(W781)))</f>
        <v/>
      </c>
      <c r="Y781" s="91" t="str">
        <f aca="false">IF(OR(O781="28 - Encerrado",O781="27 - Instalação concluída"),"OK",IF(AND(B781&lt;&gt;"",S781=""),"ATENÇÃO (Sem data de atualização)",IF(S781="","",IF(S781&gt;30,"CRÍTICO (Sem Atualização &gt;30 dias)",IF(S781&gt;15,"ATENÇÃO (Sem Atualização &gt;15 dias)",IF(X781&gt;90,"CRÍTICO (Aberto &gt;90 dias)","OK"))))))</f>
        <v/>
      </c>
      <c r="Z781" s="90" t="str">
        <f aca="false">IF(B781="","",IF(OR(O781="27 - Instalação concluída",O781="28 - Encerrado"),"OK",IF(NOT(ISNUMBER(X781)),"",IF(X781&gt;365,"MUITO ANTIGO (&gt;1 ano)",IF(X781&gt;180,"ANTIGO (&gt;6 meses)",IF(X781&gt;90,"ATENÇÃO ANTIG. (&gt;3 meses)","OK"))))))</f>
        <v/>
      </c>
      <c r="AA781" s="91"/>
    </row>
    <row r="782" customFormat="false" ht="16.5" hidden="false" customHeight="true" outlineLevel="0" collapsed="false">
      <c r="A782" s="86"/>
      <c r="B782" s="91"/>
      <c r="C782" s="91" t="str">
        <f aca="false">IF(D782="","",IFERROR(INDEX(CADASTRO_VIVO_3CRE!$B$2:$B$150,MATCH(D782,CADASTRO_VIVO_3CRE!$E$2:$E$150,0)),""))</f>
        <v/>
      </c>
      <c r="D782" s="91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8"/>
      <c r="S782" s="92" t="str">
        <f aca="true">IF(R782="","",TODAY()-INT(R782))</f>
        <v/>
      </c>
      <c r="T782" s="86"/>
      <c r="U782" s="86"/>
      <c r="V782" s="86"/>
      <c r="W782" s="88"/>
      <c r="X782" s="92" t="str">
        <f aca="true">IF(W782="","",IF(OR(O782="28 - Encerrado",O782="27 - Instalação concluída"),"Concluído",TODAY()-INT(W782)))</f>
        <v/>
      </c>
      <c r="Y782" s="91" t="str">
        <f aca="false">IF(OR(O782="28 - Encerrado",O782="27 - Instalação concluída"),"OK",IF(AND(B782&lt;&gt;"",S782=""),"ATENÇÃO (Sem data de atualização)",IF(S782="","",IF(S782&gt;30,"CRÍTICO (Sem Atualização &gt;30 dias)",IF(S782&gt;15,"ATENÇÃO (Sem Atualização &gt;15 dias)",IF(X782&gt;90,"CRÍTICO (Aberto &gt;90 dias)","OK"))))))</f>
        <v/>
      </c>
      <c r="Z782" s="90" t="str">
        <f aca="false">IF(B782="","",IF(OR(O782="27 - Instalação concluída",O782="28 - Encerrado"),"OK",IF(NOT(ISNUMBER(X782)),"",IF(X782&gt;365,"MUITO ANTIGO (&gt;1 ano)",IF(X782&gt;180,"ANTIGO (&gt;6 meses)",IF(X782&gt;90,"ATENÇÃO ANTIG. (&gt;3 meses)","OK"))))))</f>
        <v/>
      </c>
      <c r="AA782" s="91"/>
    </row>
    <row r="783" customFormat="false" ht="16.5" hidden="false" customHeight="true" outlineLevel="0" collapsed="false">
      <c r="A783" s="86"/>
      <c r="B783" s="91"/>
      <c r="C783" s="91" t="str">
        <f aca="false">IF(D783="","",IFERROR(INDEX(CADASTRO_VIVO_3CRE!$B$2:$B$150,MATCH(D783,CADASTRO_VIVO_3CRE!$E$2:$E$150,0)),""))</f>
        <v/>
      </c>
      <c r="D783" s="91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8"/>
      <c r="S783" s="92" t="str">
        <f aca="true">IF(R783="","",TODAY()-INT(R783))</f>
        <v/>
      </c>
      <c r="T783" s="86"/>
      <c r="U783" s="86"/>
      <c r="V783" s="86"/>
      <c r="W783" s="88"/>
      <c r="X783" s="92" t="str">
        <f aca="true">IF(W783="","",IF(OR(O783="28 - Encerrado",O783="27 - Instalação concluída"),"Concluído",TODAY()-INT(W783)))</f>
        <v/>
      </c>
      <c r="Y783" s="91" t="str">
        <f aca="false">IF(OR(O783="28 - Encerrado",O783="27 - Instalação concluída"),"OK",IF(AND(B783&lt;&gt;"",S783=""),"ATENÇÃO (Sem data de atualização)",IF(S783="","",IF(S783&gt;30,"CRÍTICO (Sem Atualização &gt;30 dias)",IF(S783&gt;15,"ATENÇÃO (Sem Atualização &gt;15 dias)",IF(X783&gt;90,"CRÍTICO (Aberto &gt;90 dias)","OK"))))))</f>
        <v/>
      </c>
      <c r="Z783" s="90" t="str">
        <f aca="false">IF(B783="","",IF(OR(O783="27 - Instalação concluída",O783="28 - Encerrado"),"OK",IF(NOT(ISNUMBER(X783)),"",IF(X783&gt;365,"MUITO ANTIGO (&gt;1 ano)",IF(X783&gt;180,"ANTIGO (&gt;6 meses)",IF(X783&gt;90,"ATENÇÃO ANTIG. (&gt;3 meses)","OK"))))))</f>
        <v/>
      </c>
      <c r="AA783" s="91"/>
    </row>
    <row r="784" customFormat="false" ht="16.5" hidden="false" customHeight="true" outlineLevel="0" collapsed="false">
      <c r="A784" s="86"/>
      <c r="B784" s="91"/>
      <c r="C784" s="91" t="str">
        <f aca="false">IF(D784="","",IFERROR(INDEX(CADASTRO_VIVO_3CRE!$B$2:$B$150,MATCH(D784,CADASTRO_VIVO_3CRE!$E$2:$E$150,0)),""))</f>
        <v/>
      </c>
      <c r="D784" s="91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8"/>
      <c r="S784" s="92" t="str">
        <f aca="true">IF(R784="","",TODAY()-INT(R784))</f>
        <v/>
      </c>
      <c r="T784" s="86"/>
      <c r="U784" s="86"/>
      <c r="V784" s="86"/>
      <c r="W784" s="88"/>
      <c r="X784" s="92" t="str">
        <f aca="true">IF(W784="","",IF(OR(O784="28 - Encerrado",O784="27 - Instalação concluída"),"Concluído",TODAY()-INT(W784)))</f>
        <v/>
      </c>
      <c r="Y784" s="91" t="str">
        <f aca="false">IF(OR(O784="28 - Encerrado",O784="27 - Instalação concluída"),"OK",IF(AND(B784&lt;&gt;"",S784=""),"ATENÇÃO (Sem data de atualização)",IF(S784="","",IF(S784&gt;30,"CRÍTICO (Sem Atualização &gt;30 dias)",IF(S784&gt;15,"ATENÇÃO (Sem Atualização &gt;15 dias)",IF(X784&gt;90,"CRÍTICO (Aberto &gt;90 dias)","OK"))))))</f>
        <v/>
      </c>
      <c r="Z784" s="90" t="str">
        <f aca="false">IF(B784="","",IF(OR(O784="27 - Instalação concluída",O784="28 - Encerrado"),"OK",IF(NOT(ISNUMBER(X784)),"",IF(X784&gt;365,"MUITO ANTIGO (&gt;1 ano)",IF(X784&gt;180,"ANTIGO (&gt;6 meses)",IF(X784&gt;90,"ATENÇÃO ANTIG. (&gt;3 meses)","OK"))))))</f>
        <v/>
      </c>
      <c r="AA784" s="91"/>
    </row>
    <row r="785" customFormat="false" ht="16.5" hidden="false" customHeight="true" outlineLevel="0" collapsed="false">
      <c r="A785" s="86"/>
      <c r="B785" s="91"/>
      <c r="C785" s="91" t="str">
        <f aca="false">IF(D785="","",IFERROR(INDEX(CADASTRO_VIVO_3CRE!$B$2:$B$150,MATCH(D785,CADASTRO_VIVO_3CRE!$E$2:$E$150,0)),""))</f>
        <v/>
      </c>
      <c r="D785" s="91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8"/>
      <c r="S785" s="92" t="str">
        <f aca="true">IF(R785="","",TODAY()-INT(R785))</f>
        <v/>
      </c>
      <c r="T785" s="86"/>
      <c r="U785" s="86"/>
      <c r="V785" s="86"/>
      <c r="W785" s="88"/>
      <c r="X785" s="92" t="str">
        <f aca="true">IF(W785="","",IF(OR(O785="28 - Encerrado",O785="27 - Instalação concluída"),"Concluído",TODAY()-INT(W785)))</f>
        <v/>
      </c>
      <c r="Y785" s="91" t="str">
        <f aca="false">IF(OR(O785="28 - Encerrado",O785="27 - Instalação concluída"),"OK",IF(AND(B785&lt;&gt;"",S785=""),"ATENÇÃO (Sem data de atualização)",IF(S785="","",IF(S785&gt;30,"CRÍTICO (Sem Atualização &gt;30 dias)",IF(S785&gt;15,"ATENÇÃO (Sem Atualização &gt;15 dias)",IF(X785&gt;90,"CRÍTICO (Aberto &gt;90 dias)","OK"))))))</f>
        <v/>
      </c>
      <c r="Z785" s="90" t="str">
        <f aca="false">IF(B785="","",IF(OR(O785="27 - Instalação concluída",O785="28 - Encerrado"),"OK",IF(NOT(ISNUMBER(X785)),"",IF(X785&gt;365,"MUITO ANTIGO (&gt;1 ano)",IF(X785&gt;180,"ANTIGO (&gt;6 meses)",IF(X785&gt;90,"ATENÇÃO ANTIG. (&gt;3 meses)","OK"))))))</f>
        <v/>
      </c>
      <c r="AA785" s="91"/>
    </row>
    <row r="786" customFormat="false" ht="16.5" hidden="false" customHeight="true" outlineLevel="0" collapsed="false">
      <c r="A786" s="86"/>
      <c r="B786" s="91"/>
      <c r="C786" s="91" t="str">
        <f aca="false">IF(D786="","",IFERROR(INDEX(CADASTRO_VIVO_3CRE!$B$2:$B$150,MATCH(D786,CADASTRO_VIVO_3CRE!$E$2:$E$150,0)),""))</f>
        <v/>
      </c>
      <c r="D786" s="91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8"/>
      <c r="S786" s="92" t="str">
        <f aca="true">IF(R786="","",TODAY()-INT(R786))</f>
        <v/>
      </c>
      <c r="T786" s="86"/>
      <c r="U786" s="86"/>
      <c r="V786" s="86"/>
      <c r="W786" s="88"/>
      <c r="X786" s="92" t="str">
        <f aca="true">IF(W786="","",IF(OR(O786="28 - Encerrado",O786="27 - Instalação concluída"),"Concluído",TODAY()-INT(W786)))</f>
        <v/>
      </c>
      <c r="Y786" s="91" t="str">
        <f aca="false">IF(OR(O786="28 - Encerrado",O786="27 - Instalação concluída"),"OK",IF(AND(B786&lt;&gt;"",S786=""),"ATENÇÃO (Sem data de atualização)",IF(S786="","",IF(S786&gt;30,"CRÍTICO (Sem Atualização &gt;30 dias)",IF(S786&gt;15,"ATENÇÃO (Sem Atualização &gt;15 dias)",IF(X786&gt;90,"CRÍTICO (Aberto &gt;90 dias)","OK"))))))</f>
        <v/>
      </c>
      <c r="Z786" s="90" t="str">
        <f aca="false">IF(B786="","",IF(OR(O786="27 - Instalação concluída",O786="28 - Encerrado"),"OK",IF(NOT(ISNUMBER(X786)),"",IF(X786&gt;365,"MUITO ANTIGO (&gt;1 ano)",IF(X786&gt;180,"ANTIGO (&gt;6 meses)",IF(X786&gt;90,"ATENÇÃO ANTIG. (&gt;3 meses)","OK"))))))</f>
        <v/>
      </c>
      <c r="AA786" s="91"/>
    </row>
    <row r="787" customFormat="false" ht="16.5" hidden="false" customHeight="true" outlineLevel="0" collapsed="false">
      <c r="A787" s="86"/>
      <c r="B787" s="91"/>
      <c r="C787" s="91" t="str">
        <f aca="false">IF(D787="","",IFERROR(INDEX(CADASTRO_VIVO_3CRE!$B$2:$B$150,MATCH(D787,CADASTRO_VIVO_3CRE!$E$2:$E$150,0)),""))</f>
        <v/>
      </c>
      <c r="D787" s="91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8"/>
      <c r="S787" s="92" t="str">
        <f aca="true">IF(R787="","",TODAY()-INT(R787))</f>
        <v/>
      </c>
      <c r="T787" s="86"/>
      <c r="U787" s="86"/>
      <c r="V787" s="86"/>
      <c r="W787" s="88"/>
      <c r="X787" s="92" t="str">
        <f aca="true">IF(W787="","",IF(OR(O787="28 - Encerrado",O787="27 - Instalação concluída"),"Concluído",TODAY()-INT(W787)))</f>
        <v/>
      </c>
      <c r="Y787" s="91" t="str">
        <f aca="false">IF(OR(O787="28 - Encerrado",O787="27 - Instalação concluída"),"OK",IF(AND(B787&lt;&gt;"",S787=""),"ATENÇÃO (Sem data de atualização)",IF(S787="","",IF(S787&gt;30,"CRÍTICO (Sem Atualização &gt;30 dias)",IF(S787&gt;15,"ATENÇÃO (Sem Atualização &gt;15 dias)",IF(X787&gt;90,"CRÍTICO (Aberto &gt;90 dias)","OK"))))))</f>
        <v/>
      </c>
      <c r="Z787" s="90" t="str">
        <f aca="false">IF(B787="","",IF(OR(O787="27 - Instalação concluída",O787="28 - Encerrado"),"OK",IF(NOT(ISNUMBER(X787)),"",IF(X787&gt;365,"MUITO ANTIGO (&gt;1 ano)",IF(X787&gt;180,"ANTIGO (&gt;6 meses)",IF(X787&gt;90,"ATENÇÃO ANTIG. (&gt;3 meses)","OK"))))))</f>
        <v/>
      </c>
      <c r="AA787" s="91"/>
    </row>
    <row r="788" customFormat="false" ht="16.5" hidden="false" customHeight="true" outlineLevel="0" collapsed="false">
      <c r="A788" s="86"/>
      <c r="B788" s="91"/>
      <c r="C788" s="91" t="str">
        <f aca="false">IF(D788="","",IFERROR(INDEX(CADASTRO_VIVO_3CRE!$B$2:$B$150,MATCH(D788,CADASTRO_VIVO_3CRE!$E$2:$E$150,0)),""))</f>
        <v/>
      </c>
      <c r="D788" s="91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8"/>
      <c r="S788" s="92" t="str">
        <f aca="true">IF(R788="","",TODAY()-INT(R788))</f>
        <v/>
      </c>
      <c r="T788" s="86"/>
      <c r="U788" s="86"/>
      <c r="V788" s="86"/>
      <c r="W788" s="88"/>
      <c r="X788" s="92" t="str">
        <f aca="true">IF(W788="","",IF(OR(O788="28 - Encerrado",O788="27 - Instalação concluída"),"Concluído",TODAY()-INT(W788)))</f>
        <v/>
      </c>
      <c r="Y788" s="91" t="str">
        <f aca="false">IF(OR(O788="28 - Encerrado",O788="27 - Instalação concluída"),"OK",IF(AND(B788&lt;&gt;"",S788=""),"ATENÇÃO (Sem data de atualização)",IF(S788="","",IF(S788&gt;30,"CRÍTICO (Sem Atualização &gt;30 dias)",IF(S788&gt;15,"ATENÇÃO (Sem Atualização &gt;15 dias)",IF(X788&gt;90,"CRÍTICO (Aberto &gt;90 dias)","OK"))))))</f>
        <v/>
      </c>
      <c r="Z788" s="90" t="str">
        <f aca="false">IF(B788="","",IF(OR(O788="27 - Instalação concluída",O788="28 - Encerrado"),"OK",IF(NOT(ISNUMBER(X788)),"",IF(X788&gt;365,"MUITO ANTIGO (&gt;1 ano)",IF(X788&gt;180,"ANTIGO (&gt;6 meses)",IF(X788&gt;90,"ATENÇÃO ANTIG. (&gt;3 meses)","OK"))))))</f>
        <v/>
      </c>
      <c r="AA788" s="91"/>
    </row>
    <row r="789" customFormat="false" ht="16.5" hidden="false" customHeight="true" outlineLevel="0" collapsed="false">
      <c r="A789" s="86"/>
      <c r="B789" s="91"/>
      <c r="C789" s="91" t="str">
        <f aca="false">IF(D789="","",IFERROR(INDEX(CADASTRO_VIVO_3CRE!$B$2:$B$150,MATCH(D789,CADASTRO_VIVO_3CRE!$E$2:$E$150,0)),""))</f>
        <v/>
      </c>
      <c r="D789" s="91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8"/>
      <c r="S789" s="92" t="str">
        <f aca="true">IF(R789="","",TODAY()-INT(R789))</f>
        <v/>
      </c>
      <c r="T789" s="86"/>
      <c r="U789" s="86"/>
      <c r="V789" s="86"/>
      <c r="W789" s="88"/>
      <c r="X789" s="92" t="str">
        <f aca="true">IF(W789="","",IF(OR(O789="28 - Encerrado",O789="27 - Instalação concluída"),"Concluído",TODAY()-INT(W789)))</f>
        <v/>
      </c>
      <c r="Y789" s="91" t="str">
        <f aca="false">IF(OR(O789="28 - Encerrado",O789="27 - Instalação concluída"),"OK",IF(AND(B789&lt;&gt;"",S789=""),"ATENÇÃO (Sem data de atualização)",IF(S789="","",IF(S789&gt;30,"CRÍTICO (Sem Atualização &gt;30 dias)",IF(S789&gt;15,"ATENÇÃO (Sem Atualização &gt;15 dias)",IF(X789&gt;90,"CRÍTICO (Aberto &gt;90 dias)","OK"))))))</f>
        <v/>
      </c>
      <c r="Z789" s="90" t="str">
        <f aca="false">IF(B789="","",IF(OR(O789="27 - Instalação concluída",O789="28 - Encerrado"),"OK",IF(NOT(ISNUMBER(X789)),"",IF(X789&gt;365,"MUITO ANTIGO (&gt;1 ano)",IF(X789&gt;180,"ANTIGO (&gt;6 meses)",IF(X789&gt;90,"ATENÇÃO ANTIG. (&gt;3 meses)","OK"))))))</f>
        <v/>
      </c>
      <c r="AA789" s="91"/>
    </row>
    <row r="790" customFormat="false" ht="16.5" hidden="false" customHeight="true" outlineLevel="0" collapsed="false">
      <c r="A790" s="86"/>
      <c r="B790" s="91"/>
      <c r="C790" s="91" t="str">
        <f aca="false">IF(D790="","",IFERROR(INDEX(CADASTRO_VIVO_3CRE!$B$2:$B$150,MATCH(D790,CADASTRO_VIVO_3CRE!$E$2:$E$150,0)),""))</f>
        <v/>
      </c>
      <c r="D790" s="91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8"/>
      <c r="S790" s="92" t="str">
        <f aca="true">IF(R790="","",TODAY()-INT(R790))</f>
        <v/>
      </c>
      <c r="T790" s="86"/>
      <c r="U790" s="86"/>
      <c r="V790" s="86"/>
      <c r="W790" s="88"/>
      <c r="X790" s="92" t="str">
        <f aca="true">IF(W790="","",IF(OR(O790="28 - Encerrado",O790="27 - Instalação concluída"),"Concluído",TODAY()-INT(W790)))</f>
        <v/>
      </c>
      <c r="Y790" s="91" t="str">
        <f aca="false">IF(OR(O790="28 - Encerrado",O790="27 - Instalação concluída"),"OK",IF(AND(B790&lt;&gt;"",S790=""),"ATENÇÃO (Sem data de atualização)",IF(S790="","",IF(S790&gt;30,"CRÍTICO (Sem Atualização &gt;30 dias)",IF(S790&gt;15,"ATENÇÃO (Sem Atualização &gt;15 dias)",IF(X790&gt;90,"CRÍTICO (Aberto &gt;90 dias)","OK"))))))</f>
        <v/>
      </c>
      <c r="Z790" s="90" t="str">
        <f aca="false">IF(B790="","",IF(OR(O790="27 - Instalação concluída",O790="28 - Encerrado"),"OK",IF(NOT(ISNUMBER(X790)),"",IF(X790&gt;365,"MUITO ANTIGO (&gt;1 ano)",IF(X790&gt;180,"ANTIGO (&gt;6 meses)",IF(X790&gt;90,"ATENÇÃO ANTIG. (&gt;3 meses)","OK"))))))</f>
        <v/>
      </c>
      <c r="AA790" s="91"/>
    </row>
    <row r="791" customFormat="false" ht="16.5" hidden="false" customHeight="true" outlineLevel="0" collapsed="false">
      <c r="A791" s="86"/>
      <c r="B791" s="91"/>
      <c r="C791" s="91" t="str">
        <f aca="false">IF(D791="","",IFERROR(INDEX(CADASTRO_VIVO_3CRE!$B$2:$B$150,MATCH(D791,CADASTRO_VIVO_3CRE!$E$2:$E$150,0)),""))</f>
        <v/>
      </c>
      <c r="D791" s="91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8"/>
      <c r="S791" s="92" t="str">
        <f aca="true">IF(R791="","",TODAY()-INT(R791))</f>
        <v/>
      </c>
      <c r="T791" s="86"/>
      <c r="U791" s="86"/>
      <c r="V791" s="86"/>
      <c r="W791" s="88"/>
      <c r="X791" s="92" t="str">
        <f aca="true">IF(W791="","",IF(OR(O791="28 - Encerrado",O791="27 - Instalação concluída"),"Concluído",TODAY()-INT(W791)))</f>
        <v/>
      </c>
      <c r="Y791" s="91" t="str">
        <f aca="false">IF(OR(O791="28 - Encerrado",O791="27 - Instalação concluída"),"OK",IF(AND(B791&lt;&gt;"",S791=""),"ATENÇÃO (Sem data de atualização)",IF(S791="","",IF(S791&gt;30,"CRÍTICO (Sem Atualização &gt;30 dias)",IF(S791&gt;15,"ATENÇÃO (Sem Atualização &gt;15 dias)",IF(X791&gt;90,"CRÍTICO (Aberto &gt;90 dias)","OK"))))))</f>
        <v/>
      </c>
      <c r="Z791" s="90" t="str">
        <f aca="false">IF(B791="","",IF(OR(O791="27 - Instalação concluída",O791="28 - Encerrado"),"OK",IF(NOT(ISNUMBER(X791)),"",IF(X791&gt;365,"MUITO ANTIGO (&gt;1 ano)",IF(X791&gt;180,"ANTIGO (&gt;6 meses)",IF(X791&gt;90,"ATENÇÃO ANTIG. (&gt;3 meses)","OK"))))))</f>
        <v/>
      </c>
      <c r="AA791" s="91"/>
    </row>
    <row r="792" customFormat="false" ht="16.5" hidden="false" customHeight="true" outlineLevel="0" collapsed="false">
      <c r="A792" s="86"/>
      <c r="B792" s="91"/>
      <c r="C792" s="91" t="str">
        <f aca="false">IF(D792="","",IFERROR(INDEX(CADASTRO_VIVO_3CRE!$B$2:$B$150,MATCH(D792,CADASTRO_VIVO_3CRE!$E$2:$E$150,0)),""))</f>
        <v/>
      </c>
      <c r="D792" s="91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8"/>
      <c r="S792" s="92" t="str">
        <f aca="true">IF(R792="","",TODAY()-INT(R792))</f>
        <v/>
      </c>
      <c r="T792" s="86"/>
      <c r="U792" s="86"/>
      <c r="V792" s="86"/>
      <c r="W792" s="88"/>
      <c r="X792" s="92" t="str">
        <f aca="true">IF(W792="","",IF(OR(O792="28 - Encerrado",O792="27 - Instalação concluída"),"Concluído",TODAY()-INT(W792)))</f>
        <v/>
      </c>
      <c r="Y792" s="91" t="str">
        <f aca="false">IF(OR(O792="28 - Encerrado",O792="27 - Instalação concluída"),"OK",IF(AND(B792&lt;&gt;"",S792=""),"ATENÇÃO (Sem data de atualização)",IF(S792="","",IF(S792&gt;30,"CRÍTICO (Sem Atualização &gt;30 dias)",IF(S792&gt;15,"ATENÇÃO (Sem Atualização &gt;15 dias)",IF(X792&gt;90,"CRÍTICO (Aberto &gt;90 dias)","OK"))))))</f>
        <v/>
      </c>
      <c r="Z792" s="90" t="str">
        <f aca="false">IF(B792="","",IF(OR(O792="27 - Instalação concluída",O792="28 - Encerrado"),"OK",IF(NOT(ISNUMBER(X792)),"",IF(X792&gt;365,"MUITO ANTIGO (&gt;1 ano)",IF(X792&gt;180,"ANTIGO (&gt;6 meses)",IF(X792&gt;90,"ATENÇÃO ANTIG. (&gt;3 meses)","OK"))))))</f>
        <v/>
      </c>
      <c r="AA792" s="91"/>
    </row>
    <row r="793" customFormat="false" ht="16.5" hidden="false" customHeight="true" outlineLevel="0" collapsed="false">
      <c r="A793" s="86"/>
      <c r="B793" s="91"/>
      <c r="C793" s="91" t="str">
        <f aca="false">IF(D793="","",IFERROR(INDEX(CADASTRO_VIVO_3CRE!$B$2:$B$150,MATCH(D793,CADASTRO_VIVO_3CRE!$E$2:$E$150,0)),""))</f>
        <v/>
      </c>
      <c r="D793" s="91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8"/>
      <c r="S793" s="92" t="str">
        <f aca="true">IF(R793="","",TODAY()-INT(R793))</f>
        <v/>
      </c>
      <c r="T793" s="86"/>
      <c r="U793" s="86"/>
      <c r="V793" s="86"/>
      <c r="W793" s="88"/>
      <c r="X793" s="92" t="str">
        <f aca="true">IF(W793="","",IF(OR(O793="28 - Encerrado",O793="27 - Instalação concluída"),"Concluído",TODAY()-INT(W793)))</f>
        <v/>
      </c>
      <c r="Y793" s="91" t="str">
        <f aca="false">IF(OR(O793="28 - Encerrado",O793="27 - Instalação concluída"),"OK",IF(AND(B793&lt;&gt;"",S793=""),"ATENÇÃO (Sem data de atualização)",IF(S793="","",IF(S793&gt;30,"CRÍTICO (Sem Atualização &gt;30 dias)",IF(S793&gt;15,"ATENÇÃO (Sem Atualização &gt;15 dias)",IF(X793&gt;90,"CRÍTICO (Aberto &gt;90 dias)","OK"))))))</f>
        <v/>
      </c>
      <c r="Z793" s="90" t="str">
        <f aca="false">IF(B793="","",IF(OR(O793="27 - Instalação concluída",O793="28 - Encerrado"),"OK",IF(NOT(ISNUMBER(X793)),"",IF(X793&gt;365,"MUITO ANTIGO (&gt;1 ano)",IF(X793&gt;180,"ANTIGO (&gt;6 meses)",IF(X793&gt;90,"ATENÇÃO ANTIG. (&gt;3 meses)","OK"))))))</f>
        <v/>
      </c>
      <c r="AA793" s="91"/>
    </row>
    <row r="794" customFormat="false" ht="16.5" hidden="false" customHeight="true" outlineLevel="0" collapsed="false">
      <c r="A794" s="86"/>
      <c r="B794" s="91"/>
      <c r="C794" s="91" t="str">
        <f aca="false">IF(D794="","",IFERROR(INDEX(CADASTRO_VIVO_3CRE!$B$2:$B$150,MATCH(D794,CADASTRO_VIVO_3CRE!$E$2:$E$150,0)),""))</f>
        <v/>
      </c>
      <c r="D794" s="91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8"/>
      <c r="S794" s="92" t="str">
        <f aca="true">IF(R794="","",TODAY()-INT(R794))</f>
        <v/>
      </c>
      <c r="T794" s="86"/>
      <c r="U794" s="86"/>
      <c r="V794" s="86"/>
      <c r="W794" s="88"/>
      <c r="X794" s="92" t="str">
        <f aca="true">IF(W794="","",IF(OR(O794="28 - Encerrado",O794="27 - Instalação concluída"),"Concluído",TODAY()-INT(W794)))</f>
        <v/>
      </c>
      <c r="Y794" s="91" t="str">
        <f aca="false">IF(OR(O794="28 - Encerrado",O794="27 - Instalação concluída"),"OK",IF(AND(B794&lt;&gt;"",S794=""),"ATENÇÃO (Sem data de atualização)",IF(S794="","",IF(S794&gt;30,"CRÍTICO (Sem Atualização &gt;30 dias)",IF(S794&gt;15,"ATENÇÃO (Sem Atualização &gt;15 dias)",IF(X794&gt;90,"CRÍTICO (Aberto &gt;90 dias)","OK"))))))</f>
        <v/>
      </c>
      <c r="Z794" s="90" t="str">
        <f aca="false">IF(B794="","",IF(OR(O794="27 - Instalação concluída",O794="28 - Encerrado"),"OK",IF(NOT(ISNUMBER(X794)),"",IF(X794&gt;365,"MUITO ANTIGO (&gt;1 ano)",IF(X794&gt;180,"ANTIGO (&gt;6 meses)",IF(X794&gt;90,"ATENÇÃO ANTIG. (&gt;3 meses)","OK"))))))</f>
        <v/>
      </c>
      <c r="AA794" s="91"/>
    </row>
    <row r="795" customFormat="false" ht="16.5" hidden="false" customHeight="true" outlineLevel="0" collapsed="false">
      <c r="A795" s="86"/>
      <c r="B795" s="91"/>
      <c r="C795" s="91" t="str">
        <f aca="false">IF(D795="","",IFERROR(INDEX(CADASTRO_VIVO_3CRE!$B$2:$B$150,MATCH(D795,CADASTRO_VIVO_3CRE!$E$2:$E$150,0)),""))</f>
        <v/>
      </c>
      <c r="D795" s="91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8"/>
      <c r="S795" s="92" t="str">
        <f aca="true">IF(R795="","",TODAY()-INT(R795))</f>
        <v/>
      </c>
      <c r="T795" s="86"/>
      <c r="U795" s="86"/>
      <c r="V795" s="86"/>
      <c r="W795" s="88"/>
      <c r="X795" s="92" t="str">
        <f aca="true">IF(W795="","",IF(OR(O795="28 - Encerrado",O795="27 - Instalação concluída"),"Concluído",TODAY()-INT(W795)))</f>
        <v/>
      </c>
      <c r="Y795" s="91" t="str">
        <f aca="false">IF(OR(O795="28 - Encerrado",O795="27 - Instalação concluída"),"OK",IF(AND(B795&lt;&gt;"",S795=""),"ATENÇÃO (Sem data de atualização)",IF(S795="","",IF(S795&gt;30,"CRÍTICO (Sem Atualização &gt;30 dias)",IF(S795&gt;15,"ATENÇÃO (Sem Atualização &gt;15 dias)",IF(X795&gt;90,"CRÍTICO (Aberto &gt;90 dias)","OK"))))))</f>
        <v/>
      </c>
      <c r="Z795" s="90" t="str">
        <f aca="false">IF(B795="","",IF(OR(O795="27 - Instalação concluída",O795="28 - Encerrado"),"OK",IF(NOT(ISNUMBER(X795)),"",IF(X795&gt;365,"MUITO ANTIGO (&gt;1 ano)",IF(X795&gt;180,"ANTIGO (&gt;6 meses)",IF(X795&gt;90,"ATENÇÃO ANTIG. (&gt;3 meses)","OK"))))))</f>
        <v/>
      </c>
      <c r="AA795" s="91"/>
    </row>
    <row r="796" customFormat="false" ht="16.5" hidden="false" customHeight="true" outlineLevel="0" collapsed="false">
      <c r="A796" s="86"/>
      <c r="B796" s="91"/>
      <c r="C796" s="91" t="str">
        <f aca="false">IF(D796="","",IFERROR(INDEX(CADASTRO_VIVO_3CRE!$B$2:$B$150,MATCH(D796,CADASTRO_VIVO_3CRE!$E$2:$E$150,0)),""))</f>
        <v/>
      </c>
      <c r="D796" s="91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8"/>
      <c r="S796" s="92" t="str">
        <f aca="true">IF(R796="","",TODAY()-INT(R796))</f>
        <v/>
      </c>
      <c r="T796" s="86"/>
      <c r="U796" s="86"/>
      <c r="V796" s="86"/>
      <c r="W796" s="88"/>
      <c r="X796" s="92" t="str">
        <f aca="true">IF(W796="","",IF(OR(O796="28 - Encerrado",O796="27 - Instalação concluída"),"Concluído",TODAY()-INT(W796)))</f>
        <v/>
      </c>
      <c r="Y796" s="91" t="str">
        <f aca="false">IF(OR(O796="28 - Encerrado",O796="27 - Instalação concluída"),"OK",IF(AND(B796&lt;&gt;"",S796=""),"ATENÇÃO (Sem data de atualização)",IF(S796="","",IF(S796&gt;30,"CRÍTICO (Sem Atualização &gt;30 dias)",IF(S796&gt;15,"ATENÇÃO (Sem Atualização &gt;15 dias)",IF(X796&gt;90,"CRÍTICO (Aberto &gt;90 dias)","OK"))))))</f>
        <v/>
      </c>
      <c r="Z796" s="90" t="str">
        <f aca="false">IF(B796="","",IF(OR(O796="27 - Instalação concluída",O796="28 - Encerrado"),"OK",IF(NOT(ISNUMBER(X796)),"",IF(X796&gt;365,"MUITO ANTIGO (&gt;1 ano)",IF(X796&gt;180,"ANTIGO (&gt;6 meses)",IF(X796&gt;90,"ATENÇÃO ANTIG. (&gt;3 meses)","OK"))))))</f>
        <v/>
      </c>
      <c r="AA796" s="91"/>
    </row>
    <row r="797" customFormat="false" ht="16.5" hidden="false" customHeight="true" outlineLevel="0" collapsed="false">
      <c r="A797" s="86"/>
      <c r="B797" s="91"/>
      <c r="C797" s="91" t="str">
        <f aca="false">IF(D797="","",IFERROR(INDEX(CADASTRO_VIVO_3CRE!$B$2:$B$150,MATCH(D797,CADASTRO_VIVO_3CRE!$E$2:$E$150,0)),""))</f>
        <v/>
      </c>
      <c r="D797" s="91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8"/>
      <c r="S797" s="92" t="str">
        <f aca="true">IF(R797="","",TODAY()-INT(R797))</f>
        <v/>
      </c>
      <c r="T797" s="86"/>
      <c r="U797" s="86"/>
      <c r="V797" s="86"/>
      <c r="W797" s="88"/>
      <c r="X797" s="92" t="str">
        <f aca="true">IF(W797="","",IF(OR(O797="28 - Encerrado",O797="27 - Instalação concluída"),"Concluído",TODAY()-INT(W797)))</f>
        <v/>
      </c>
      <c r="Y797" s="91" t="str">
        <f aca="false">IF(OR(O797="28 - Encerrado",O797="27 - Instalação concluída"),"OK",IF(AND(B797&lt;&gt;"",S797=""),"ATENÇÃO (Sem data de atualização)",IF(S797="","",IF(S797&gt;30,"CRÍTICO (Sem Atualização &gt;30 dias)",IF(S797&gt;15,"ATENÇÃO (Sem Atualização &gt;15 dias)",IF(X797&gt;90,"CRÍTICO (Aberto &gt;90 dias)","OK"))))))</f>
        <v/>
      </c>
      <c r="Z797" s="90" t="str">
        <f aca="false">IF(B797="","",IF(OR(O797="27 - Instalação concluída",O797="28 - Encerrado"),"OK",IF(NOT(ISNUMBER(X797)),"",IF(X797&gt;365,"MUITO ANTIGO (&gt;1 ano)",IF(X797&gt;180,"ANTIGO (&gt;6 meses)",IF(X797&gt;90,"ATENÇÃO ANTIG. (&gt;3 meses)","OK"))))))</f>
        <v/>
      </c>
      <c r="AA797" s="91"/>
    </row>
    <row r="798" customFormat="false" ht="16.5" hidden="false" customHeight="true" outlineLevel="0" collapsed="false">
      <c r="A798" s="86"/>
      <c r="B798" s="91"/>
      <c r="C798" s="91" t="str">
        <f aca="false">IF(D798="","",IFERROR(INDEX(CADASTRO_VIVO_3CRE!$B$2:$B$150,MATCH(D798,CADASTRO_VIVO_3CRE!$E$2:$E$150,0)),""))</f>
        <v/>
      </c>
      <c r="D798" s="91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8"/>
      <c r="S798" s="92" t="str">
        <f aca="true">IF(R798="","",TODAY()-INT(R798))</f>
        <v/>
      </c>
      <c r="T798" s="86"/>
      <c r="U798" s="86"/>
      <c r="V798" s="86"/>
      <c r="W798" s="88"/>
      <c r="X798" s="92" t="str">
        <f aca="true">IF(W798="","",IF(OR(O798="28 - Encerrado",O798="27 - Instalação concluída"),"Concluído",TODAY()-INT(W798)))</f>
        <v/>
      </c>
      <c r="Y798" s="91" t="str">
        <f aca="false">IF(OR(O798="28 - Encerrado",O798="27 - Instalação concluída"),"OK",IF(AND(B798&lt;&gt;"",S798=""),"ATENÇÃO (Sem data de atualização)",IF(S798="","",IF(S798&gt;30,"CRÍTICO (Sem Atualização &gt;30 dias)",IF(S798&gt;15,"ATENÇÃO (Sem Atualização &gt;15 dias)",IF(X798&gt;90,"CRÍTICO (Aberto &gt;90 dias)","OK"))))))</f>
        <v/>
      </c>
      <c r="Z798" s="90" t="str">
        <f aca="false">IF(B798="","",IF(OR(O798="27 - Instalação concluída",O798="28 - Encerrado"),"OK",IF(NOT(ISNUMBER(X798)),"",IF(X798&gt;365,"MUITO ANTIGO (&gt;1 ano)",IF(X798&gt;180,"ANTIGO (&gt;6 meses)",IF(X798&gt;90,"ATENÇÃO ANTIG. (&gt;3 meses)","OK"))))))</f>
        <v/>
      </c>
      <c r="AA798" s="91"/>
    </row>
    <row r="799" customFormat="false" ht="16.5" hidden="false" customHeight="true" outlineLevel="0" collapsed="false">
      <c r="A799" s="86"/>
      <c r="B799" s="91"/>
      <c r="C799" s="91" t="str">
        <f aca="false">IF(D799="","",IFERROR(INDEX(CADASTRO_VIVO_3CRE!$B$2:$B$150,MATCH(D799,CADASTRO_VIVO_3CRE!$E$2:$E$150,0)),""))</f>
        <v/>
      </c>
      <c r="D799" s="91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8"/>
      <c r="S799" s="92" t="str">
        <f aca="true">IF(R799="","",TODAY()-INT(R799))</f>
        <v/>
      </c>
      <c r="T799" s="86"/>
      <c r="U799" s="86"/>
      <c r="V799" s="86"/>
      <c r="W799" s="88"/>
      <c r="X799" s="92" t="str">
        <f aca="true">IF(W799="","",IF(OR(O799="28 - Encerrado",O799="27 - Instalação concluída"),"Concluído",TODAY()-INT(W799)))</f>
        <v/>
      </c>
      <c r="Y799" s="91" t="str">
        <f aca="false">IF(OR(O799="28 - Encerrado",O799="27 - Instalação concluída"),"OK",IF(AND(B799&lt;&gt;"",S799=""),"ATENÇÃO (Sem data de atualização)",IF(S799="","",IF(S799&gt;30,"CRÍTICO (Sem Atualização &gt;30 dias)",IF(S799&gt;15,"ATENÇÃO (Sem Atualização &gt;15 dias)",IF(X799&gt;90,"CRÍTICO (Aberto &gt;90 dias)","OK"))))))</f>
        <v/>
      </c>
      <c r="Z799" s="90" t="str">
        <f aca="false">IF(B799="","",IF(OR(O799="27 - Instalação concluída",O799="28 - Encerrado"),"OK",IF(NOT(ISNUMBER(X799)),"",IF(X799&gt;365,"MUITO ANTIGO (&gt;1 ano)",IF(X799&gt;180,"ANTIGO (&gt;6 meses)",IF(X799&gt;90,"ATENÇÃO ANTIG. (&gt;3 meses)","OK"))))))</f>
        <v/>
      </c>
      <c r="AA799" s="91"/>
    </row>
    <row r="800" customFormat="false" ht="16.5" hidden="false" customHeight="true" outlineLevel="0" collapsed="false">
      <c r="A800" s="86"/>
      <c r="B800" s="91"/>
      <c r="C800" s="91" t="str">
        <f aca="false">IF(D800="","",IFERROR(INDEX(CADASTRO_VIVO_3CRE!$B$2:$B$150,MATCH(D800,CADASTRO_VIVO_3CRE!$E$2:$E$150,0)),""))</f>
        <v/>
      </c>
      <c r="D800" s="91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8"/>
      <c r="S800" s="92" t="str">
        <f aca="true">IF(R800="","",TODAY()-INT(R800))</f>
        <v/>
      </c>
      <c r="T800" s="86"/>
      <c r="U800" s="86"/>
      <c r="V800" s="86"/>
      <c r="W800" s="88"/>
      <c r="X800" s="92" t="str">
        <f aca="true">IF(W800="","",IF(OR(O800="28 - Encerrado",O800="27 - Instalação concluída"),"Concluído",TODAY()-INT(W800)))</f>
        <v/>
      </c>
      <c r="Y800" s="91" t="str">
        <f aca="false">IF(OR(O800="28 - Encerrado",O800="27 - Instalação concluída"),"OK",IF(AND(B800&lt;&gt;"",S800=""),"ATENÇÃO (Sem data de atualização)",IF(S800="","",IF(S800&gt;30,"CRÍTICO (Sem Atualização &gt;30 dias)",IF(S800&gt;15,"ATENÇÃO (Sem Atualização &gt;15 dias)",IF(X800&gt;90,"CRÍTICO (Aberto &gt;90 dias)","OK"))))))</f>
        <v/>
      </c>
      <c r="Z800" s="90" t="str">
        <f aca="false">IF(B800="","",IF(OR(O800="27 - Instalação concluída",O800="28 - Encerrado"),"OK",IF(NOT(ISNUMBER(X800)),"",IF(X800&gt;365,"MUITO ANTIGO (&gt;1 ano)",IF(X800&gt;180,"ANTIGO (&gt;6 meses)",IF(X800&gt;90,"ATENÇÃO ANTIG. (&gt;3 meses)","OK"))))))</f>
        <v/>
      </c>
      <c r="AA800" s="91"/>
    </row>
    <row r="801" customFormat="false" ht="16.5" hidden="false" customHeight="true" outlineLevel="0" collapsed="false">
      <c r="A801" s="86"/>
      <c r="B801" s="91"/>
      <c r="C801" s="91" t="str">
        <f aca="false">IF(D801="","",IFERROR(INDEX(CADASTRO_VIVO_3CRE!$B$2:$B$150,MATCH(D801,CADASTRO_VIVO_3CRE!$E$2:$E$150,0)),""))</f>
        <v/>
      </c>
      <c r="D801" s="91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8"/>
      <c r="S801" s="92" t="str">
        <f aca="true">IF(R801="","",TODAY()-INT(R801))</f>
        <v/>
      </c>
      <c r="T801" s="86"/>
      <c r="U801" s="86"/>
      <c r="V801" s="86"/>
      <c r="W801" s="88"/>
      <c r="X801" s="92" t="str">
        <f aca="true">IF(W801="","",IF(OR(O801="28 - Encerrado",O801="27 - Instalação concluída"),"Concluído",TODAY()-INT(W801)))</f>
        <v/>
      </c>
      <c r="Y801" s="91" t="str">
        <f aca="false">IF(OR(O801="28 - Encerrado",O801="27 - Instalação concluída"),"OK",IF(AND(B801&lt;&gt;"",S801=""),"ATENÇÃO (Sem data de atualização)",IF(S801="","",IF(S801&gt;30,"CRÍTICO (Sem Atualização &gt;30 dias)",IF(S801&gt;15,"ATENÇÃO (Sem Atualização &gt;15 dias)",IF(X801&gt;90,"CRÍTICO (Aberto &gt;90 dias)","OK"))))))</f>
        <v/>
      </c>
      <c r="Z801" s="90" t="str">
        <f aca="false">IF(B801="","",IF(OR(O801="27 - Instalação concluída",O801="28 - Encerrado"),"OK",IF(NOT(ISNUMBER(X801)),"",IF(X801&gt;365,"MUITO ANTIGO (&gt;1 ano)",IF(X801&gt;180,"ANTIGO (&gt;6 meses)",IF(X801&gt;90,"ATENÇÃO ANTIG. (&gt;3 meses)","OK"))))))</f>
        <v/>
      </c>
      <c r="AA801" s="91"/>
    </row>
    <row r="802" customFormat="false" ht="16.5" hidden="false" customHeight="true" outlineLevel="0" collapsed="false">
      <c r="A802" s="86"/>
      <c r="B802" s="91"/>
      <c r="C802" s="91" t="str">
        <f aca="false">IF(D802="","",IFERROR(INDEX(CADASTRO_VIVO_3CRE!$B$2:$B$150,MATCH(D802,CADASTRO_VIVO_3CRE!$E$2:$E$150,0)),""))</f>
        <v/>
      </c>
      <c r="D802" s="91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8"/>
      <c r="S802" s="92" t="str">
        <f aca="true">IF(R802="","",TODAY()-INT(R802))</f>
        <v/>
      </c>
      <c r="T802" s="86"/>
      <c r="U802" s="86"/>
      <c r="V802" s="86"/>
      <c r="W802" s="88"/>
      <c r="X802" s="92" t="str">
        <f aca="true">IF(W802="","",IF(OR(O802="28 - Encerrado",O802="27 - Instalação concluída"),"Concluído",TODAY()-INT(W802)))</f>
        <v/>
      </c>
      <c r="Y802" s="91" t="str">
        <f aca="false">IF(OR(O802="28 - Encerrado",O802="27 - Instalação concluída"),"OK",IF(AND(B802&lt;&gt;"",S802=""),"ATENÇÃO (Sem data de atualização)",IF(S802="","",IF(S802&gt;30,"CRÍTICO (Sem Atualização &gt;30 dias)",IF(S802&gt;15,"ATENÇÃO (Sem Atualização &gt;15 dias)",IF(X802&gt;90,"CRÍTICO (Aberto &gt;90 dias)","OK"))))))</f>
        <v/>
      </c>
      <c r="Z802" s="90" t="str">
        <f aca="false">IF(B802="","",IF(OR(O802="27 - Instalação concluída",O802="28 - Encerrado"),"OK",IF(NOT(ISNUMBER(X802)),"",IF(X802&gt;365,"MUITO ANTIGO (&gt;1 ano)",IF(X802&gt;180,"ANTIGO (&gt;6 meses)",IF(X802&gt;90,"ATENÇÃO ANTIG. (&gt;3 meses)","OK"))))))</f>
        <v/>
      </c>
      <c r="AA802" s="91"/>
    </row>
    <row r="803" customFormat="false" ht="16.5" hidden="false" customHeight="true" outlineLevel="0" collapsed="false">
      <c r="A803" s="86"/>
      <c r="B803" s="91"/>
      <c r="C803" s="91" t="str">
        <f aca="false">IF(D803="","",IFERROR(INDEX(CADASTRO_VIVO_3CRE!$B$2:$B$150,MATCH(D803,CADASTRO_VIVO_3CRE!$E$2:$E$150,0)),""))</f>
        <v/>
      </c>
      <c r="D803" s="91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8"/>
      <c r="S803" s="92" t="str">
        <f aca="true">IF(R803="","",TODAY()-INT(R803))</f>
        <v/>
      </c>
      <c r="T803" s="86"/>
      <c r="U803" s="86"/>
      <c r="V803" s="86"/>
      <c r="W803" s="88"/>
      <c r="X803" s="92" t="str">
        <f aca="true">IF(W803="","",IF(OR(O803="28 - Encerrado",O803="27 - Instalação concluída"),"Concluído",TODAY()-INT(W803)))</f>
        <v/>
      </c>
      <c r="Y803" s="91" t="str">
        <f aca="false">IF(OR(O803="28 - Encerrado",O803="27 - Instalação concluída"),"OK",IF(AND(B803&lt;&gt;"",S803=""),"ATENÇÃO (Sem data de atualização)",IF(S803="","",IF(S803&gt;30,"CRÍTICO (Sem Atualização &gt;30 dias)",IF(S803&gt;15,"ATENÇÃO (Sem Atualização &gt;15 dias)",IF(X803&gt;90,"CRÍTICO (Aberto &gt;90 dias)","OK"))))))</f>
        <v/>
      </c>
      <c r="Z803" s="90" t="str">
        <f aca="false">IF(B803="","",IF(OR(O803="27 - Instalação concluída",O803="28 - Encerrado"),"OK",IF(NOT(ISNUMBER(X803)),"",IF(X803&gt;365,"MUITO ANTIGO (&gt;1 ano)",IF(X803&gt;180,"ANTIGO (&gt;6 meses)",IF(X803&gt;90,"ATENÇÃO ANTIG. (&gt;3 meses)","OK"))))))</f>
        <v/>
      </c>
      <c r="AA803" s="91"/>
    </row>
    <row r="804" customFormat="false" ht="16.5" hidden="false" customHeight="true" outlineLevel="0" collapsed="false">
      <c r="A804" s="86"/>
      <c r="B804" s="91"/>
      <c r="C804" s="91" t="str">
        <f aca="false">IF(D804="","",IFERROR(INDEX(CADASTRO_VIVO_3CRE!$B$2:$B$150,MATCH(D804,CADASTRO_VIVO_3CRE!$E$2:$E$150,0)),""))</f>
        <v/>
      </c>
      <c r="D804" s="91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8"/>
      <c r="S804" s="92" t="str">
        <f aca="true">IF(R804="","",TODAY()-INT(R804))</f>
        <v/>
      </c>
      <c r="T804" s="86"/>
      <c r="U804" s="86"/>
      <c r="V804" s="86"/>
      <c r="W804" s="88"/>
      <c r="X804" s="92" t="str">
        <f aca="true">IF(W804="","",IF(OR(O804="28 - Encerrado",O804="27 - Instalação concluída"),"Concluído",TODAY()-INT(W804)))</f>
        <v/>
      </c>
      <c r="Y804" s="91" t="str">
        <f aca="false">IF(OR(O804="28 - Encerrado",O804="27 - Instalação concluída"),"OK",IF(AND(B804&lt;&gt;"",S804=""),"ATENÇÃO (Sem data de atualização)",IF(S804="","",IF(S804&gt;30,"CRÍTICO (Sem Atualização &gt;30 dias)",IF(S804&gt;15,"ATENÇÃO (Sem Atualização &gt;15 dias)",IF(X804&gt;90,"CRÍTICO (Aberto &gt;90 dias)","OK"))))))</f>
        <v/>
      </c>
      <c r="Z804" s="90" t="str">
        <f aca="false">IF(B804="","",IF(OR(O804="27 - Instalação concluída",O804="28 - Encerrado"),"OK",IF(NOT(ISNUMBER(X804)),"",IF(X804&gt;365,"MUITO ANTIGO (&gt;1 ano)",IF(X804&gt;180,"ANTIGO (&gt;6 meses)",IF(X804&gt;90,"ATENÇÃO ANTIG. (&gt;3 meses)","OK"))))))</f>
        <v/>
      </c>
      <c r="AA804" s="91"/>
    </row>
    <row r="805" customFormat="false" ht="16.5" hidden="false" customHeight="true" outlineLevel="0" collapsed="false">
      <c r="A805" s="86"/>
      <c r="B805" s="91"/>
      <c r="C805" s="91" t="str">
        <f aca="false">IF(D805="","",IFERROR(INDEX(CADASTRO_VIVO_3CRE!$B$2:$B$150,MATCH(D805,CADASTRO_VIVO_3CRE!$E$2:$E$150,0)),""))</f>
        <v/>
      </c>
      <c r="D805" s="91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8"/>
      <c r="S805" s="92" t="str">
        <f aca="true">IF(R805="","",TODAY()-INT(R805))</f>
        <v/>
      </c>
      <c r="T805" s="86"/>
      <c r="U805" s="86"/>
      <c r="V805" s="86"/>
      <c r="W805" s="88"/>
      <c r="X805" s="92" t="str">
        <f aca="true">IF(W805="","",IF(OR(O805="28 - Encerrado",O805="27 - Instalação concluída"),"Concluído",TODAY()-INT(W805)))</f>
        <v/>
      </c>
      <c r="Y805" s="91" t="str">
        <f aca="false">IF(OR(O805="28 - Encerrado",O805="27 - Instalação concluída"),"OK",IF(AND(B805&lt;&gt;"",S805=""),"ATENÇÃO (Sem data de atualização)",IF(S805="","",IF(S805&gt;30,"CRÍTICO (Sem Atualização &gt;30 dias)",IF(S805&gt;15,"ATENÇÃO (Sem Atualização &gt;15 dias)",IF(X805&gt;90,"CRÍTICO (Aberto &gt;90 dias)","OK"))))))</f>
        <v/>
      </c>
      <c r="Z805" s="90" t="str">
        <f aca="false">IF(B805="","",IF(OR(O805="27 - Instalação concluída",O805="28 - Encerrado"),"OK",IF(NOT(ISNUMBER(X805)),"",IF(X805&gt;365,"MUITO ANTIGO (&gt;1 ano)",IF(X805&gt;180,"ANTIGO (&gt;6 meses)",IF(X805&gt;90,"ATENÇÃO ANTIG. (&gt;3 meses)","OK"))))))</f>
        <v/>
      </c>
      <c r="AA805" s="91"/>
    </row>
    <row r="806" customFormat="false" ht="16.5" hidden="false" customHeight="true" outlineLevel="0" collapsed="false">
      <c r="A806" s="86"/>
      <c r="B806" s="91"/>
      <c r="C806" s="91" t="str">
        <f aca="false">IF(D806="","",IFERROR(INDEX(CADASTRO_VIVO_3CRE!$B$2:$B$150,MATCH(D806,CADASTRO_VIVO_3CRE!$E$2:$E$150,0)),""))</f>
        <v/>
      </c>
      <c r="D806" s="91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8"/>
      <c r="S806" s="92" t="str">
        <f aca="true">IF(R806="","",TODAY()-INT(R806))</f>
        <v/>
      </c>
      <c r="T806" s="86"/>
      <c r="U806" s="86"/>
      <c r="V806" s="86"/>
      <c r="W806" s="88"/>
      <c r="X806" s="92" t="str">
        <f aca="true">IF(W806="","",IF(OR(O806="28 - Encerrado",O806="27 - Instalação concluída"),"Concluído",TODAY()-INT(W806)))</f>
        <v/>
      </c>
      <c r="Y806" s="91" t="str">
        <f aca="false">IF(OR(O806="28 - Encerrado",O806="27 - Instalação concluída"),"OK",IF(AND(B806&lt;&gt;"",S806=""),"ATENÇÃO (Sem data de atualização)",IF(S806="","",IF(S806&gt;30,"CRÍTICO (Sem Atualização &gt;30 dias)",IF(S806&gt;15,"ATENÇÃO (Sem Atualização &gt;15 dias)",IF(X806&gt;90,"CRÍTICO (Aberto &gt;90 dias)","OK"))))))</f>
        <v/>
      </c>
      <c r="Z806" s="90" t="str">
        <f aca="false">IF(B806="","",IF(OR(O806="27 - Instalação concluída",O806="28 - Encerrado"),"OK",IF(NOT(ISNUMBER(X806)),"",IF(X806&gt;365,"MUITO ANTIGO (&gt;1 ano)",IF(X806&gt;180,"ANTIGO (&gt;6 meses)",IF(X806&gt;90,"ATENÇÃO ANTIG. (&gt;3 meses)","OK"))))))</f>
        <v/>
      </c>
      <c r="AA806" s="91"/>
    </row>
    <row r="807" customFormat="false" ht="16.5" hidden="false" customHeight="true" outlineLevel="0" collapsed="false">
      <c r="A807" s="86"/>
      <c r="B807" s="91"/>
      <c r="C807" s="91" t="str">
        <f aca="false">IF(D807="","",IFERROR(INDEX(CADASTRO_VIVO_3CRE!$B$2:$B$150,MATCH(D807,CADASTRO_VIVO_3CRE!$E$2:$E$150,0)),""))</f>
        <v/>
      </c>
      <c r="D807" s="91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8"/>
      <c r="S807" s="92" t="str">
        <f aca="true">IF(R807="","",TODAY()-INT(R807))</f>
        <v/>
      </c>
      <c r="T807" s="86"/>
      <c r="U807" s="86"/>
      <c r="V807" s="86"/>
      <c r="W807" s="88"/>
      <c r="X807" s="92" t="str">
        <f aca="true">IF(W807="","",IF(OR(O807="28 - Encerrado",O807="27 - Instalação concluída"),"Concluído",TODAY()-INT(W807)))</f>
        <v/>
      </c>
      <c r="Y807" s="91" t="str">
        <f aca="false">IF(OR(O807="28 - Encerrado",O807="27 - Instalação concluída"),"OK",IF(AND(B807&lt;&gt;"",S807=""),"ATENÇÃO (Sem data de atualização)",IF(S807="","",IF(S807&gt;30,"CRÍTICO (Sem Atualização &gt;30 dias)",IF(S807&gt;15,"ATENÇÃO (Sem Atualização &gt;15 dias)",IF(X807&gt;90,"CRÍTICO (Aberto &gt;90 dias)","OK"))))))</f>
        <v/>
      </c>
      <c r="Z807" s="90" t="str">
        <f aca="false">IF(B807="","",IF(OR(O807="27 - Instalação concluída",O807="28 - Encerrado"),"OK",IF(NOT(ISNUMBER(X807)),"",IF(X807&gt;365,"MUITO ANTIGO (&gt;1 ano)",IF(X807&gt;180,"ANTIGO (&gt;6 meses)",IF(X807&gt;90,"ATENÇÃO ANTIG. (&gt;3 meses)","OK"))))))</f>
        <v/>
      </c>
      <c r="AA807" s="91"/>
    </row>
    <row r="808" customFormat="false" ht="16.5" hidden="false" customHeight="true" outlineLevel="0" collapsed="false">
      <c r="A808" s="86"/>
      <c r="B808" s="91"/>
      <c r="C808" s="91" t="str">
        <f aca="false">IF(D808="","",IFERROR(INDEX(CADASTRO_VIVO_3CRE!$B$2:$B$150,MATCH(D808,CADASTRO_VIVO_3CRE!$E$2:$E$150,0)),""))</f>
        <v/>
      </c>
      <c r="D808" s="91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8"/>
      <c r="S808" s="92" t="str">
        <f aca="true">IF(R808="","",TODAY()-INT(R808))</f>
        <v/>
      </c>
      <c r="T808" s="86"/>
      <c r="U808" s="86"/>
      <c r="V808" s="86"/>
      <c r="W808" s="88"/>
      <c r="X808" s="92" t="str">
        <f aca="true">IF(W808="","",IF(OR(O808="28 - Encerrado",O808="27 - Instalação concluída"),"Concluído",TODAY()-INT(W808)))</f>
        <v/>
      </c>
      <c r="Y808" s="91" t="str">
        <f aca="false">IF(OR(O808="28 - Encerrado",O808="27 - Instalação concluída"),"OK",IF(AND(B808&lt;&gt;"",S808=""),"ATENÇÃO (Sem data de atualização)",IF(S808="","",IF(S808&gt;30,"CRÍTICO (Sem Atualização &gt;30 dias)",IF(S808&gt;15,"ATENÇÃO (Sem Atualização &gt;15 dias)",IF(X808&gt;90,"CRÍTICO (Aberto &gt;90 dias)","OK"))))))</f>
        <v/>
      </c>
      <c r="Z808" s="90" t="str">
        <f aca="false">IF(B808="","",IF(OR(O808="27 - Instalação concluída",O808="28 - Encerrado"),"OK",IF(NOT(ISNUMBER(X808)),"",IF(X808&gt;365,"MUITO ANTIGO (&gt;1 ano)",IF(X808&gt;180,"ANTIGO (&gt;6 meses)",IF(X808&gt;90,"ATENÇÃO ANTIG. (&gt;3 meses)","OK"))))))</f>
        <v/>
      </c>
      <c r="AA808" s="91"/>
    </row>
    <row r="809" customFormat="false" ht="16.5" hidden="false" customHeight="true" outlineLevel="0" collapsed="false">
      <c r="A809" s="86"/>
      <c r="B809" s="91"/>
      <c r="C809" s="91" t="str">
        <f aca="false">IF(D809="","",IFERROR(INDEX(CADASTRO_VIVO_3CRE!$B$2:$B$150,MATCH(D809,CADASTRO_VIVO_3CRE!$E$2:$E$150,0)),""))</f>
        <v/>
      </c>
      <c r="D809" s="91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8"/>
      <c r="S809" s="92" t="str">
        <f aca="true">IF(R809="","",TODAY()-INT(R809))</f>
        <v/>
      </c>
      <c r="T809" s="86"/>
      <c r="U809" s="86"/>
      <c r="V809" s="86"/>
      <c r="W809" s="88"/>
      <c r="X809" s="92" t="str">
        <f aca="true">IF(W809="","",IF(OR(O809="28 - Encerrado",O809="27 - Instalação concluída"),"Concluído",TODAY()-INT(W809)))</f>
        <v/>
      </c>
      <c r="Y809" s="91" t="str">
        <f aca="false">IF(OR(O809="28 - Encerrado",O809="27 - Instalação concluída"),"OK",IF(AND(B809&lt;&gt;"",S809=""),"ATENÇÃO (Sem data de atualização)",IF(S809="","",IF(S809&gt;30,"CRÍTICO (Sem Atualização &gt;30 dias)",IF(S809&gt;15,"ATENÇÃO (Sem Atualização &gt;15 dias)",IF(X809&gt;90,"CRÍTICO (Aberto &gt;90 dias)","OK"))))))</f>
        <v/>
      </c>
      <c r="Z809" s="90" t="str">
        <f aca="false">IF(B809="","",IF(OR(O809="27 - Instalação concluída",O809="28 - Encerrado"),"OK",IF(NOT(ISNUMBER(X809)),"",IF(X809&gt;365,"MUITO ANTIGO (&gt;1 ano)",IF(X809&gt;180,"ANTIGO (&gt;6 meses)",IF(X809&gt;90,"ATENÇÃO ANTIG. (&gt;3 meses)","OK"))))))</f>
        <v/>
      </c>
      <c r="AA809" s="91"/>
    </row>
    <row r="810" customFormat="false" ht="16.5" hidden="false" customHeight="true" outlineLevel="0" collapsed="false">
      <c r="A810" s="86"/>
      <c r="B810" s="91"/>
      <c r="C810" s="91" t="str">
        <f aca="false">IF(D810="","",IFERROR(INDEX(CADASTRO_VIVO_3CRE!$B$2:$B$150,MATCH(D810,CADASTRO_VIVO_3CRE!$E$2:$E$150,0)),""))</f>
        <v/>
      </c>
      <c r="D810" s="91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8"/>
      <c r="S810" s="92" t="str">
        <f aca="true">IF(R810="","",TODAY()-INT(R810))</f>
        <v/>
      </c>
      <c r="T810" s="86"/>
      <c r="U810" s="86"/>
      <c r="V810" s="86"/>
      <c r="W810" s="88"/>
      <c r="X810" s="92" t="str">
        <f aca="true">IF(W810="","",IF(OR(O810="28 - Encerrado",O810="27 - Instalação concluída"),"Concluído",TODAY()-INT(W810)))</f>
        <v/>
      </c>
      <c r="Y810" s="91" t="str">
        <f aca="false">IF(OR(O810="28 - Encerrado",O810="27 - Instalação concluída"),"OK",IF(AND(B810&lt;&gt;"",S810=""),"ATENÇÃO (Sem data de atualização)",IF(S810="","",IF(S810&gt;30,"CRÍTICO (Sem Atualização &gt;30 dias)",IF(S810&gt;15,"ATENÇÃO (Sem Atualização &gt;15 dias)",IF(X810&gt;90,"CRÍTICO (Aberto &gt;90 dias)","OK"))))))</f>
        <v/>
      </c>
      <c r="Z810" s="90" t="str">
        <f aca="false">IF(B810="","",IF(OR(O810="27 - Instalação concluída",O810="28 - Encerrado"),"OK",IF(NOT(ISNUMBER(X810)),"",IF(X810&gt;365,"MUITO ANTIGO (&gt;1 ano)",IF(X810&gt;180,"ANTIGO (&gt;6 meses)",IF(X810&gt;90,"ATENÇÃO ANTIG. (&gt;3 meses)","OK"))))))</f>
        <v/>
      </c>
      <c r="AA810" s="91"/>
    </row>
    <row r="811" customFormat="false" ht="16.5" hidden="false" customHeight="true" outlineLevel="0" collapsed="false">
      <c r="A811" s="86"/>
      <c r="B811" s="91"/>
      <c r="C811" s="91" t="str">
        <f aca="false">IF(D811="","",IFERROR(INDEX(CADASTRO_VIVO_3CRE!$B$2:$B$150,MATCH(D811,CADASTRO_VIVO_3CRE!$E$2:$E$150,0)),""))</f>
        <v/>
      </c>
      <c r="D811" s="91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8"/>
      <c r="S811" s="92" t="str">
        <f aca="true">IF(R811="","",TODAY()-INT(R811))</f>
        <v/>
      </c>
      <c r="T811" s="86"/>
      <c r="U811" s="86"/>
      <c r="V811" s="86"/>
      <c r="W811" s="88"/>
      <c r="X811" s="92" t="str">
        <f aca="true">IF(W811="","",IF(OR(O811="28 - Encerrado",O811="27 - Instalação concluída"),"Concluído",TODAY()-INT(W811)))</f>
        <v/>
      </c>
      <c r="Y811" s="91" t="str">
        <f aca="false">IF(OR(O811="28 - Encerrado",O811="27 - Instalação concluída"),"OK",IF(AND(B811&lt;&gt;"",S811=""),"ATENÇÃO (Sem data de atualização)",IF(S811="","",IF(S811&gt;30,"CRÍTICO (Sem Atualização &gt;30 dias)",IF(S811&gt;15,"ATENÇÃO (Sem Atualização &gt;15 dias)",IF(X811&gt;90,"CRÍTICO (Aberto &gt;90 dias)","OK"))))))</f>
        <v/>
      </c>
      <c r="Z811" s="90" t="str">
        <f aca="false">IF(B811="","",IF(OR(O811="27 - Instalação concluída",O811="28 - Encerrado"),"OK",IF(NOT(ISNUMBER(X811)),"",IF(X811&gt;365,"MUITO ANTIGO (&gt;1 ano)",IF(X811&gt;180,"ANTIGO (&gt;6 meses)",IF(X811&gt;90,"ATENÇÃO ANTIG. (&gt;3 meses)","OK"))))))</f>
        <v/>
      </c>
      <c r="AA811" s="91"/>
    </row>
    <row r="812" customFormat="false" ht="16.5" hidden="false" customHeight="true" outlineLevel="0" collapsed="false">
      <c r="A812" s="86"/>
      <c r="B812" s="91"/>
      <c r="C812" s="91" t="str">
        <f aca="false">IF(D812="","",IFERROR(INDEX(CADASTRO_VIVO_3CRE!$B$2:$B$150,MATCH(D812,CADASTRO_VIVO_3CRE!$E$2:$E$150,0)),""))</f>
        <v/>
      </c>
      <c r="D812" s="91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8"/>
      <c r="S812" s="92" t="str">
        <f aca="true">IF(R812="","",TODAY()-INT(R812))</f>
        <v/>
      </c>
      <c r="T812" s="86"/>
      <c r="U812" s="86"/>
      <c r="V812" s="86"/>
      <c r="W812" s="88"/>
      <c r="X812" s="92" t="str">
        <f aca="true">IF(W812="","",IF(OR(O812="28 - Encerrado",O812="27 - Instalação concluída"),"Concluído",TODAY()-INT(W812)))</f>
        <v/>
      </c>
      <c r="Y812" s="91" t="str">
        <f aca="false">IF(OR(O812="28 - Encerrado",O812="27 - Instalação concluída"),"OK",IF(AND(B812&lt;&gt;"",S812=""),"ATENÇÃO (Sem data de atualização)",IF(S812="","",IF(S812&gt;30,"CRÍTICO (Sem Atualização &gt;30 dias)",IF(S812&gt;15,"ATENÇÃO (Sem Atualização &gt;15 dias)",IF(X812&gt;90,"CRÍTICO (Aberto &gt;90 dias)","OK"))))))</f>
        <v/>
      </c>
      <c r="Z812" s="90" t="str">
        <f aca="false">IF(B812="","",IF(OR(O812="27 - Instalação concluída",O812="28 - Encerrado"),"OK",IF(NOT(ISNUMBER(X812)),"",IF(X812&gt;365,"MUITO ANTIGO (&gt;1 ano)",IF(X812&gt;180,"ANTIGO (&gt;6 meses)",IF(X812&gt;90,"ATENÇÃO ANTIG. (&gt;3 meses)","OK"))))))</f>
        <v/>
      </c>
      <c r="AA812" s="91"/>
    </row>
    <row r="813" customFormat="false" ht="16.5" hidden="false" customHeight="true" outlineLevel="0" collapsed="false">
      <c r="A813" s="86"/>
      <c r="B813" s="91"/>
      <c r="C813" s="91" t="str">
        <f aca="false">IF(D813="","",IFERROR(INDEX(CADASTRO_VIVO_3CRE!$B$2:$B$150,MATCH(D813,CADASTRO_VIVO_3CRE!$E$2:$E$150,0)),""))</f>
        <v/>
      </c>
      <c r="D813" s="91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8"/>
      <c r="S813" s="92" t="str">
        <f aca="true">IF(R813="","",TODAY()-INT(R813))</f>
        <v/>
      </c>
      <c r="T813" s="86"/>
      <c r="U813" s="86"/>
      <c r="V813" s="86"/>
      <c r="W813" s="88"/>
      <c r="X813" s="92" t="str">
        <f aca="true">IF(W813="","",IF(OR(O813="28 - Encerrado",O813="27 - Instalação concluída"),"Concluído",TODAY()-INT(W813)))</f>
        <v/>
      </c>
      <c r="Y813" s="91" t="str">
        <f aca="false">IF(OR(O813="28 - Encerrado",O813="27 - Instalação concluída"),"OK",IF(AND(B813&lt;&gt;"",S813=""),"ATENÇÃO (Sem data de atualização)",IF(S813="","",IF(S813&gt;30,"CRÍTICO (Sem Atualização &gt;30 dias)",IF(S813&gt;15,"ATENÇÃO (Sem Atualização &gt;15 dias)",IF(X813&gt;90,"CRÍTICO (Aberto &gt;90 dias)","OK"))))))</f>
        <v/>
      </c>
      <c r="Z813" s="90" t="str">
        <f aca="false">IF(B813="","",IF(OR(O813="27 - Instalação concluída",O813="28 - Encerrado"),"OK",IF(NOT(ISNUMBER(X813)),"",IF(X813&gt;365,"MUITO ANTIGO (&gt;1 ano)",IF(X813&gt;180,"ANTIGO (&gt;6 meses)",IF(X813&gt;90,"ATENÇÃO ANTIG. (&gt;3 meses)","OK"))))))</f>
        <v/>
      </c>
      <c r="AA813" s="91"/>
    </row>
    <row r="814" customFormat="false" ht="16.5" hidden="false" customHeight="true" outlineLevel="0" collapsed="false">
      <c r="A814" s="86"/>
      <c r="B814" s="91"/>
      <c r="C814" s="91" t="str">
        <f aca="false">IF(D814="","",IFERROR(INDEX(CADASTRO_VIVO_3CRE!$B$2:$B$150,MATCH(D814,CADASTRO_VIVO_3CRE!$E$2:$E$150,0)),""))</f>
        <v/>
      </c>
      <c r="D814" s="91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8"/>
      <c r="S814" s="92" t="str">
        <f aca="true">IF(R814="","",TODAY()-INT(R814))</f>
        <v/>
      </c>
      <c r="T814" s="86"/>
      <c r="U814" s="86"/>
      <c r="V814" s="86"/>
      <c r="W814" s="88"/>
      <c r="X814" s="92" t="str">
        <f aca="true">IF(W814="","",IF(OR(O814="28 - Encerrado",O814="27 - Instalação concluída"),"Concluído",TODAY()-INT(W814)))</f>
        <v/>
      </c>
      <c r="Y814" s="91" t="str">
        <f aca="false">IF(OR(O814="28 - Encerrado",O814="27 - Instalação concluída"),"OK",IF(AND(B814&lt;&gt;"",S814=""),"ATENÇÃO (Sem data de atualização)",IF(S814="","",IF(S814&gt;30,"CRÍTICO (Sem Atualização &gt;30 dias)",IF(S814&gt;15,"ATENÇÃO (Sem Atualização &gt;15 dias)",IF(X814&gt;90,"CRÍTICO (Aberto &gt;90 dias)","OK"))))))</f>
        <v/>
      </c>
      <c r="Z814" s="90" t="str">
        <f aca="false">IF(B814="","",IF(OR(O814="27 - Instalação concluída",O814="28 - Encerrado"),"OK",IF(NOT(ISNUMBER(X814)),"",IF(X814&gt;365,"MUITO ANTIGO (&gt;1 ano)",IF(X814&gt;180,"ANTIGO (&gt;6 meses)",IF(X814&gt;90,"ATENÇÃO ANTIG. (&gt;3 meses)","OK"))))))</f>
        <v/>
      </c>
      <c r="AA814" s="91"/>
    </row>
    <row r="815" customFormat="false" ht="16.5" hidden="false" customHeight="true" outlineLevel="0" collapsed="false">
      <c r="A815" s="86"/>
      <c r="B815" s="91"/>
      <c r="C815" s="91" t="str">
        <f aca="false">IF(D815="","",IFERROR(INDEX(CADASTRO_VIVO_3CRE!$B$2:$B$150,MATCH(D815,CADASTRO_VIVO_3CRE!$E$2:$E$150,0)),""))</f>
        <v/>
      </c>
      <c r="D815" s="91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8"/>
      <c r="S815" s="92" t="str">
        <f aca="true">IF(R815="","",TODAY()-INT(R815))</f>
        <v/>
      </c>
      <c r="T815" s="86"/>
      <c r="U815" s="86"/>
      <c r="V815" s="86"/>
      <c r="W815" s="88"/>
      <c r="X815" s="92" t="str">
        <f aca="true">IF(W815="","",IF(OR(O815="28 - Encerrado",O815="27 - Instalação concluída"),"Concluído",TODAY()-INT(W815)))</f>
        <v/>
      </c>
      <c r="Y815" s="91" t="str">
        <f aca="false">IF(OR(O815="28 - Encerrado",O815="27 - Instalação concluída"),"OK",IF(AND(B815&lt;&gt;"",S815=""),"ATENÇÃO (Sem data de atualização)",IF(S815="","",IF(S815&gt;30,"CRÍTICO (Sem Atualização &gt;30 dias)",IF(S815&gt;15,"ATENÇÃO (Sem Atualização &gt;15 dias)",IF(X815&gt;90,"CRÍTICO (Aberto &gt;90 dias)","OK"))))))</f>
        <v/>
      </c>
      <c r="Z815" s="90" t="str">
        <f aca="false">IF(B815="","",IF(OR(O815="27 - Instalação concluída",O815="28 - Encerrado"),"OK",IF(NOT(ISNUMBER(X815)),"",IF(X815&gt;365,"MUITO ANTIGO (&gt;1 ano)",IF(X815&gt;180,"ANTIGO (&gt;6 meses)",IF(X815&gt;90,"ATENÇÃO ANTIG. (&gt;3 meses)","OK"))))))</f>
        <v/>
      </c>
      <c r="AA815" s="91"/>
    </row>
    <row r="816" customFormat="false" ht="16.5" hidden="false" customHeight="true" outlineLevel="0" collapsed="false">
      <c r="A816" s="86"/>
      <c r="B816" s="91"/>
      <c r="C816" s="91" t="str">
        <f aca="false">IF(D816="","",IFERROR(INDEX(CADASTRO_VIVO_3CRE!$B$2:$B$150,MATCH(D816,CADASTRO_VIVO_3CRE!$E$2:$E$150,0)),""))</f>
        <v/>
      </c>
      <c r="D816" s="91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8"/>
      <c r="S816" s="92" t="str">
        <f aca="true">IF(R816="","",TODAY()-INT(R816))</f>
        <v/>
      </c>
      <c r="T816" s="86"/>
      <c r="U816" s="86"/>
      <c r="V816" s="86"/>
      <c r="W816" s="88"/>
      <c r="X816" s="92" t="str">
        <f aca="true">IF(W816="","",IF(OR(O816="28 - Encerrado",O816="27 - Instalação concluída"),"Concluído",TODAY()-INT(W816)))</f>
        <v/>
      </c>
      <c r="Y816" s="91" t="str">
        <f aca="false">IF(OR(O816="28 - Encerrado",O816="27 - Instalação concluída"),"OK",IF(AND(B816&lt;&gt;"",S816=""),"ATENÇÃO (Sem data de atualização)",IF(S816="","",IF(S816&gt;30,"CRÍTICO (Sem Atualização &gt;30 dias)",IF(S816&gt;15,"ATENÇÃO (Sem Atualização &gt;15 dias)",IF(X816&gt;90,"CRÍTICO (Aberto &gt;90 dias)","OK"))))))</f>
        <v/>
      </c>
      <c r="Z816" s="90" t="str">
        <f aca="false">IF(B816="","",IF(OR(O816="27 - Instalação concluída",O816="28 - Encerrado"),"OK",IF(NOT(ISNUMBER(X816)),"",IF(X816&gt;365,"MUITO ANTIGO (&gt;1 ano)",IF(X816&gt;180,"ANTIGO (&gt;6 meses)",IF(X816&gt;90,"ATENÇÃO ANTIG. (&gt;3 meses)","OK"))))))</f>
        <v/>
      </c>
      <c r="AA816" s="91"/>
    </row>
    <row r="817" customFormat="false" ht="16.5" hidden="false" customHeight="true" outlineLevel="0" collapsed="false">
      <c r="A817" s="86"/>
      <c r="B817" s="91"/>
      <c r="C817" s="91" t="str">
        <f aca="false">IF(D817="","",IFERROR(INDEX(CADASTRO_VIVO_3CRE!$B$2:$B$150,MATCH(D817,CADASTRO_VIVO_3CRE!$E$2:$E$150,0)),""))</f>
        <v/>
      </c>
      <c r="D817" s="91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8"/>
      <c r="S817" s="92" t="str">
        <f aca="true">IF(R817="","",TODAY()-INT(R817))</f>
        <v/>
      </c>
      <c r="T817" s="86"/>
      <c r="U817" s="86"/>
      <c r="V817" s="86"/>
      <c r="W817" s="88"/>
      <c r="X817" s="92" t="str">
        <f aca="true">IF(W817="","",IF(OR(O817="28 - Encerrado",O817="27 - Instalação concluída"),"Concluído",TODAY()-INT(W817)))</f>
        <v/>
      </c>
      <c r="Y817" s="91" t="str">
        <f aca="false">IF(OR(O817="28 - Encerrado",O817="27 - Instalação concluída"),"OK",IF(AND(B817&lt;&gt;"",S817=""),"ATENÇÃO (Sem data de atualização)",IF(S817="","",IF(S817&gt;30,"CRÍTICO (Sem Atualização &gt;30 dias)",IF(S817&gt;15,"ATENÇÃO (Sem Atualização &gt;15 dias)",IF(X817&gt;90,"CRÍTICO (Aberto &gt;90 dias)","OK"))))))</f>
        <v/>
      </c>
      <c r="Z817" s="90" t="str">
        <f aca="false">IF(B817="","",IF(OR(O817="27 - Instalação concluída",O817="28 - Encerrado"),"OK",IF(NOT(ISNUMBER(X817)),"",IF(X817&gt;365,"MUITO ANTIGO (&gt;1 ano)",IF(X817&gt;180,"ANTIGO (&gt;6 meses)",IF(X817&gt;90,"ATENÇÃO ANTIG. (&gt;3 meses)","OK"))))))</f>
        <v/>
      </c>
      <c r="AA817" s="91"/>
    </row>
    <row r="818" customFormat="false" ht="16.5" hidden="false" customHeight="true" outlineLevel="0" collapsed="false">
      <c r="A818" s="86"/>
      <c r="B818" s="91"/>
      <c r="C818" s="91" t="str">
        <f aca="false">IF(D818="","",IFERROR(INDEX(CADASTRO_VIVO_3CRE!$B$2:$B$150,MATCH(D818,CADASTRO_VIVO_3CRE!$E$2:$E$150,0)),""))</f>
        <v/>
      </c>
      <c r="D818" s="91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8"/>
      <c r="S818" s="92" t="str">
        <f aca="true">IF(R818="","",TODAY()-INT(R818))</f>
        <v/>
      </c>
      <c r="T818" s="86"/>
      <c r="U818" s="86"/>
      <c r="V818" s="86"/>
      <c r="W818" s="88"/>
      <c r="X818" s="92" t="str">
        <f aca="true">IF(W818="","",IF(OR(O818="28 - Encerrado",O818="27 - Instalação concluída"),"Concluído",TODAY()-INT(W818)))</f>
        <v/>
      </c>
      <c r="Y818" s="91" t="str">
        <f aca="false">IF(OR(O818="28 - Encerrado",O818="27 - Instalação concluída"),"OK",IF(AND(B818&lt;&gt;"",S818=""),"ATENÇÃO (Sem data de atualização)",IF(S818="","",IF(S818&gt;30,"CRÍTICO (Sem Atualização &gt;30 dias)",IF(S818&gt;15,"ATENÇÃO (Sem Atualização &gt;15 dias)",IF(X818&gt;90,"CRÍTICO (Aberto &gt;90 dias)","OK"))))))</f>
        <v/>
      </c>
      <c r="Z818" s="90" t="str">
        <f aca="false">IF(B818="","",IF(OR(O818="27 - Instalação concluída",O818="28 - Encerrado"),"OK",IF(NOT(ISNUMBER(X818)),"",IF(X818&gt;365,"MUITO ANTIGO (&gt;1 ano)",IF(X818&gt;180,"ANTIGO (&gt;6 meses)",IF(X818&gt;90,"ATENÇÃO ANTIG. (&gt;3 meses)","OK"))))))</f>
        <v/>
      </c>
      <c r="AA818" s="91"/>
    </row>
    <row r="819" customFormat="false" ht="16.5" hidden="false" customHeight="true" outlineLevel="0" collapsed="false">
      <c r="A819" s="86"/>
      <c r="B819" s="91"/>
      <c r="C819" s="91" t="str">
        <f aca="false">IF(D819="","",IFERROR(INDEX(CADASTRO_VIVO_3CRE!$B$2:$B$150,MATCH(D819,CADASTRO_VIVO_3CRE!$E$2:$E$150,0)),""))</f>
        <v/>
      </c>
      <c r="D819" s="91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8"/>
      <c r="S819" s="92" t="str">
        <f aca="true">IF(R819="","",TODAY()-INT(R819))</f>
        <v/>
      </c>
      <c r="T819" s="86"/>
      <c r="U819" s="86"/>
      <c r="V819" s="86"/>
      <c r="W819" s="88"/>
      <c r="X819" s="92" t="str">
        <f aca="true">IF(W819="","",IF(OR(O819="28 - Encerrado",O819="27 - Instalação concluída"),"Concluído",TODAY()-INT(W819)))</f>
        <v/>
      </c>
      <c r="Y819" s="91" t="str">
        <f aca="false">IF(OR(O819="28 - Encerrado",O819="27 - Instalação concluída"),"OK",IF(AND(B819&lt;&gt;"",S819=""),"ATENÇÃO (Sem data de atualização)",IF(S819="","",IF(S819&gt;30,"CRÍTICO (Sem Atualização &gt;30 dias)",IF(S819&gt;15,"ATENÇÃO (Sem Atualização &gt;15 dias)",IF(X819&gt;90,"CRÍTICO (Aberto &gt;90 dias)","OK"))))))</f>
        <v/>
      </c>
      <c r="Z819" s="90" t="str">
        <f aca="false">IF(B819="","",IF(OR(O819="27 - Instalação concluída",O819="28 - Encerrado"),"OK",IF(NOT(ISNUMBER(X819)),"",IF(X819&gt;365,"MUITO ANTIGO (&gt;1 ano)",IF(X819&gt;180,"ANTIGO (&gt;6 meses)",IF(X819&gt;90,"ATENÇÃO ANTIG. (&gt;3 meses)","OK"))))))</f>
        <v/>
      </c>
      <c r="AA819" s="91"/>
    </row>
    <row r="820" customFormat="false" ht="16.5" hidden="false" customHeight="true" outlineLevel="0" collapsed="false">
      <c r="A820" s="86"/>
      <c r="B820" s="91"/>
      <c r="C820" s="91" t="str">
        <f aca="false">IF(D820="","",IFERROR(INDEX(CADASTRO_VIVO_3CRE!$B$2:$B$150,MATCH(D820,CADASTRO_VIVO_3CRE!$E$2:$E$150,0)),""))</f>
        <v/>
      </c>
      <c r="D820" s="91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8"/>
      <c r="S820" s="92" t="str">
        <f aca="true">IF(R820="","",TODAY()-INT(R820))</f>
        <v/>
      </c>
      <c r="T820" s="86"/>
      <c r="U820" s="86"/>
      <c r="V820" s="86"/>
      <c r="W820" s="88"/>
      <c r="X820" s="92" t="str">
        <f aca="true">IF(W820="","",IF(OR(O820="28 - Encerrado",O820="27 - Instalação concluída"),"Concluído",TODAY()-INT(W820)))</f>
        <v/>
      </c>
      <c r="Y820" s="91" t="str">
        <f aca="false">IF(OR(O820="28 - Encerrado",O820="27 - Instalação concluída"),"OK",IF(AND(B820&lt;&gt;"",S820=""),"ATENÇÃO (Sem data de atualização)",IF(S820="","",IF(S820&gt;30,"CRÍTICO (Sem Atualização &gt;30 dias)",IF(S820&gt;15,"ATENÇÃO (Sem Atualização &gt;15 dias)",IF(X820&gt;90,"CRÍTICO (Aberto &gt;90 dias)","OK"))))))</f>
        <v/>
      </c>
      <c r="Z820" s="90" t="str">
        <f aca="false">IF(B820="","",IF(OR(O820="27 - Instalação concluída",O820="28 - Encerrado"),"OK",IF(NOT(ISNUMBER(X820)),"",IF(X820&gt;365,"MUITO ANTIGO (&gt;1 ano)",IF(X820&gt;180,"ANTIGO (&gt;6 meses)",IF(X820&gt;90,"ATENÇÃO ANTIG. (&gt;3 meses)","OK"))))))</f>
        <v/>
      </c>
      <c r="AA820" s="91"/>
    </row>
    <row r="821" customFormat="false" ht="16.5" hidden="false" customHeight="true" outlineLevel="0" collapsed="false">
      <c r="A821" s="86"/>
      <c r="B821" s="91"/>
      <c r="C821" s="91" t="str">
        <f aca="false">IF(D821="","",IFERROR(INDEX(CADASTRO_VIVO_3CRE!$B$2:$B$150,MATCH(D821,CADASTRO_VIVO_3CRE!$E$2:$E$150,0)),""))</f>
        <v/>
      </c>
      <c r="D821" s="91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8"/>
      <c r="S821" s="92" t="str">
        <f aca="true">IF(R821="","",TODAY()-INT(R821))</f>
        <v/>
      </c>
      <c r="T821" s="86"/>
      <c r="U821" s="86"/>
      <c r="V821" s="86"/>
      <c r="W821" s="88"/>
      <c r="X821" s="92" t="str">
        <f aca="true">IF(W821="","",IF(OR(O821="28 - Encerrado",O821="27 - Instalação concluída"),"Concluído",TODAY()-INT(W821)))</f>
        <v/>
      </c>
      <c r="Y821" s="91" t="str">
        <f aca="false">IF(OR(O821="28 - Encerrado",O821="27 - Instalação concluída"),"OK",IF(AND(B821&lt;&gt;"",S821=""),"ATENÇÃO (Sem data de atualização)",IF(S821="","",IF(S821&gt;30,"CRÍTICO (Sem Atualização &gt;30 dias)",IF(S821&gt;15,"ATENÇÃO (Sem Atualização &gt;15 dias)",IF(X821&gt;90,"CRÍTICO (Aberto &gt;90 dias)","OK"))))))</f>
        <v/>
      </c>
      <c r="Z821" s="90" t="str">
        <f aca="false">IF(B821="","",IF(OR(O821="27 - Instalação concluída",O821="28 - Encerrado"),"OK",IF(NOT(ISNUMBER(X821)),"",IF(X821&gt;365,"MUITO ANTIGO (&gt;1 ano)",IF(X821&gt;180,"ANTIGO (&gt;6 meses)",IF(X821&gt;90,"ATENÇÃO ANTIG. (&gt;3 meses)","OK"))))))</f>
        <v/>
      </c>
      <c r="AA821" s="91"/>
    </row>
    <row r="822" customFormat="false" ht="16.5" hidden="false" customHeight="true" outlineLevel="0" collapsed="false">
      <c r="A822" s="86"/>
      <c r="B822" s="91"/>
      <c r="C822" s="91" t="str">
        <f aca="false">IF(D822="","",IFERROR(INDEX(CADASTRO_VIVO_3CRE!$B$2:$B$150,MATCH(D822,CADASTRO_VIVO_3CRE!$E$2:$E$150,0)),""))</f>
        <v/>
      </c>
      <c r="D822" s="91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8"/>
      <c r="S822" s="92" t="str">
        <f aca="true">IF(R822="","",TODAY()-INT(R822))</f>
        <v/>
      </c>
      <c r="T822" s="86"/>
      <c r="U822" s="86"/>
      <c r="V822" s="86"/>
      <c r="W822" s="88"/>
      <c r="X822" s="92" t="str">
        <f aca="true">IF(W822="","",IF(OR(O822="28 - Encerrado",O822="27 - Instalação concluída"),"Concluído",TODAY()-INT(W822)))</f>
        <v/>
      </c>
      <c r="Y822" s="91" t="str">
        <f aca="false">IF(OR(O822="28 - Encerrado",O822="27 - Instalação concluída"),"OK",IF(AND(B822&lt;&gt;"",S822=""),"ATENÇÃO (Sem data de atualização)",IF(S822="","",IF(S822&gt;30,"CRÍTICO (Sem Atualização &gt;30 dias)",IF(S822&gt;15,"ATENÇÃO (Sem Atualização &gt;15 dias)",IF(X822&gt;90,"CRÍTICO (Aberto &gt;90 dias)","OK"))))))</f>
        <v/>
      </c>
      <c r="Z822" s="90" t="str">
        <f aca="false">IF(B822="","",IF(OR(O822="27 - Instalação concluída",O822="28 - Encerrado"),"OK",IF(NOT(ISNUMBER(X822)),"",IF(X822&gt;365,"MUITO ANTIGO (&gt;1 ano)",IF(X822&gt;180,"ANTIGO (&gt;6 meses)",IF(X822&gt;90,"ATENÇÃO ANTIG. (&gt;3 meses)","OK"))))))</f>
        <v/>
      </c>
      <c r="AA822" s="91"/>
    </row>
    <row r="823" customFormat="false" ht="16.5" hidden="false" customHeight="true" outlineLevel="0" collapsed="false">
      <c r="A823" s="86"/>
      <c r="B823" s="91"/>
      <c r="C823" s="91" t="str">
        <f aca="false">IF(D823="","",IFERROR(INDEX(CADASTRO_VIVO_3CRE!$B$2:$B$150,MATCH(D823,CADASTRO_VIVO_3CRE!$E$2:$E$150,0)),""))</f>
        <v/>
      </c>
      <c r="D823" s="91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8"/>
      <c r="S823" s="92" t="str">
        <f aca="true">IF(R823="","",TODAY()-INT(R823))</f>
        <v/>
      </c>
      <c r="T823" s="86"/>
      <c r="U823" s="86"/>
      <c r="V823" s="86"/>
      <c r="W823" s="88"/>
      <c r="X823" s="92" t="str">
        <f aca="true">IF(W823="","",IF(OR(O823="28 - Encerrado",O823="27 - Instalação concluída"),"Concluído",TODAY()-INT(W823)))</f>
        <v/>
      </c>
      <c r="Y823" s="91" t="str">
        <f aca="false">IF(OR(O823="28 - Encerrado",O823="27 - Instalação concluída"),"OK",IF(AND(B823&lt;&gt;"",S823=""),"ATENÇÃO (Sem data de atualização)",IF(S823="","",IF(S823&gt;30,"CRÍTICO (Sem Atualização &gt;30 dias)",IF(S823&gt;15,"ATENÇÃO (Sem Atualização &gt;15 dias)",IF(X823&gt;90,"CRÍTICO (Aberto &gt;90 dias)","OK"))))))</f>
        <v/>
      </c>
      <c r="Z823" s="90" t="str">
        <f aca="false">IF(B823="","",IF(OR(O823="27 - Instalação concluída",O823="28 - Encerrado"),"OK",IF(NOT(ISNUMBER(X823)),"",IF(X823&gt;365,"MUITO ANTIGO (&gt;1 ano)",IF(X823&gt;180,"ANTIGO (&gt;6 meses)",IF(X823&gt;90,"ATENÇÃO ANTIG. (&gt;3 meses)","OK"))))))</f>
        <v/>
      </c>
      <c r="AA823" s="91"/>
    </row>
    <row r="824" customFormat="false" ht="16.5" hidden="false" customHeight="true" outlineLevel="0" collapsed="false">
      <c r="A824" s="86"/>
      <c r="B824" s="91"/>
      <c r="C824" s="91" t="str">
        <f aca="false">IF(D824="","",IFERROR(INDEX(CADASTRO_VIVO_3CRE!$B$2:$B$150,MATCH(D824,CADASTRO_VIVO_3CRE!$E$2:$E$150,0)),""))</f>
        <v/>
      </c>
      <c r="D824" s="91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8"/>
      <c r="S824" s="92" t="str">
        <f aca="true">IF(R824="","",TODAY()-INT(R824))</f>
        <v/>
      </c>
      <c r="T824" s="86"/>
      <c r="U824" s="86"/>
      <c r="V824" s="86"/>
      <c r="W824" s="88"/>
      <c r="X824" s="92" t="str">
        <f aca="true">IF(W824="","",IF(OR(O824="28 - Encerrado",O824="27 - Instalação concluída"),"Concluído",TODAY()-INT(W824)))</f>
        <v/>
      </c>
      <c r="Y824" s="91" t="str">
        <f aca="false">IF(OR(O824="28 - Encerrado",O824="27 - Instalação concluída"),"OK",IF(AND(B824&lt;&gt;"",S824=""),"ATENÇÃO (Sem data de atualização)",IF(S824="","",IF(S824&gt;30,"CRÍTICO (Sem Atualização &gt;30 dias)",IF(S824&gt;15,"ATENÇÃO (Sem Atualização &gt;15 dias)",IF(X824&gt;90,"CRÍTICO (Aberto &gt;90 dias)","OK"))))))</f>
        <v/>
      </c>
      <c r="Z824" s="90" t="str">
        <f aca="false">IF(B824="","",IF(OR(O824="27 - Instalação concluída",O824="28 - Encerrado"),"OK",IF(NOT(ISNUMBER(X824)),"",IF(X824&gt;365,"MUITO ANTIGO (&gt;1 ano)",IF(X824&gt;180,"ANTIGO (&gt;6 meses)",IF(X824&gt;90,"ATENÇÃO ANTIG. (&gt;3 meses)","OK"))))))</f>
        <v/>
      </c>
      <c r="AA824" s="91"/>
    </row>
    <row r="825" customFormat="false" ht="16.5" hidden="false" customHeight="true" outlineLevel="0" collapsed="false">
      <c r="A825" s="86"/>
      <c r="B825" s="91"/>
      <c r="C825" s="91" t="str">
        <f aca="false">IF(D825="","",IFERROR(INDEX(CADASTRO_VIVO_3CRE!$B$2:$B$150,MATCH(D825,CADASTRO_VIVO_3CRE!$E$2:$E$150,0)),""))</f>
        <v/>
      </c>
      <c r="D825" s="91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8"/>
      <c r="S825" s="92" t="str">
        <f aca="true">IF(R825="","",TODAY()-INT(R825))</f>
        <v/>
      </c>
      <c r="T825" s="86"/>
      <c r="U825" s="86"/>
      <c r="V825" s="86"/>
      <c r="W825" s="88"/>
      <c r="X825" s="92" t="str">
        <f aca="true">IF(W825="","",IF(OR(O825="28 - Encerrado",O825="27 - Instalação concluída"),"Concluído",TODAY()-INT(W825)))</f>
        <v/>
      </c>
      <c r="Y825" s="91" t="str">
        <f aca="false">IF(OR(O825="28 - Encerrado",O825="27 - Instalação concluída"),"OK",IF(AND(B825&lt;&gt;"",S825=""),"ATENÇÃO (Sem data de atualização)",IF(S825="","",IF(S825&gt;30,"CRÍTICO (Sem Atualização &gt;30 dias)",IF(S825&gt;15,"ATENÇÃO (Sem Atualização &gt;15 dias)",IF(X825&gt;90,"CRÍTICO (Aberto &gt;90 dias)","OK"))))))</f>
        <v/>
      </c>
      <c r="Z825" s="90" t="str">
        <f aca="false">IF(B825="","",IF(OR(O825="27 - Instalação concluída",O825="28 - Encerrado"),"OK",IF(NOT(ISNUMBER(X825)),"",IF(X825&gt;365,"MUITO ANTIGO (&gt;1 ano)",IF(X825&gt;180,"ANTIGO (&gt;6 meses)",IF(X825&gt;90,"ATENÇÃO ANTIG. (&gt;3 meses)","OK"))))))</f>
        <v/>
      </c>
      <c r="AA825" s="91"/>
    </row>
    <row r="826" customFormat="false" ht="16.5" hidden="false" customHeight="true" outlineLevel="0" collapsed="false">
      <c r="A826" s="86"/>
      <c r="B826" s="91"/>
      <c r="C826" s="91" t="str">
        <f aca="false">IF(D826="","",IFERROR(INDEX(CADASTRO_VIVO_3CRE!$B$2:$B$150,MATCH(D826,CADASTRO_VIVO_3CRE!$E$2:$E$150,0)),""))</f>
        <v/>
      </c>
      <c r="D826" s="91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8"/>
      <c r="S826" s="92" t="str">
        <f aca="true">IF(R826="","",TODAY()-INT(R826))</f>
        <v/>
      </c>
      <c r="T826" s="86"/>
      <c r="U826" s="86"/>
      <c r="V826" s="86"/>
      <c r="W826" s="88"/>
      <c r="X826" s="92" t="str">
        <f aca="true">IF(W826="","",IF(OR(O826="28 - Encerrado",O826="27 - Instalação concluída"),"Concluído",TODAY()-INT(W826)))</f>
        <v/>
      </c>
      <c r="Y826" s="91" t="str">
        <f aca="false">IF(OR(O826="28 - Encerrado",O826="27 - Instalação concluída"),"OK",IF(AND(B826&lt;&gt;"",S826=""),"ATENÇÃO (Sem data de atualização)",IF(S826="","",IF(S826&gt;30,"CRÍTICO (Sem Atualização &gt;30 dias)",IF(S826&gt;15,"ATENÇÃO (Sem Atualização &gt;15 dias)",IF(X826&gt;90,"CRÍTICO (Aberto &gt;90 dias)","OK"))))))</f>
        <v/>
      </c>
      <c r="Z826" s="90" t="str">
        <f aca="false">IF(B826="","",IF(OR(O826="27 - Instalação concluída",O826="28 - Encerrado"),"OK",IF(NOT(ISNUMBER(X826)),"",IF(X826&gt;365,"MUITO ANTIGO (&gt;1 ano)",IF(X826&gt;180,"ANTIGO (&gt;6 meses)",IF(X826&gt;90,"ATENÇÃO ANTIG. (&gt;3 meses)","OK"))))))</f>
        <v/>
      </c>
      <c r="AA826" s="91"/>
    </row>
    <row r="827" customFormat="false" ht="16.5" hidden="false" customHeight="true" outlineLevel="0" collapsed="false">
      <c r="A827" s="86"/>
      <c r="B827" s="91"/>
      <c r="C827" s="91" t="str">
        <f aca="false">IF(D827="","",IFERROR(INDEX(CADASTRO_VIVO_3CRE!$B$2:$B$150,MATCH(D827,CADASTRO_VIVO_3CRE!$E$2:$E$150,0)),""))</f>
        <v/>
      </c>
      <c r="D827" s="91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8"/>
      <c r="S827" s="92" t="str">
        <f aca="true">IF(R827="","",TODAY()-INT(R827))</f>
        <v/>
      </c>
      <c r="T827" s="86"/>
      <c r="U827" s="86"/>
      <c r="V827" s="86"/>
      <c r="W827" s="88"/>
      <c r="X827" s="92" t="str">
        <f aca="true">IF(W827="","",IF(OR(O827="28 - Encerrado",O827="27 - Instalação concluída"),"Concluído",TODAY()-INT(W827)))</f>
        <v/>
      </c>
      <c r="Y827" s="91" t="str">
        <f aca="false">IF(OR(O827="28 - Encerrado",O827="27 - Instalação concluída"),"OK",IF(AND(B827&lt;&gt;"",S827=""),"ATENÇÃO (Sem data de atualização)",IF(S827="","",IF(S827&gt;30,"CRÍTICO (Sem Atualização &gt;30 dias)",IF(S827&gt;15,"ATENÇÃO (Sem Atualização &gt;15 dias)",IF(X827&gt;90,"CRÍTICO (Aberto &gt;90 dias)","OK"))))))</f>
        <v/>
      </c>
      <c r="Z827" s="90" t="str">
        <f aca="false">IF(B827="","",IF(OR(O827="27 - Instalação concluída",O827="28 - Encerrado"),"OK",IF(NOT(ISNUMBER(X827)),"",IF(X827&gt;365,"MUITO ANTIGO (&gt;1 ano)",IF(X827&gt;180,"ANTIGO (&gt;6 meses)",IF(X827&gt;90,"ATENÇÃO ANTIG. (&gt;3 meses)","OK"))))))</f>
        <v/>
      </c>
      <c r="AA827" s="91"/>
    </row>
    <row r="828" customFormat="false" ht="16.5" hidden="false" customHeight="true" outlineLevel="0" collapsed="false">
      <c r="A828" s="86"/>
      <c r="B828" s="91"/>
      <c r="C828" s="91" t="str">
        <f aca="false">IF(D828="","",IFERROR(INDEX(CADASTRO_VIVO_3CRE!$B$2:$B$150,MATCH(D828,CADASTRO_VIVO_3CRE!$E$2:$E$150,0)),""))</f>
        <v/>
      </c>
      <c r="D828" s="91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8"/>
      <c r="S828" s="92" t="str">
        <f aca="true">IF(R828="","",TODAY()-INT(R828))</f>
        <v/>
      </c>
      <c r="T828" s="86"/>
      <c r="U828" s="86"/>
      <c r="V828" s="86"/>
      <c r="W828" s="88"/>
      <c r="X828" s="92" t="str">
        <f aca="true">IF(W828="","",IF(OR(O828="28 - Encerrado",O828="27 - Instalação concluída"),"Concluído",TODAY()-INT(W828)))</f>
        <v/>
      </c>
      <c r="Y828" s="91" t="str">
        <f aca="false">IF(OR(O828="28 - Encerrado",O828="27 - Instalação concluída"),"OK",IF(AND(B828&lt;&gt;"",S828=""),"ATENÇÃO (Sem data de atualização)",IF(S828="","",IF(S828&gt;30,"CRÍTICO (Sem Atualização &gt;30 dias)",IF(S828&gt;15,"ATENÇÃO (Sem Atualização &gt;15 dias)",IF(X828&gt;90,"CRÍTICO (Aberto &gt;90 dias)","OK"))))))</f>
        <v/>
      </c>
      <c r="Z828" s="90" t="str">
        <f aca="false">IF(B828="","",IF(OR(O828="27 - Instalação concluída",O828="28 - Encerrado"),"OK",IF(NOT(ISNUMBER(X828)),"",IF(X828&gt;365,"MUITO ANTIGO (&gt;1 ano)",IF(X828&gt;180,"ANTIGO (&gt;6 meses)",IF(X828&gt;90,"ATENÇÃO ANTIG. (&gt;3 meses)","OK"))))))</f>
        <v/>
      </c>
      <c r="AA828" s="91"/>
    </row>
    <row r="829" customFormat="false" ht="16.5" hidden="false" customHeight="true" outlineLevel="0" collapsed="false">
      <c r="A829" s="86"/>
      <c r="B829" s="91"/>
      <c r="C829" s="91" t="str">
        <f aca="false">IF(D829="","",IFERROR(INDEX(CADASTRO_VIVO_3CRE!$B$2:$B$150,MATCH(D829,CADASTRO_VIVO_3CRE!$E$2:$E$150,0)),""))</f>
        <v/>
      </c>
      <c r="D829" s="91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8"/>
      <c r="S829" s="92" t="str">
        <f aca="true">IF(R829="","",TODAY()-INT(R829))</f>
        <v/>
      </c>
      <c r="T829" s="86"/>
      <c r="U829" s="86"/>
      <c r="V829" s="86"/>
      <c r="W829" s="88"/>
      <c r="X829" s="92" t="str">
        <f aca="true">IF(W829="","",IF(OR(O829="28 - Encerrado",O829="27 - Instalação concluída"),"Concluído",TODAY()-INT(W829)))</f>
        <v/>
      </c>
      <c r="Y829" s="91" t="str">
        <f aca="false">IF(OR(O829="28 - Encerrado",O829="27 - Instalação concluída"),"OK",IF(AND(B829&lt;&gt;"",S829=""),"ATENÇÃO (Sem data de atualização)",IF(S829="","",IF(S829&gt;30,"CRÍTICO (Sem Atualização &gt;30 dias)",IF(S829&gt;15,"ATENÇÃO (Sem Atualização &gt;15 dias)",IF(X829&gt;90,"CRÍTICO (Aberto &gt;90 dias)","OK"))))))</f>
        <v/>
      </c>
      <c r="Z829" s="90" t="str">
        <f aca="false">IF(B829="","",IF(OR(O829="27 - Instalação concluída",O829="28 - Encerrado"),"OK",IF(NOT(ISNUMBER(X829)),"",IF(X829&gt;365,"MUITO ANTIGO (&gt;1 ano)",IF(X829&gt;180,"ANTIGO (&gt;6 meses)",IF(X829&gt;90,"ATENÇÃO ANTIG. (&gt;3 meses)","OK"))))))</f>
        <v/>
      </c>
      <c r="AA829" s="91"/>
    </row>
    <row r="830" customFormat="false" ht="16.5" hidden="false" customHeight="true" outlineLevel="0" collapsed="false">
      <c r="A830" s="86"/>
      <c r="B830" s="91"/>
      <c r="C830" s="91" t="str">
        <f aca="false">IF(D830="","",IFERROR(INDEX(CADASTRO_VIVO_3CRE!$B$2:$B$150,MATCH(D830,CADASTRO_VIVO_3CRE!$E$2:$E$150,0)),""))</f>
        <v/>
      </c>
      <c r="D830" s="91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8"/>
      <c r="S830" s="92" t="str">
        <f aca="true">IF(R830="","",TODAY()-INT(R830))</f>
        <v/>
      </c>
      <c r="T830" s="86"/>
      <c r="U830" s="86"/>
      <c r="V830" s="86"/>
      <c r="W830" s="88"/>
      <c r="X830" s="92" t="str">
        <f aca="true">IF(W830="","",IF(OR(O830="28 - Encerrado",O830="27 - Instalação concluída"),"Concluído",TODAY()-INT(W830)))</f>
        <v/>
      </c>
      <c r="Y830" s="91" t="str">
        <f aca="false">IF(OR(O830="28 - Encerrado",O830="27 - Instalação concluída"),"OK",IF(AND(B830&lt;&gt;"",S830=""),"ATENÇÃO (Sem data de atualização)",IF(S830="","",IF(S830&gt;30,"CRÍTICO (Sem Atualização &gt;30 dias)",IF(S830&gt;15,"ATENÇÃO (Sem Atualização &gt;15 dias)",IF(X830&gt;90,"CRÍTICO (Aberto &gt;90 dias)","OK"))))))</f>
        <v/>
      </c>
      <c r="Z830" s="90" t="str">
        <f aca="false">IF(B830="","",IF(OR(O830="27 - Instalação concluída",O830="28 - Encerrado"),"OK",IF(NOT(ISNUMBER(X830)),"",IF(X830&gt;365,"MUITO ANTIGO (&gt;1 ano)",IF(X830&gt;180,"ANTIGO (&gt;6 meses)",IF(X830&gt;90,"ATENÇÃO ANTIG. (&gt;3 meses)","OK"))))))</f>
        <v/>
      </c>
      <c r="AA830" s="91"/>
    </row>
    <row r="831" customFormat="false" ht="16.5" hidden="false" customHeight="true" outlineLevel="0" collapsed="false">
      <c r="A831" s="86"/>
      <c r="B831" s="91"/>
      <c r="C831" s="91" t="str">
        <f aca="false">IF(D831="","",IFERROR(INDEX(CADASTRO_VIVO_3CRE!$B$2:$B$150,MATCH(D831,CADASTRO_VIVO_3CRE!$E$2:$E$150,0)),""))</f>
        <v/>
      </c>
      <c r="D831" s="91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8"/>
      <c r="S831" s="92" t="str">
        <f aca="true">IF(R831="","",TODAY()-INT(R831))</f>
        <v/>
      </c>
      <c r="T831" s="86"/>
      <c r="U831" s="86"/>
      <c r="V831" s="86"/>
      <c r="W831" s="88"/>
      <c r="X831" s="92" t="str">
        <f aca="true">IF(W831="","",IF(OR(O831="28 - Encerrado",O831="27 - Instalação concluída"),"Concluído",TODAY()-INT(W831)))</f>
        <v/>
      </c>
      <c r="Y831" s="91" t="str">
        <f aca="false">IF(OR(O831="28 - Encerrado",O831="27 - Instalação concluída"),"OK",IF(AND(B831&lt;&gt;"",S831=""),"ATENÇÃO (Sem data de atualização)",IF(S831="","",IF(S831&gt;30,"CRÍTICO (Sem Atualização &gt;30 dias)",IF(S831&gt;15,"ATENÇÃO (Sem Atualização &gt;15 dias)",IF(X831&gt;90,"CRÍTICO (Aberto &gt;90 dias)","OK"))))))</f>
        <v/>
      </c>
      <c r="Z831" s="90" t="str">
        <f aca="false">IF(B831="","",IF(OR(O831="27 - Instalação concluída",O831="28 - Encerrado"),"OK",IF(NOT(ISNUMBER(X831)),"",IF(X831&gt;365,"MUITO ANTIGO (&gt;1 ano)",IF(X831&gt;180,"ANTIGO (&gt;6 meses)",IF(X831&gt;90,"ATENÇÃO ANTIG. (&gt;3 meses)","OK"))))))</f>
        <v/>
      </c>
      <c r="AA831" s="91"/>
    </row>
    <row r="832" customFormat="false" ht="16.5" hidden="false" customHeight="true" outlineLevel="0" collapsed="false">
      <c r="A832" s="86"/>
      <c r="B832" s="91"/>
      <c r="C832" s="91" t="str">
        <f aca="false">IF(D832="","",IFERROR(INDEX(CADASTRO_VIVO_3CRE!$B$2:$B$150,MATCH(D832,CADASTRO_VIVO_3CRE!$E$2:$E$150,0)),""))</f>
        <v/>
      </c>
      <c r="D832" s="91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8"/>
      <c r="S832" s="92" t="str">
        <f aca="true">IF(R832="","",TODAY()-INT(R832))</f>
        <v/>
      </c>
      <c r="T832" s="86"/>
      <c r="U832" s="86"/>
      <c r="V832" s="86"/>
      <c r="W832" s="88"/>
      <c r="X832" s="92" t="str">
        <f aca="true">IF(W832="","",IF(OR(O832="28 - Encerrado",O832="27 - Instalação concluída"),"Concluído",TODAY()-INT(W832)))</f>
        <v/>
      </c>
      <c r="Y832" s="91" t="str">
        <f aca="false">IF(OR(O832="28 - Encerrado",O832="27 - Instalação concluída"),"OK",IF(AND(B832&lt;&gt;"",S832=""),"ATENÇÃO (Sem data de atualização)",IF(S832="","",IF(S832&gt;30,"CRÍTICO (Sem Atualização &gt;30 dias)",IF(S832&gt;15,"ATENÇÃO (Sem Atualização &gt;15 dias)",IF(X832&gt;90,"CRÍTICO (Aberto &gt;90 dias)","OK"))))))</f>
        <v/>
      </c>
      <c r="Z832" s="90" t="str">
        <f aca="false">IF(B832="","",IF(OR(O832="27 - Instalação concluída",O832="28 - Encerrado"),"OK",IF(NOT(ISNUMBER(X832)),"",IF(X832&gt;365,"MUITO ANTIGO (&gt;1 ano)",IF(X832&gt;180,"ANTIGO (&gt;6 meses)",IF(X832&gt;90,"ATENÇÃO ANTIG. (&gt;3 meses)","OK"))))))</f>
        <v/>
      </c>
      <c r="AA832" s="91"/>
    </row>
    <row r="833" customFormat="false" ht="16.5" hidden="false" customHeight="true" outlineLevel="0" collapsed="false">
      <c r="A833" s="86"/>
      <c r="B833" s="91"/>
      <c r="C833" s="91" t="str">
        <f aca="false">IF(D833="","",IFERROR(INDEX(CADASTRO_VIVO_3CRE!$B$2:$B$150,MATCH(D833,CADASTRO_VIVO_3CRE!$E$2:$E$150,0)),""))</f>
        <v/>
      </c>
      <c r="D833" s="91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8"/>
      <c r="S833" s="92" t="str">
        <f aca="true">IF(R833="","",TODAY()-INT(R833))</f>
        <v/>
      </c>
      <c r="T833" s="86"/>
      <c r="U833" s="86"/>
      <c r="V833" s="86"/>
      <c r="W833" s="88"/>
      <c r="X833" s="92" t="str">
        <f aca="true">IF(W833="","",IF(OR(O833="28 - Encerrado",O833="27 - Instalação concluída"),"Concluído",TODAY()-INT(W833)))</f>
        <v/>
      </c>
      <c r="Y833" s="91" t="str">
        <f aca="false">IF(OR(O833="28 - Encerrado",O833="27 - Instalação concluída"),"OK",IF(AND(B833&lt;&gt;"",S833=""),"ATENÇÃO (Sem data de atualização)",IF(S833="","",IF(S833&gt;30,"CRÍTICO (Sem Atualização &gt;30 dias)",IF(S833&gt;15,"ATENÇÃO (Sem Atualização &gt;15 dias)",IF(X833&gt;90,"CRÍTICO (Aberto &gt;90 dias)","OK"))))))</f>
        <v/>
      </c>
      <c r="Z833" s="90" t="str">
        <f aca="false">IF(B833="","",IF(OR(O833="27 - Instalação concluída",O833="28 - Encerrado"),"OK",IF(NOT(ISNUMBER(X833)),"",IF(X833&gt;365,"MUITO ANTIGO (&gt;1 ano)",IF(X833&gt;180,"ANTIGO (&gt;6 meses)",IF(X833&gt;90,"ATENÇÃO ANTIG. (&gt;3 meses)","OK"))))))</f>
        <v/>
      </c>
      <c r="AA833" s="91"/>
    </row>
    <row r="834" customFormat="false" ht="16.5" hidden="false" customHeight="true" outlineLevel="0" collapsed="false">
      <c r="A834" s="86"/>
      <c r="B834" s="91"/>
      <c r="C834" s="91" t="str">
        <f aca="false">IF(D834="","",IFERROR(INDEX(CADASTRO_VIVO_3CRE!$B$2:$B$150,MATCH(D834,CADASTRO_VIVO_3CRE!$E$2:$E$150,0)),""))</f>
        <v/>
      </c>
      <c r="D834" s="91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8"/>
      <c r="S834" s="92" t="str">
        <f aca="true">IF(R834="","",TODAY()-INT(R834))</f>
        <v/>
      </c>
      <c r="T834" s="86"/>
      <c r="U834" s="86"/>
      <c r="V834" s="86"/>
      <c r="W834" s="88"/>
      <c r="X834" s="92" t="str">
        <f aca="true">IF(W834="","",IF(OR(O834="28 - Encerrado",O834="27 - Instalação concluída"),"Concluído",TODAY()-INT(W834)))</f>
        <v/>
      </c>
      <c r="Y834" s="91" t="str">
        <f aca="false">IF(OR(O834="28 - Encerrado",O834="27 - Instalação concluída"),"OK",IF(AND(B834&lt;&gt;"",S834=""),"ATENÇÃO (Sem data de atualização)",IF(S834="","",IF(S834&gt;30,"CRÍTICO (Sem Atualização &gt;30 dias)",IF(S834&gt;15,"ATENÇÃO (Sem Atualização &gt;15 dias)",IF(X834&gt;90,"CRÍTICO (Aberto &gt;90 dias)","OK"))))))</f>
        <v/>
      </c>
      <c r="Z834" s="90" t="str">
        <f aca="false">IF(B834="","",IF(OR(O834="27 - Instalação concluída",O834="28 - Encerrado"),"OK",IF(NOT(ISNUMBER(X834)),"",IF(X834&gt;365,"MUITO ANTIGO (&gt;1 ano)",IF(X834&gt;180,"ANTIGO (&gt;6 meses)",IF(X834&gt;90,"ATENÇÃO ANTIG. (&gt;3 meses)","OK"))))))</f>
        <v/>
      </c>
      <c r="AA834" s="91"/>
    </row>
    <row r="835" customFormat="false" ht="16.5" hidden="false" customHeight="true" outlineLevel="0" collapsed="false">
      <c r="A835" s="86"/>
      <c r="B835" s="91"/>
      <c r="C835" s="91" t="str">
        <f aca="false">IF(D835="","",IFERROR(INDEX(CADASTRO_VIVO_3CRE!$B$2:$B$150,MATCH(D835,CADASTRO_VIVO_3CRE!$E$2:$E$150,0)),""))</f>
        <v/>
      </c>
      <c r="D835" s="91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8"/>
      <c r="S835" s="92" t="str">
        <f aca="true">IF(R835="","",TODAY()-INT(R835))</f>
        <v/>
      </c>
      <c r="T835" s="86"/>
      <c r="U835" s="86"/>
      <c r="V835" s="86"/>
      <c r="W835" s="88"/>
      <c r="X835" s="92" t="str">
        <f aca="true">IF(W835="","",IF(OR(O835="28 - Encerrado",O835="27 - Instalação concluída"),"Concluído",TODAY()-INT(W835)))</f>
        <v/>
      </c>
      <c r="Y835" s="91" t="str">
        <f aca="false">IF(OR(O835="28 - Encerrado",O835="27 - Instalação concluída"),"OK",IF(AND(B835&lt;&gt;"",S835=""),"ATENÇÃO (Sem data de atualização)",IF(S835="","",IF(S835&gt;30,"CRÍTICO (Sem Atualização &gt;30 dias)",IF(S835&gt;15,"ATENÇÃO (Sem Atualização &gt;15 dias)",IF(X835&gt;90,"CRÍTICO (Aberto &gt;90 dias)","OK"))))))</f>
        <v/>
      </c>
      <c r="Z835" s="90" t="str">
        <f aca="false">IF(B835="","",IF(OR(O835="27 - Instalação concluída",O835="28 - Encerrado"),"OK",IF(NOT(ISNUMBER(X835)),"",IF(X835&gt;365,"MUITO ANTIGO (&gt;1 ano)",IF(X835&gt;180,"ANTIGO (&gt;6 meses)",IF(X835&gt;90,"ATENÇÃO ANTIG. (&gt;3 meses)","OK"))))))</f>
        <v/>
      </c>
      <c r="AA835" s="91"/>
    </row>
    <row r="836" customFormat="false" ht="16.5" hidden="false" customHeight="true" outlineLevel="0" collapsed="false">
      <c r="A836" s="86"/>
      <c r="B836" s="91"/>
      <c r="C836" s="91" t="str">
        <f aca="false">IF(D836="","",IFERROR(INDEX(CADASTRO_VIVO_3CRE!$B$2:$B$150,MATCH(D836,CADASTRO_VIVO_3CRE!$E$2:$E$150,0)),""))</f>
        <v/>
      </c>
      <c r="D836" s="91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8"/>
      <c r="S836" s="92" t="str">
        <f aca="true">IF(R836="","",TODAY()-INT(R836))</f>
        <v/>
      </c>
      <c r="T836" s="86"/>
      <c r="U836" s="86"/>
      <c r="V836" s="86"/>
      <c r="W836" s="88"/>
      <c r="X836" s="92" t="str">
        <f aca="true">IF(W836="","",IF(OR(O836="28 - Encerrado",O836="27 - Instalação concluída"),"Concluído",TODAY()-INT(W836)))</f>
        <v/>
      </c>
      <c r="Y836" s="91" t="str">
        <f aca="false">IF(OR(O836="28 - Encerrado",O836="27 - Instalação concluída"),"OK",IF(AND(B836&lt;&gt;"",S836=""),"ATENÇÃO (Sem data de atualização)",IF(S836="","",IF(S836&gt;30,"CRÍTICO (Sem Atualização &gt;30 dias)",IF(S836&gt;15,"ATENÇÃO (Sem Atualização &gt;15 dias)",IF(X836&gt;90,"CRÍTICO (Aberto &gt;90 dias)","OK"))))))</f>
        <v/>
      </c>
      <c r="Z836" s="90" t="str">
        <f aca="false">IF(B836="","",IF(OR(O836="27 - Instalação concluída",O836="28 - Encerrado"),"OK",IF(NOT(ISNUMBER(X836)),"",IF(X836&gt;365,"MUITO ANTIGO (&gt;1 ano)",IF(X836&gt;180,"ANTIGO (&gt;6 meses)",IF(X836&gt;90,"ATENÇÃO ANTIG. (&gt;3 meses)","OK"))))))</f>
        <v/>
      </c>
      <c r="AA836" s="91"/>
    </row>
    <row r="837" customFormat="false" ht="16.5" hidden="false" customHeight="true" outlineLevel="0" collapsed="false">
      <c r="A837" s="86"/>
      <c r="B837" s="91"/>
      <c r="C837" s="91" t="str">
        <f aca="false">IF(D837="","",IFERROR(INDEX(CADASTRO_VIVO_3CRE!$B$2:$B$150,MATCH(D837,CADASTRO_VIVO_3CRE!$E$2:$E$150,0)),""))</f>
        <v/>
      </c>
      <c r="D837" s="91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8"/>
      <c r="S837" s="92" t="str">
        <f aca="true">IF(R837="","",TODAY()-INT(R837))</f>
        <v/>
      </c>
      <c r="T837" s="86"/>
      <c r="U837" s="86"/>
      <c r="V837" s="86"/>
      <c r="W837" s="88"/>
      <c r="X837" s="92" t="str">
        <f aca="true">IF(W837="","",IF(OR(O837="28 - Encerrado",O837="27 - Instalação concluída"),"Concluído",TODAY()-INT(W837)))</f>
        <v/>
      </c>
      <c r="Y837" s="91" t="str">
        <f aca="false">IF(OR(O837="28 - Encerrado",O837="27 - Instalação concluída"),"OK",IF(AND(B837&lt;&gt;"",S837=""),"ATENÇÃO (Sem data de atualização)",IF(S837="","",IF(S837&gt;30,"CRÍTICO (Sem Atualização &gt;30 dias)",IF(S837&gt;15,"ATENÇÃO (Sem Atualização &gt;15 dias)",IF(X837&gt;90,"CRÍTICO (Aberto &gt;90 dias)","OK"))))))</f>
        <v/>
      </c>
      <c r="Z837" s="90" t="str">
        <f aca="false">IF(B837="","",IF(OR(O837="27 - Instalação concluída",O837="28 - Encerrado"),"OK",IF(NOT(ISNUMBER(X837)),"",IF(X837&gt;365,"MUITO ANTIGO (&gt;1 ano)",IF(X837&gt;180,"ANTIGO (&gt;6 meses)",IF(X837&gt;90,"ATENÇÃO ANTIG. (&gt;3 meses)","OK"))))))</f>
        <v/>
      </c>
      <c r="AA837" s="91"/>
    </row>
    <row r="838" customFormat="false" ht="16.5" hidden="false" customHeight="true" outlineLevel="0" collapsed="false">
      <c r="A838" s="86"/>
      <c r="B838" s="91"/>
      <c r="C838" s="91" t="str">
        <f aca="false">IF(D838="","",IFERROR(INDEX(CADASTRO_VIVO_3CRE!$B$2:$B$150,MATCH(D838,CADASTRO_VIVO_3CRE!$E$2:$E$150,0)),""))</f>
        <v/>
      </c>
      <c r="D838" s="91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8"/>
      <c r="S838" s="92" t="str">
        <f aca="true">IF(R838="","",TODAY()-INT(R838))</f>
        <v/>
      </c>
      <c r="T838" s="86"/>
      <c r="U838" s="86"/>
      <c r="V838" s="86"/>
      <c r="W838" s="88"/>
      <c r="X838" s="92" t="str">
        <f aca="true">IF(W838="","",IF(OR(O838="28 - Encerrado",O838="27 - Instalação concluída"),"Concluído",TODAY()-INT(W838)))</f>
        <v/>
      </c>
      <c r="Y838" s="91" t="str">
        <f aca="false">IF(OR(O838="28 - Encerrado",O838="27 - Instalação concluída"),"OK",IF(AND(B838&lt;&gt;"",S838=""),"ATENÇÃO (Sem data de atualização)",IF(S838="","",IF(S838&gt;30,"CRÍTICO (Sem Atualização &gt;30 dias)",IF(S838&gt;15,"ATENÇÃO (Sem Atualização &gt;15 dias)",IF(X838&gt;90,"CRÍTICO (Aberto &gt;90 dias)","OK"))))))</f>
        <v/>
      </c>
      <c r="Z838" s="90" t="str">
        <f aca="false">IF(B838="","",IF(OR(O838="27 - Instalação concluída",O838="28 - Encerrado"),"OK",IF(NOT(ISNUMBER(X838)),"",IF(X838&gt;365,"MUITO ANTIGO (&gt;1 ano)",IF(X838&gt;180,"ANTIGO (&gt;6 meses)",IF(X838&gt;90,"ATENÇÃO ANTIG. (&gt;3 meses)","OK"))))))</f>
        <v/>
      </c>
      <c r="AA838" s="91"/>
    </row>
    <row r="839" customFormat="false" ht="16.5" hidden="false" customHeight="true" outlineLevel="0" collapsed="false">
      <c r="A839" s="86"/>
      <c r="B839" s="91"/>
      <c r="C839" s="91" t="str">
        <f aca="false">IF(D839="","",IFERROR(INDEX(CADASTRO_VIVO_3CRE!$B$2:$B$150,MATCH(D839,CADASTRO_VIVO_3CRE!$E$2:$E$150,0)),""))</f>
        <v/>
      </c>
      <c r="D839" s="91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8"/>
      <c r="S839" s="92" t="str">
        <f aca="true">IF(R839="","",TODAY()-INT(R839))</f>
        <v/>
      </c>
      <c r="T839" s="86"/>
      <c r="U839" s="86"/>
      <c r="V839" s="86"/>
      <c r="W839" s="88"/>
      <c r="X839" s="92" t="str">
        <f aca="true">IF(W839="","",IF(OR(O839="28 - Encerrado",O839="27 - Instalação concluída"),"Concluído",TODAY()-INT(W839)))</f>
        <v/>
      </c>
      <c r="Y839" s="91" t="str">
        <f aca="false">IF(OR(O839="28 - Encerrado",O839="27 - Instalação concluída"),"OK",IF(AND(B839&lt;&gt;"",S839=""),"ATENÇÃO (Sem data de atualização)",IF(S839="","",IF(S839&gt;30,"CRÍTICO (Sem Atualização &gt;30 dias)",IF(S839&gt;15,"ATENÇÃO (Sem Atualização &gt;15 dias)",IF(X839&gt;90,"CRÍTICO (Aberto &gt;90 dias)","OK"))))))</f>
        <v/>
      </c>
      <c r="Z839" s="90" t="str">
        <f aca="false">IF(B839="","",IF(OR(O839="27 - Instalação concluída",O839="28 - Encerrado"),"OK",IF(NOT(ISNUMBER(X839)),"",IF(X839&gt;365,"MUITO ANTIGO (&gt;1 ano)",IF(X839&gt;180,"ANTIGO (&gt;6 meses)",IF(X839&gt;90,"ATENÇÃO ANTIG. (&gt;3 meses)","OK"))))))</f>
        <v/>
      </c>
      <c r="AA839" s="91"/>
    </row>
    <row r="840" customFormat="false" ht="16.5" hidden="false" customHeight="true" outlineLevel="0" collapsed="false">
      <c r="A840" s="86"/>
      <c r="B840" s="91"/>
      <c r="C840" s="91" t="str">
        <f aca="false">IF(D840="","",IFERROR(INDEX(CADASTRO_VIVO_3CRE!$B$2:$B$150,MATCH(D840,CADASTRO_VIVO_3CRE!$E$2:$E$150,0)),""))</f>
        <v/>
      </c>
      <c r="D840" s="91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8"/>
      <c r="S840" s="92" t="str">
        <f aca="true">IF(R840="","",TODAY()-INT(R840))</f>
        <v/>
      </c>
      <c r="T840" s="86"/>
      <c r="U840" s="86"/>
      <c r="V840" s="86"/>
      <c r="W840" s="88"/>
      <c r="X840" s="92" t="str">
        <f aca="true">IF(W840="","",IF(OR(O840="28 - Encerrado",O840="27 - Instalação concluída"),"Concluído",TODAY()-INT(W840)))</f>
        <v/>
      </c>
      <c r="Y840" s="91" t="str">
        <f aca="false">IF(OR(O840="28 - Encerrado",O840="27 - Instalação concluída"),"OK",IF(AND(B840&lt;&gt;"",S840=""),"ATENÇÃO (Sem data de atualização)",IF(S840="","",IF(S840&gt;30,"CRÍTICO (Sem Atualização &gt;30 dias)",IF(S840&gt;15,"ATENÇÃO (Sem Atualização &gt;15 dias)",IF(X840&gt;90,"CRÍTICO (Aberto &gt;90 dias)","OK"))))))</f>
        <v/>
      </c>
      <c r="Z840" s="90" t="str">
        <f aca="false">IF(B840="","",IF(OR(O840="27 - Instalação concluída",O840="28 - Encerrado"),"OK",IF(NOT(ISNUMBER(X840)),"",IF(X840&gt;365,"MUITO ANTIGO (&gt;1 ano)",IF(X840&gt;180,"ANTIGO (&gt;6 meses)",IF(X840&gt;90,"ATENÇÃO ANTIG. (&gt;3 meses)","OK"))))))</f>
        <v/>
      </c>
      <c r="AA840" s="91"/>
    </row>
    <row r="841" customFormat="false" ht="16.5" hidden="false" customHeight="true" outlineLevel="0" collapsed="false">
      <c r="A841" s="86"/>
      <c r="B841" s="91"/>
      <c r="C841" s="91" t="str">
        <f aca="false">IF(D841="","",IFERROR(INDEX(CADASTRO_VIVO_3CRE!$B$2:$B$150,MATCH(D841,CADASTRO_VIVO_3CRE!$E$2:$E$150,0)),""))</f>
        <v/>
      </c>
      <c r="D841" s="91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8"/>
      <c r="S841" s="92" t="str">
        <f aca="true">IF(R841="","",TODAY()-INT(R841))</f>
        <v/>
      </c>
      <c r="T841" s="86"/>
      <c r="U841" s="86"/>
      <c r="V841" s="86"/>
      <c r="W841" s="88"/>
      <c r="X841" s="92" t="str">
        <f aca="true">IF(W841="","",IF(OR(O841="28 - Encerrado",O841="27 - Instalação concluída"),"Concluído",TODAY()-INT(W841)))</f>
        <v/>
      </c>
      <c r="Y841" s="91" t="str">
        <f aca="false">IF(OR(O841="28 - Encerrado",O841="27 - Instalação concluída"),"OK",IF(AND(B841&lt;&gt;"",S841=""),"ATENÇÃO (Sem data de atualização)",IF(S841="","",IF(S841&gt;30,"CRÍTICO (Sem Atualização &gt;30 dias)",IF(S841&gt;15,"ATENÇÃO (Sem Atualização &gt;15 dias)",IF(X841&gt;90,"CRÍTICO (Aberto &gt;90 dias)","OK"))))))</f>
        <v/>
      </c>
      <c r="Z841" s="90" t="str">
        <f aca="false">IF(B841="","",IF(OR(O841="27 - Instalação concluída",O841="28 - Encerrado"),"OK",IF(NOT(ISNUMBER(X841)),"",IF(X841&gt;365,"MUITO ANTIGO (&gt;1 ano)",IF(X841&gt;180,"ANTIGO (&gt;6 meses)",IF(X841&gt;90,"ATENÇÃO ANTIG. (&gt;3 meses)","OK"))))))</f>
        <v/>
      </c>
      <c r="AA841" s="91"/>
    </row>
    <row r="842" customFormat="false" ht="16.5" hidden="false" customHeight="true" outlineLevel="0" collapsed="false">
      <c r="A842" s="86"/>
      <c r="B842" s="91"/>
      <c r="C842" s="91" t="str">
        <f aca="false">IF(D842="","",IFERROR(INDEX(CADASTRO_VIVO_3CRE!$B$2:$B$150,MATCH(D842,CADASTRO_VIVO_3CRE!$E$2:$E$150,0)),""))</f>
        <v/>
      </c>
      <c r="D842" s="91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8"/>
      <c r="S842" s="92" t="str">
        <f aca="true">IF(R842="","",TODAY()-INT(R842))</f>
        <v/>
      </c>
      <c r="T842" s="86"/>
      <c r="U842" s="86"/>
      <c r="V842" s="86"/>
      <c r="W842" s="88"/>
      <c r="X842" s="92" t="str">
        <f aca="true">IF(W842="","",IF(OR(O842="28 - Encerrado",O842="27 - Instalação concluída"),"Concluído",TODAY()-INT(W842)))</f>
        <v/>
      </c>
      <c r="Y842" s="91" t="str">
        <f aca="false">IF(OR(O842="28 - Encerrado",O842="27 - Instalação concluída"),"OK",IF(AND(B842&lt;&gt;"",S842=""),"ATENÇÃO (Sem data de atualização)",IF(S842="","",IF(S842&gt;30,"CRÍTICO (Sem Atualização &gt;30 dias)",IF(S842&gt;15,"ATENÇÃO (Sem Atualização &gt;15 dias)",IF(X842&gt;90,"CRÍTICO (Aberto &gt;90 dias)","OK"))))))</f>
        <v/>
      </c>
      <c r="Z842" s="90" t="str">
        <f aca="false">IF(B842="","",IF(OR(O842="27 - Instalação concluída",O842="28 - Encerrado"),"OK",IF(NOT(ISNUMBER(X842)),"",IF(X842&gt;365,"MUITO ANTIGO (&gt;1 ano)",IF(X842&gt;180,"ANTIGO (&gt;6 meses)",IF(X842&gt;90,"ATENÇÃO ANTIG. (&gt;3 meses)","OK"))))))</f>
        <v/>
      </c>
      <c r="AA842" s="91"/>
    </row>
    <row r="843" customFormat="false" ht="16.5" hidden="false" customHeight="true" outlineLevel="0" collapsed="false">
      <c r="A843" s="86"/>
      <c r="B843" s="91"/>
      <c r="C843" s="91" t="str">
        <f aca="false">IF(D843="","",IFERROR(INDEX(CADASTRO_VIVO_3CRE!$B$2:$B$150,MATCH(D843,CADASTRO_VIVO_3CRE!$E$2:$E$150,0)),""))</f>
        <v/>
      </c>
      <c r="D843" s="91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8"/>
      <c r="S843" s="92" t="str">
        <f aca="true">IF(R843="","",TODAY()-INT(R843))</f>
        <v/>
      </c>
      <c r="T843" s="86"/>
      <c r="U843" s="86"/>
      <c r="V843" s="86"/>
      <c r="W843" s="88"/>
      <c r="X843" s="92" t="str">
        <f aca="true">IF(W843="","",IF(OR(O843="28 - Encerrado",O843="27 - Instalação concluída"),"Concluído",TODAY()-INT(W843)))</f>
        <v/>
      </c>
      <c r="Y843" s="91" t="str">
        <f aca="false">IF(OR(O843="28 - Encerrado",O843="27 - Instalação concluída"),"OK",IF(AND(B843&lt;&gt;"",S843=""),"ATENÇÃO (Sem data de atualização)",IF(S843="","",IF(S843&gt;30,"CRÍTICO (Sem Atualização &gt;30 dias)",IF(S843&gt;15,"ATENÇÃO (Sem Atualização &gt;15 dias)",IF(X843&gt;90,"CRÍTICO (Aberto &gt;90 dias)","OK"))))))</f>
        <v/>
      </c>
      <c r="Z843" s="90" t="str">
        <f aca="false">IF(B843="","",IF(OR(O843="27 - Instalação concluída",O843="28 - Encerrado"),"OK",IF(NOT(ISNUMBER(X843)),"",IF(X843&gt;365,"MUITO ANTIGO (&gt;1 ano)",IF(X843&gt;180,"ANTIGO (&gt;6 meses)",IF(X843&gt;90,"ATENÇÃO ANTIG. (&gt;3 meses)","OK"))))))</f>
        <v/>
      </c>
      <c r="AA843" s="91"/>
    </row>
    <row r="844" customFormat="false" ht="16.5" hidden="false" customHeight="true" outlineLevel="0" collapsed="false">
      <c r="A844" s="86"/>
      <c r="B844" s="91"/>
      <c r="C844" s="91" t="str">
        <f aca="false">IF(D844="","",IFERROR(INDEX(CADASTRO_VIVO_3CRE!$B$2:$B$150,MATCH(D844,CADASTRO_VIVO_3CRE!$E$2:$E$150,0)),""))</f>
        <v/>
      </c>
      <c r="D844" s="91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8"/>
      <c r="S844" s="92" t="str">
        <f aca="true">IF(R844="","",TODAY()-INT(R844))</f>
        <v/>
      </c>
      <c r="T844" s="86"/>
      <c r="U844" s="86"/>
      <c r="V844" s="86"/>
      <c r="W844" s="88"/>
      <c r="X844" s="92" t="str">
        <f aca="true">IF(W844="","",IF(OR(O844="28 - Encerrado",O844="27 - Instalação concluída"),"Concluído",TODAY()-INT(W844)))</f>
        <v/>
      </c>
      <c r="Y844" s="91" t="str">
        <f aca="false">IF(OR(O844="28 - Encerrado",O844="27 - Instalação concluída"),"OK",IF(AND(B844&lt;&gt;"",S844=""),"ATENÇÃO (Sem data de atualização)",IF(S844="","",IF(S844&gt;30,"CRÍTICO (Sem Atualização &gt;30 dias)",IF(S844&gt;15,"ATENÇÃO (Sem Atualização &gt;15 dias)",IF(X844&gt;90,"CRÍTICO (Aberto &gt;90 dias)","OK"))))))</f>
        <v/>
      </c>
      <c r="Z844" s="90" t="str">
        <f aca="false">IF(B844="","",IF(OR(O844="27 - Instalação concluída",O844="28 - Encerrado"),"OK",IF(NOT(ISNUMBER(X844)),"",IF(X844&gt;365,"MUITO ANTIGO (&gt;1 ano)",IF(X844&gt;180,"ANTIGO (&gt;6 meses)",IF(X844&gt;90,"ATENÇÃO ANTIG. (&gt;3 meses)","OK"))))))</f>
        <v/>
      </c>
      <c r="AA844" s="91"/>
    </row>
    <row r="845" customFormat="false" ht="16.5" hidden="false" customHeight="true" outlineLevel="0" collapsed="false">
      <c r="A845" s="86"/>
      <c r="B845" s="91"/>
      <c r="C845" s="91" t="str">
        <f aca="false">IF(D845="","",IFERROR(INDEX(CADASTRO_VIVO_3CRE!$B$2:$B$150,MATCH(D845,CADASTRO_VIVO_3CRE!$E$2:$E$150,0)),""))</f>
        <v/>
      </c>
      <c r="D845" s="91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8"/>
      <c r="S845" s="92" t="str">
        <f aca="true">IF(R845="","",TODAY()-INT(R845))</f>
        <v/>
      </c>
      <c r="T845" s="86"/>
      <c r="U845" s="86"/>
      <c r="V845" s="86"/>
      <c r="W845" s="88"/>
      <c r="X845" s="92" t="str">
        <f aca="true">IF(W845="","",IF(OR(O845="28 - Encerrado",O845="27 - Instalação concluída"),"Concluído",TODAY()-INT(W845)))</f>
        <v/>
      </c>
      <c r="Y845" s="91" t="str">
        <f aca="false">IF(OR(O845="28 - Encerrado",O845="27 - Instalação concluída"),"OK",IF(AND(B845&lt;&gt;"",S845=""),"ATENÇÃO (Sem data de atualização)",IF(S845="","",IF(S845&gt;30,"CRÍTICO (Sem Atualização &gt;30 dias)",IF(S845&gt;15,"ATENÇÃO (Sem Atualização &gt;15 dias)",IF(X845&gt;90,"CRÍTICO (Aberto &gt;90 dias)","OK"))))))</f>
        <v/>
      </c>
      <c r="Z845" s="90" t="str">
        <f aca="false">IF(B845="","",IF(OR(O845="27 - Instalação concluída",O845="28 - Encerrado"),"OK",IF(NOT(ISNUMBER(X845)),"",IF(X845&gt;365,"MUITO ANTIGO (&gt;1 ano)",IF(X845&gt;180,"ANTIGO (&gt;6 meses)",IF(X845&gt;90,"ATENÇÃO ANTIG. (&gt;3 meses)","OK"))))))</f>
        <v/>
      </c>
      <c r="AA845" s="91"/>
    </row>
    <row r="846" customFormat="false" ht="16.5" hidden="false" customHeight="true" outlineLevel="0" collapsed="false">
      <c r="A846" s="86"/>
      <c r="B846" s="91"/>
      <c r="C846" s="91" t="str">
        <f aca="false">IF(D846="","",IFERROR(INDEX(CADASTRO_VIVO_3CRE!$B$2:$B$150,MATCH(D846,CADASTRO_VIVO_3CRE!$E$2:$E$150,0)),""))</f>
        <v/>
      </c>
      <c r="D846" s="91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8"/>
      <c r="S846" s="92" t="str">
        <f aca="true">IF(R846="","",TODAY()-INT(R846))</f>
        <v/>
      </c>
      <c r="T846" s="86"/>
      <c r="U846" s="86"/>
      <c r="V846" s="86"/>
      <c r="W846" s="88"/>
      <c r="X846" s="92" t="str">
        <f aca="true">IF(W846="","",IF(OR(O846="28 - Encerrado",O846="27 - Instalação concluída"),"Concluído",TODAY()-INT(W846)))</f>
        <v/>
      </c>
      <c r="Y846" s="91" t="str">
        <f aca="false">IF(OR(O846="28 - Encerrado",O846="27 - Instalação concluída"),"OK",IF(AND(B846&lt;&gt;"",S846=""),"ATENÇÃO (Sem data de atualização)",IF(S846="","",IF(S846&gt;30,"CRÍTICO (Sem Atualização &gt;30 dias)",IF(S846&gt;15,"ATENÇÃO (Sem Atualização &gt;15 dias)",IF(X846&gt;90,"CRÍTICO (Aberto &gt;90 dias)","OK"))))))</f>
        <v/>
      </c>
      <c r="Z846" s="90" t="str">
        <f aca="false">IF(B846="","",IF(OR(O846="27 - Instalação concluída",O846="28 - Encerrado"),"OK",IF(NOT(ISNUMBER(X846)),"",IF(X846&gt;365,"MUITO ANTIGO (&gt;1 ano)",IF(X846&gt;180,"ANTIGO (&gt;6 meses)",IF(X846&gt;90,"ATENÇÃO ANTIG. (&gt;3 meses)","OK"))))))</f>
        <v/>
      </c>
      <c r="AA846" s="91"/>
    </row>
    <row r="847" customFormat="false" ht="16.5" hidden="false" customHeight="true" outlineLevel="0" collapsed="false">
      <c r="A847" s="86"/>
      <c r="B847" s="91"/>
      <c r="C847" s="91" t="str">
        <f aca="false">IF(D847="","",IFERROR(INDEX(CADASTRO_VIVO_3CRE!$B$2:$B$150,MATCH(D847,CADASTRO_VIVO_3CRE!$E$2:$E$150,0)),""))</f>
        <v/>
      </c>
      <c r="D847" s="91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8"/>
      <c r="S847" s="92" t="str">
        <f aca="true">IF(R847="","",TODAY()-INT(R847))</f>
        <v/>
      </c>
      <c r="T847" s="86"/>
      <c r="U847" s="86"/>
      <c r="V847" s="86"/>
      <c r="W847" s="88"/>
      <c r="X847" s="92" t="str">
        <f aca="true">IF(W847="","",IF(OR(O847="28 - Encerrado",O847="27 - Instalação concluída"),"Concluído",TODAY()-INT(W847)))</f>
        <v/>
      </c>
      <c r="Y847" s="91" t="str">
        <f aca="false">IF(OR(O847="28 - Encerrado",O847="27 - Instalação concluída"),"OK",IF(AND(B847&lt;&gt;"",S847=""),"ATENÇÃO (Sem data de atualização)",IF(S847="","",IF(S847&gt;30,"CRÍTICO (Sem Atualização &gt;30 dias)",IF(S847&gt;15,"ATENÇÃO (Sem Atualização &gt;15 dias)",IF(X847&gt;90,"CRÍTICO (Aberto &gt;90 dias)","OK"))))))</f>
        <v/>
      </c>
      <c r="Z847" s="90" t="str">
        <f aca="false">IF(B847="","",IF(OR(O847="27 - Instalação concluída",O847="28 - Encerrado"),"OK",IF(NOT(ISNUMBER(X847)),"",IF(X847&gt;365,"MUITO ANTIGO (&gt;1 ano)",IF(X847&gt;180,"ANTIGO (&gt;6 meses)",IF(X847&gt;90,"ATENÇÃO ANTIG. (&gt;3 meses)","OK"))))))</f>
        <v/>
      </c>
      <c r="AA847" s="91"/>
    </row>
    <row r="848" customFormat="false" ht="16.5" hidden="false" customHeight="true" outlineLevel="0" collapsed="false">
      <c r="A848" s="86"/>
      <c r="B848" s="91"/>
      <c r="C848" s="91" t="str">
        <f aca="false">IF(D848="","",IFERROR(INDEX(CADASTRO_VIVO_3CRE!$B$2:$B$150,MATCH(D848,CADASTRO_VIVO_3CRE!$E$2:$E$150,0)),""))</f>
        <v/>
      </c>
      <c r="D848" s="91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8"/>
      <c r="S848" s="92" t="str">
        <f aca="true">IF(R848="","",TODAY()-INT(R848))</f>
        <v/>
      </c>
      <c r="T848" s="86"/>
      <c r="U848" s="86"/>
      <c r="V848" s="86"/>
      <c r="W848" s="88"/>
      <c r="X848" s="92" t="str">
        <f aca="true">IF(W848="","",IF(OR(O848="28 - Encerrado",O848="27 - Instalação concluída"),"Concluído",TODAY()-INT(W848)))</f>
        <v/>
      </c>
      <c r="Y848" s="91" t="str">
        <f aca="false">IF(OR(O848="28 - Encerrado",O848="27 - Instalação concluída"),"OK",IF(AND(B848&lt;&gt;"",S848=""),"ATENÇÃO (Sem data de atualização)",IF(S848="","",IF(S848&gt;30,"CRÍTICO (Sem Atualização &gt;30 dias)",IF(S848&gt;15,"ATENÇÃO (Sem Atualização &gt;15 dias)",IF(X848&gt;90,"CRÍTICO (Aberto &gt;90 dias)","OK"))))))</f>
        <v/>
      </c>
      <c r="Z848" s="90" t="str">
        <f aca="false">IF(B848="","",IF(OR(O848="27 - Instalação concluída",O848="28 - Encerrado"),"OK",IF(NOT(ISNUMBER(X848)),"",IF(X848&gt;365,"MUITO ANTIGO (&gt;1 ano)",IF(X848&gt;180,"ANTIGO (&gt;6 meses)",IF(X848&gt;90,"ATENÇÃO ANTIG. (&gt;3 meses)","OK"))))))</f>
        <v/>
      </c>
      <c r="AA848" s="91"/>
    </row>
    <row r="849" customFormat="false" ht="16.5" hidden="false" customHeight="true" outlineLevel="0" collapsed="false">
      <c r="A849" s="86"/>
      <c r="B849" s="91"/>
      <c r="C849" s="91" t="str">
        <f aca="false">IF(D849="","",IFERROR(INDEX(CADASTRO_VIVO_3CRE!$B$2:$B$150,MATCH(D849,CADASTRO_VIVO_3CRE!$E$2:$E$150,0)),""))</f>
        <v/>
      </c>
      <c r="D849" s="91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8"/>
      <c r="S849" s="92" t="str">
        <f aca="true">IF(R849="","",TODAY()-INT(R849))</f>
        <v/>
      </c>
      <c r="T849" s="86"/>
      <c r="U849" s="86"/>
      <c r="V849" s="86"/>
      <c r="W849" s="88"/>
      <c r="X849" s="92" t="str">
        <f aca="true">IF(W849="","",IF(OR(O849="28 - Encerrado",O849="27 - Instalação concluída"),"Concluído",TODAY()-INT(W849)))</f>
        <v/>
      </c>
      <c r="Y849" s="91" t="str">
        <f aca="false">IF(OR(O849="28 - Encerrado",O849="27 - Instalação concluída"),"OK",IF(AND(B849&lt;&gt;"",S849=""),"ATENÇÃO (Sem data de atualização)",IF(S849="","",IF(S849&gt;30,"CRÍTICO (Sem Atualização &gt;30 dias)",IF(S849&gt;15,"ATENÇÃO (Sem Atualização &gt;15 dias)",IF(X849&gt;90,"CRÍTICO (Aberto &gt;90 dias)","OK"))))))</f>
        <v/>
      </c>
      <c r="Z849" s="90" t="str">
        <f aca="false">IF(B849="","",IF(OR(O849="27 - Instalação concluída",O849="28 - Encerrado"),"OK",IF(NOT(ISNUMBER(X849)),"",IF(X849&gt;365,"MUITO ANTIGO (&gt;1 ano)",IF(X849&gt;180,"ANTIGO (&gt;6 meses)",IF(X849&gt;90,"ATENÇÃO ANTIG. (&gt;3 meses)","OK"))))))</f>
        <v/>
      </c>
      <c r="AA849" s="91"/>
    </row>
    <row r="850" customFormat="false" ht="16.5" hidden="false" customHeight="true" outlineLevel="0" collapsed="false">
      <c r="A850" s="86"/>
      <c r="B850" s="91"/>
      <c r="C850" s="91" t="str">
        <f aca="false">IF(D850="","",IFERROR(INDEX(CADASTRO_VIVO_3CRE!$B$2:$B$150,MATCH(D850,CADASTRO_VIVO_3CRE!$E$2:$E$150,0)),""))</f>
        <v/>
      </c>
      <c r="D850" s="91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8"/>
      <c r="S850" s="92" t="str">
        <f aca="true">IF(R850="","",TODAY()-INT(R850))</f>
        <v/>
      </c>
      <c r="T850" s="86"/>
      <c r="U850" s="86"/>
      <c r="V850" s="86"/>
      <c r="W850" s="88"/>
      <c r="X850" s="92" t="str">
        <f aca="true">IF(W850="","",IF(OR(O850="28 - Encerrado",O850="27 - Instalação concluída"),"Concluído",TODAY()-INT(W850)))</f>
        <v/>
      </c>
      <c r="Y850" s="91" t="str">
        <f aca="false">IF(OR(O850="28 - Encerrado",O850="27 - Instalação concluída"),"OK",IF(AND(B850&lt;&gt;"",S850=""),"ATENÇÃO (Sem data de atualização)",IF(S850="","",IF(S850&gt;30,"CRÍTICO (Sem Atualização &gt;30 dias)",IF(S850&gt;15,"ATENÇÃO (Sem Atualização &gt;15 dias)",IF(X850&gt;90,"CRÍTICO (Aberto &gt;90 dias)","OK"))))))</f>
        <v/>
      </c>
      <c r="Z850" s="90" t="str">
        <f aca="false">IF(B850="","",IF(OR(O850="27 - Instalação concluída",O850="28 - Encerrado"),"OK",IF(NOT(ISNUMBER(X850)),"",IF(X850&gt;365,"MUITO ANTIGO (&gt;1 ano)",IF(X850&gt;180,"ANTIGO (&gt;6 meses)",IF(X850&gt;90,"ATENÇÃO ANTIG. (&gt;3 meses)","OK"))))))</f>
        <v/>
      </c>
      <c r="AA850" s="91"/>
    </row>
    <row r="851" customFormat="false" ht="16.5" hidden="false" customHeight="true" outlineLevel="0" collapsed="false">
      <c r="A851" s="86"/>
      <c r="B851" s="91"/>
      <c r="C851" s="91" t="str">
        <f aca="false">IF(D851="","",IFERROR(INDEX(CADASTRO_VIVO_3CRE!$B$2:$B$150,MATCH(D851,CADASTRO_VIVO_3CRE!$E$2:$E$150,0)),""))</f>
        <v/>
      </c>
      <c r="D851" s="91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8"/>
      <c r="S851" s="92" t="str">
        <f aca="true">IF(R851="","",TODAY()-INT(R851))</f>
        <v/>
      </c>
      <c r="T851" s="86"/>
      <c r="U851" s="86"/>
      <c r="V851" s="86"/>
      <c r="W851" s="88"/>
      <c r="X851" s="92" t="str">
        <f aca="true">IF(W851="","",IF(OR(O851="28 - Encerrado",O851="27 - Instalação concluída"),"Concluído",TODAY()-INT(W851)))</f>
        <v/>
      </c>
      <c r="Y851" s="91" t="str">
        <f aca="false">IF(OR(O851="28 - Encerrado",O851="27 - Instalação concluída"),"OK",IF(AND(B851&lt;&gt;"",S851=""),"ATENÇÃO (Sem data de atualização)",IF(S851="","",IF(S851&gt;30,"CRÍTICO (Sem Atualização &gt;30 dias)",IF(S851&gt;15,"ATENÇÃO (Sem Atualização &gt;15 dias)",IF(X851&gt;90,"CRÍTICO (Aberto &gt;90 dias)","OK"))))))</f>
        <v/>
      </c>
      <c r="Z851" s="90" t="str">
        <f aca="false">IF(B851="","",IF(OR(O851="27 - Instalação concluída",O851="28 - Encerrado"),"OK",IF(NOT(ISNUMBER(X851)),"",IF(X851&gt;365,"MUITO ANTIGO (&gt;1 ano)",IF(X851&gt;180,"ANTIGO (&gt;6 meses)",IF(X851&gt;90,"ATENÇÃO ANTIG. (&gt;3 meses)","OK"))))))</f>
        <v/>
      </c>
      <c r="AA851" s="91"/>
    </row>
    <row r="852" customFormat="false" ht="16.5" hidden="false" customHeight="true" outlineLevel="0" collapsed="false">
      <c r="A852" s="86"/>
      <c r="B852" s="91"/>
      <c r="C852" s="91" t="str">
        <f aca="false">IF(D852="","",IFERROR(INDEX(CADASTRO_VIVO_3CRE!$B$2:$B$150,MATCH(D852,CADASTRO_VIVO_3CRE!$E$2:$E$150,0)),""))</f>
        <v/>
      </c>
      <c r="D852" s="91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8"/>
      <c r="S852" s="92" t="str">
        <f aca="true">IF(R852="","",TODAY()-INT(R852))</f>
        <v/>
      </c>
      <c r="T852" s="86"/>
      <c r="U852" s="86"/>
      <c r="V852" s="86"/>
      <c r="W852" s="88"/>
      <c r="X852" s="92" t="str">
        <f aca="true">IF(W852="","",IF(OR(O852="28 - Encerrado",O852="27 - Instalação concluída"),"Concluído",TODAY()-INT(W852)))</f>
        <v/>
      </c>
      <c r="Y852" s="91" t="str">
        <f aca="false">IF(OR(O852="28 - Encerrado",O852="27 - Instalação concluída"),"OK",IF(AND(B852&lt;&gt;"",S852=""),"ATENÇÃO (Sem data de atualização)",IF(S852="","",IF(S852&gt;30,"CRÍTICO (Sem Atualização &gt;30 dias)",IF(S852&gt;15,"ATENÇÃO (Sem Atualização &gt;15 dias)",IF(X852&gt;90,"CRÍTICO (Aberto &gt;90 dias)","OK"))))))</f>
        <v/>
      </c>
      <c r="Z852" s="90" t="str">
        <f aca="false">IF(B852="","",IF(OR(O852="27 - Instalação concluída",O852="28 - Encerrado"),"OK",IF(NOT(ISNUMBER(X852)),"",IF(X852&gt;365,"MUITO ANTIGO (&gt;1 ano)",IF(X852&gt;180,"ANTIGO (&gt;6 meses)",IF(X852&gt;90,"ATENÇÃO ANTIG. (&gt;3 meses)","OK"))))))</f>
        <v/>
      </c>
      <c r="AA852" s="91"/>
    </row>
    <row r="853" customFormat="false" ht="16.5" hidden="false" customHeight="true" outlineLevel="0" collapsed="false">
      <c r="A853" s="86"/>
      <c r="B853" s="91"/>
      <c r="C853" s="91" t="str">
        <f aca="false">IF(D853="","",IFERROR(INDEX(CADASTRO_VIVO_3CRE!$B$2:$B$150,MATCH(D853,CADASTRO_VIVO_3CRE!$E$2:$E$150,0)),""))</f>
        <v/>
      </c>
      <c r="D853" s="91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8"/>
      <c r="S853" s="92" t="str">
        <f aca="true">IF(R853="","",TODAY()-INT(R853))</f>
        <v/>
      </c>
      <c r="T853" s="86"/>
      <c r="U853" s="86"/>
      <c r="V853" s="86"/>
      <c r="W853" s="88"/>
      <c r="X853" s="92" t="str">
        <f aca="true">IF(W853="","",IF(OR(O853="28 - Encerrado",O853="27 - Instalação concluída"),"Concluído",TODAY()-INT(W853)))</f>
        <v/>
      </c>
      <c r="Y853" s="91" t="str">
        <f aca="false">IF(OR(O853="28 - Encerrado",O853="27 - Instalação concluída"),"OK",IF(AND(B853&lt;&gt;"",S853=""),"ATENÇÃO (Sem data de atualização)",IF(S853="","",IF(S853&gt;30,"CRÍTICO (Sem Atualização &gt;30 dias)",IF(S853&gt;15,"ATENÇÃO (Sem Atualização &gt;15 dias)",IF(X853&gt;90,"CRÍTICO (Aberto &gt;90 dias)","OK"))))))</f>
        <v/>
      </c>
      <c r="Z853" s="90" t="str">
        <f aca="false">IF(B853="","",IF(OR(O853="27 - Instalação concluída",O853="28 - Encerrado"),"OK",IF(NOT(ISNUMBER(X853)),"",IF(X853&gt;365,"MUITO ANTIGO (&gt;1 ano)",IF(X853&gt;180,"ANTIGO (&gt;6 meses)",IF(X853&gt;90,"ATENÇÃO ANTIG. (&gt;3 meses)","OK"))))))</f>
        <v/>
      </c>
      <c r="AA853" s="91"/>
    </row>
    <row r="854" customFormat="false" ht="16.5" hidden="false" customHeight="true" outlineLevel="0" collapsed="false">
      <c r="A854" s="86"/>
      <c r="B854" s="91"/>
      <c r="C854" s="91" t="str">
        <f aca="false">IF(D854="","",IFERROR(INDEX(CADASTRO_VIVO_3CRE!$B$2:$B$150,MATCH(D854,CADASTRO_VIVO_3CRE!$E$2:$E$150,0)),""))</f>
        <v/>
      </c>
      <c r="D854" s="91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8"/>
      <c r="S854" s="92" t="str">
        <f aca="true">IF(R854="","",TODAY()-INT(R854))</f>
        <v/>
      </c>
      <c r="T854" s="86"/>
      <c r="U854" s="86"/>
      <c r="V854" s="86"/>
      <c r="W854" s="88"/>
      <c r="X854" s="92" t="str">
        <f aca="true">IF(W854="","",IF(OR(O854="28 - Encerrado",O854="27 - Instalação concluída"),"Concluído",TODAY()-INT(W854)))</f>
        <v/>
      </c>
      <c r="Y854" s="91" t="str">
        <f aca="false">IF(OR(O854="28 - Encerrado",O854="27 - Instalação concluída"),"OK",IF(AND(B854&lt;&gt;"",S854=""),"ATENÇÃO (Sem data de atualização)",IF(S854="","",IF(S854&gt;30,"CRÍTICO (Sem Atualização &gt;30 dias)",IF(S854&gt;15,"ATENÇÃO (Sem Atualização &gt;15 dias)",IF(X854&gt;90,"CRÍTICO (Aberto &gt;90 dias)","OK"))))))</f>
        <v/>
      </c>
      <c r="Z854" s="90" t="str">
        <f aca="false">IF(B854="","",IF(OR(O854="27 - Instalação concluída",O854="28 - Encerrado"),"OK",IF(NOT(ISNUMBER(X854)),"",IF(X854&gt;365,"MUITO ANTIGO (&gt;1 ano)",IF(X854&gt;180,"ANTIGO (&gt;6 meses)",IF(X854&gt;90,"ATENÇÃO ANTIG. (&gt;3 meses)","OK"))))))</f>
        <v/>
      </c>
      <c r="AA854" s="91"/>
    </row>
    <row r="855" customFormat="false" ht="16.5" hidden="false" customHeight="true" outlineLevel="0" collapsed="false">
      <c r="A855" s="86"/>
      <c r="B855" s="91"/>
      <c r="C855" s="91" t="str">
        <f aca="false">IF(D855="","",IFERROR(INDEX(CADASTRO_VIVO_3CRE!$B$2:$B$150,MATCH(D855,CADASTRO_VIVO_3CRE!$E$2:$E$150,0)),""))</f>
        <v/>
      </c>
      <c r="D855" s="91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8"/>
      <c r="S855" s="92" t="str">
        <f aca="true">IF(R855="","",TODAY()-INT(R855))</f>
        <v/>
      </c>
      <c r="T855" s="86"/>
      <c r="U855" s="86"/>
      <c r="V855" s="86"/>
      <c r="W855" s="88"/>
      <c r="X855" s="92" t="str">
        <f aca="true">IF(W855="","",IF(OR(O855="28 - Encerrado",O855="27 - Instalação concluída"),"Concluído",TODAY()-INT(W855)))</f>
        <v/>
      </c>
      <c r="Y855" s="91" t="str">
        <f aca="false">IF(OR(O855="28 - Encerrado",O855="27 - Instalação concluída"),"OK",IF(AND(B855&lt;&gt;"",S855=""),"ATENÇÃO (Sem data de atualização)",IF(S855="","",IF(S855&gt;30,"CRÍTICO (Sem Atualização &gt;30 dias)",IF(S855&gt;15,"ATENÇÃO (Sem Atualização &gt;15 dias)",IF(X855&gt;90,"CRÍTICO (Aberto &gt;90 dias)","OK"))))))</f>
        <v/>
      </c>
      <c r="Z855" s="90" t="str">
        <f aca="false">IF(B855="","",IF(OR(O855="27 - Instalação concluída",O855="28 - Encerrado"),"OK",IF(NOT(ISNUMBER(X855)),"",IF(X855&gt;365,"MUITO ANTIGO (&gt;1 ano)",IF(X855&gt;180,"ANTIGO (&gt;6 meses)",IF(X855&gt;90,"ATENÇÃO ANTIG. (&gt;3 meses)","OK"))))))</f>
        <v/>
      </c>
      <c r="AA855" s="91"/>
    </row>
    <row r="856" customFormat="false" ht="16.5" hidden="false" customHeight="true" outlineLevel="0" collapsed="false">
      <c r="A856" s="86"/>
      <c r="B856" s="91"/>
      <c r="C856" s="91" t="str">
        <f aca="false">IF(D856="","",IFERROR(INDEX(CADASTRO_VIVO_3CRE!$B$2:$B$150,MATCH(D856,CADASTRO_VIVO_3CRE!$E$2:$E$150,0)),""))</f>
        <v/>
      </c>
      <c r="D856" s="91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8"/>
      <c r="S856" s="92" t="str">
        <f aca="true">IF(R856="","",TODAY()-INT(R856))</f>
        <v/>
      </c>
      <c r="T856" s="86"/>
      <c r="U856" s="86"/>
      <c r="V856" s="86"/>
      <c r="W856" s="88"/>
      <c r="X856" s="92" t="str">
        <f aca="true">IF(W856="","",IF(OR(O856="28 - Encerrado",O856="27 - Instalação concluída"),"Concluído",TODAY()-INT(W856)))</f>
        <v/>
      </c>
      <c r="Y856" s="91" t="str">
        <f aca="false">IF(OR(O856="28 - Encerrado",O856="27 - Instalação concluída"),"OK",IF(AND(B856&lt;&gt;"",S856=""),"ATENÇÃO (Sem data de atualização)",IF(S856="","",IF(S856&gt;30,"CRÍTICO (Sem Atualização &gt;30 dias)",IF(S856&gt;15,"ATENÇÃO (Sem Atualização &gt;15 dias)",IF(X856&gt;90,"CRÍTICO (Aberto &gt;90 dias)","OK"))))))</f>
        <v/>
      </c>
      <c r="Z856" s="90" t="str">
        <f aca="false">IF(B856="","",IF(OR(O856="27 - Instalação concluída",O856="28 - Encerrado"),"OK",IF(NOT(ISNUMBER(X856)),"",IF(X856&gt;365,"MUITO ANTIGO (&gt;1 ano)",IF(X856&gt;180,"ANTIGO (&gt;6 meses)",IF(X856&gt;90,"ATENÇÃO ANTIG. (&gt;3 meses)","OK"))))))</f>
        <v/>
      </c>
      <c r="AA856" s="91"/>
    </row>
    <row r="857" customFormat="false" ht="16.5" hidden="false" customHeight="true" outlineLevel="0" collapsed="false">
      <c r="A857" s="86"/>
      <c r="B857" s="91"/>
      <c r="C857" s="91" t="str">
        <f aca="false">IF(D857="","",IFERROR(INDEX(CADASTRO_VIVO_3CRE!$B$2:$B$150,MATCH(D857,CADASTRO_VIVO_3CRE!$E$2:$E$150,0)),""))</f>
        <v/>
      </c>
      <c r="D857" s="91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8"/>
      <c r="S857" s="92" t="str">
        <f aca="true">IF(R857="","",TODAY()-INT(R857))</f>
        <v/>
      </c>
      <c r="T857" s="86"/>
      <c r="U857" s="86"/>
      <c r="V857" s="86"/>
      <c r="W857" s="88"/>
      <c r="X857" s="92" t="str">
        <f aca="true">IF(W857="","",IF(OR(O857="28 - Encerrado",O857="27 - Instalação concluída"),"Concluído",TODAY()-INT(W857)))</f>
        <v/>
      </c>
      <c r="Y857" s="91" t="str">
        <f aca="false">IF(OR(O857="28 - Encerrado",O857="27 - Instalação concluída"),"OK",IF(AND(B857&lt;&gt;"",S857=""),"ATENÇÃO (Sem data de atualização)",IF(S857="","",IF(S857&gt;30,"CRÍTICO (Sem Atualização &gt;30 dias)",IF(S857&gt;15,"ATENÇÃO (Sem Atualização &gt;15 dias)",IF(X857&gt;90,"CRÍTICO (Aberto &gt;90 dias)","OK"))))))</f>
        <v/>
      </c>
      <c r="Z857" s="90" t="str">
        <f aca="false">IF(B857="","",IF(OR(O857="27 - Instalação concluída",O857="28 - Encerrado"),"OK",IF(NOT(ISNUMBER(X857)),"",IF(X857&gt;365,"MUITO ANTIGO (&gt;1 ano)",IF(X857&gt;180,"ANTIGO (&gt;6 meses)",IF(X857&gt;90,"ATENÇÃO ANTIG. (&gt;3 meses)","OK"))))))</f>
        <v/>
      </c>
      <c r="AA857" s="91"/>
    </row>
    <row r="858" customFormat="false" ht="16.5" hidden="false" customHeight="true" outlineLevel="0" collapsed="false">
      <c r="A858" s="86"/>
      <c r="B858" s="91"/>
      <c r="C858" s="91" t="str">
        <f aca="false">IF(D858="","",IFERROR(INDEX(CADASTRO_VIVO_3CRE!$B$2:$B$150,MATCH(D858,CADASTRO_VIVO_3CRE!$E$2:$E$150,0)),""))</f>
        <v/>
      </c>
      <c r="D858" s="91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8"/>
      <c r="S858" s="92" t="str">
        <f aca="true">IF(R858="","",TODAY()-INT(R858))</f>
        <v/>
      </c>
      <c r="T858" s="86"/>
      <c r="U858" s="86"/>
      <c r="V858" s="86"/>
      <c r="W858" s="88"/>
      <c r="X858" s="92" t="str">
        <f aca="true">IF(W858="","",IF(OR(O858="28 - Encerrado",O858="27 - Instalação concluída"),"Concluído",TODAY()-INT(W858)))</f>
        <v/>
      </c>
      <c r="Y858" s="91" t="str">
        <f aca="false">IF(OR(O858="28 - Encerrado",O858="27 - Instalação concluída"),"OK",IF(AND(B858&lt;&gt;"",S858=""),"ATENÇÃO (Sem data de atualização)",IF(S858="","",IF(S858&gt;30,"CRÍTICO (Sem Atualização &gt;30 dias)",IF(S858&gt;15,"ATENÇÃO (Sem Atualização &gt;15 dias)",IF(X858&gt;90,"CRÍTICO (Aberto &gt;90 dias)","OK"))))))</f>
        <v/>
      </c>
      <c r="Z858" s="90" t="str">
        <f aca="false">IF(B858="","",IF(OR(O858="27 - Instalação concluída",O858="28 - Encerrado"),"OK",IF(NOT(ISNUMBER(X858)),"",IF(X858&gt;365,"MUITO ANTIGO (&gt;1 ano)",IF(X858&gt;180,"ANTIGO (&gt;6 meses)",IF(X858&gt;90,"ATENÇÃO ANTIG. (&gt;3 meses)","OK"))))))</f>
        <v/>
      </c>
      <c r="AA858" s="91"/>
    </row>
    <row r="859" customFormat="false" ht="16.5" hidden="false" customHeight="true" outlineLevel="0" collapsed="false">
      <c r="A859" s="86"/>
      <c r="B859" s="91"/>
      <c r="C859" s="91" t="str">
        <f aca="false">IF(D859="","",IFERROR(INDEX(CADASTRO_VIVO_3CRE!$B$2:$B$150,MATCH(D859,CADASTRO_VIVO_3CRE!$E$2:$E$150,0)),""))</f>
        <v/>
      </c>
      <c r="D859" s="91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8"/>
      <c r="S859" s="92" t="str">
        <f aca="true">IF(R859="","",TODAY()-INT(R859))</f>
        <v/>
      </c>
      <c r="T859" s="86"/>
      <c r="U859" s="86"/>
      <c r="V859" s="86"/>
      <c r="W859" s="88"/>
      <c r="X859" s="92" t="str">
        <f aca="true">IF(W859="","",IF(OR(O859="28 - Encerrado",O859="27 - Instalação concluída"),"Concluído",TODAY()-INT(W859)))</f>
        <v/>
      </c>
      <c r="Y859" s="91" t="str">
        <f aca="false">IF(OR(O859="28 - Encerrado",O859="27 - Instalação concluída"),"OK",IF(AND(B859&lt;&gt;"",S859=""),"ATENÇÃO (Sem data de atualização)",IF(S859="","",IF(S859&gt;30,"CRÍTICO (Sem Atualização &gt;30 dias)",IF(S859&gt;15,"ATENÇÃO (Sem Atualização &gt;15 dias)",IF(X859&gt;90,"CRÍTICO (Aberto &gt;90 dias)","OK"))))))</f>
        <v/>
      </c>
      <c r="Z859" s="90" t="str">
        <f aca="false">IF(B859="","",IF(OR(O859="27 - Instalação concluída",O859="28 - Encerrado"),"OK",IF(NOT(ISNUMBER(X859)),"",IF(X859&gt;365,"MUITO ANTIGO (&gt;1 ano)",IF(X859&gt;180,"ANTIGO (&gt;6 meses)",IF(X859&gt;90,"ATENÇÃO ANTIG. (&gt;3 meses)","OK"))))))</f>
        <v/>
      </c>
      <c r="AA859" s="91"/>
    </row>
    <row r="860" customFormat="false" ht="16.5" hidden="false" customHeight="true" outlineLevel="0" collapsed="false">
      <c r="A860" s="86"/>
      <c r="B860" s="91"/>
      <c r="C860" s="91" t="str">
        <f aca="false">IF(D860="","",IFERROR(INDEX(CADASTRO_VIVO_3CRE!$B$2:$B$150,MATCH(D860,CADASTRO_VIVO_3CRE!$E$2:$E$150,0)),""))</f>
        <v/>
      </c>
      <c r="D860" s="91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8"/>
      <c r="S860" s="92" t="str">
        <f aca="true">IF(R860="","",TODAY()-INT(R860))</f>
        <v/>
      </c>
      <c r="T860" s="86"/>
      <c r="U860" s="86"/>
      <c r="V860" s="86"/>
      <c r="W860" s="88"/>
      <c r="X860" s="92" t="str">
        <f aca="true">IF(W860="","",IF(OR(O860="28 - Encerrado",O860="27 - Instalação concluída"),"Concluído",TODAY()-INT(W860)))</f>
        <v/>
      </c>
      <c r="Y860" s="91" t="str">
        <f aca="false">IF(OR(O860="28 - Encerrado",O860="27 - Instalação concluída"),"OK",IF(AND(B860&lt;&gt;"",S860=""),"ATENÇÃO (Sem data de atualização)",IF(S860="","",IF(S860&gt;30,"CRÍTICO (Sem Atualização &gt;30 dias)",IF(S860&gt;15,"ATENÇÃO (Sem Atualização &gt;15 dias)",IF(X860&gt;90,"CRÍTICO (Aberto &gt;90 dias)","OK"))))))</f>
        <v/>
      </c>
      <c r="Z860" s="90" t="str">
        <f aca="false">IF(B860="","",IF(OR(O860="27 - Instalação concluída",O860="28 - Encerrado"),"OK",IF(NOT(ISNUMBER(X860)),"",IF(X860&gt;365,"MUITO ANTIGO (&gt;1 ano)",IF(X860&gt;180,"ANTIGO (&gt;6 meses)",IF(X860&gt;90,"ATENÇÃO ANTIG. (&gt;3 meses)","OK"))))))</f>
        <v/>
      </c>
      <c r="AA860" s="91"/>
    </row>
    <row r="861" customFormat="false" ht="16.5" hidden="false" customHeight="true" outlineLevel="0" collapsed="false">
      <c r="A861" s="86"/>
      <c r="B861" s="91"/>
      <c r="C861" s="91" t="str">
        <f aca="false">IF(D861="","",IFERROR(INDEX(CADASTRO_VIVO_3CRE!$B$2:$B$150,MATCH(D861,CADASTRO_VIVO_3CRE!$E$2:$E$150,0)),""))</f>
        <v/>
      </c>
      <c r="D861" s="91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8"/>
      <c r="S861" s="92" t="str">
        <f aca="true">IF(R861="","",TODAY()-INT(R861))</f>
        <v/>
      </c>
      <c r="T861" s="86"/>
      <c r="U861" s="86"/>
      <c r="V861" s="86"/>
      <c r="W861" s="88"/>
      <c r="X861" s="92" t="str">
        <f aca="true">IF(W861="","",IF(OR(O861="28 - Encerrado",O861="27 - Instalação concluída"),"Concluído",TODAY()-INT(W861)))</f>
        <v/>
      </c>
      <c r="Y861" s="91" t="str">
        <f aca="false">IF(OR(O861="28 - Encerrado",O861="27 - Instalação concluída"),"OK",IF(AND(B861&lt;&gt;"",S861=""),"ATENÇÃO (Sem data de atualização)",IF(S861="","",IF(S861&gt;30,"CRÍTICO (Sem Atualização &gt;30 dias)",IF(S861&gt;15,"ATENÇÃO (Sem Atualização &gt;15 dias)",IF(X861&gt;90,"CRÍTICO (Aberto &gt;90 dias)","OK"))))))</f>
        <v/>
      </c>
      <c r="Z861" s="90" t="str">
        <f aca="false">IF(B861="","",IF(OR(O861="27 - Instalação concluída",O861="28 - Encerrado"),"OK",IF(NOT(ISNUMBER(X861)),"",IF(X861&gt;365,"MUITO ANTIGO (&gt;1 ano)",IF(X861&gt;180,"ANTIGO (&gt;6 meses)",IF(X861&gt;90,"ATENÇÃO ANTIG. (&gt;3 meses)","OK"))))))</f>
        <v/>
      </c>
      <c r="AA861" s="91"/>
    </row>
    <row r="862" customFormat="false" ht="16.5" hidden="false" customHeight="true" outlineLevel="0" collapsed="false">
      <c r="A862" s="86"/>
      <c r="B862" s="91"/>
      <c r="C862" s="91" t="str">
        <f aca="false">IF(D862="","",IFERROR(INDEX(CADASTRO_VIVO_3CRE!$B$2:$B$150,MATCH(D862,CADASTRO_VIVO_3CRE!$E$2:$E$150,0)),""))</f>
        <v/>
      </c>
      <c r="D862" s="91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8"/>
      <c r="S862" s="92" t="str">
        <f aca="true">IF(R862="","",TODAY()-INT(R862))</f>
        <v/>
      </c>
      <c r="T862" s="86"/>
      <c r="U862" s="86"/>
      <c r="V862" s="86"/>
      <c r="W862" s="88"/>
      <c r="X862" s="92" t="str">
        <f aca="true">IF(W862="","",IF(OR(O862="28 - Encerrado",O862="27 - Instalação concluída"),"Concluído",TODAY()-INT(W862)))</f>
        <v/>
      </c>
      <c r="Y862" s="91" t="str">
        <f aca="false">IF(OR(O862="28 - Encerrado",O862="27 - Instalação concluída"),"OK",IF(AND(B862&lt;&gt;"",S862=""),"ATENÇÃO (Sem data de atualização)",IF(S862="","",IF(S862&gt;30,"CRÍTICO (Sem Atualização &gt;30 dias)",IF(S862&gt;15,"ATENÇÃO (Sem Atualização &gt;15 dias)",IF(X862&gt;90,"CRÍTICO (Aberto &gt;90 dias)","OK"))))))</f>
        <v/>
      </c>
      <c r="Z862" s="90" t="str">
        <f aca="false">IF(B862="","",IF(OR(O862="27 - Instalação concluída",O862="28 - Encerrado"),"OK",IF(NOT(ISNUMBER(X862)),"",IF(X862&gt;365,"MUITO ANTIGO (&gt;1 ano)",IF(X862&gt;180,"ANTIGO (&gt;6 meses)",IF(X862&gt;90,"ATENÇÃO ANTIG. (&gt;3 meses)","OK"))))))</f>
        <v/>
      </c>
      <c r="AA862" s="91"/>
    </row>
    <row r="863" customFormat="false" ht="16.5" hidden="false" customHeight="true" outlineLevel="0" collapsed="false">
      <c r="A863" s="86"/>
      <c r="B863" s="91"/>
      <c r="C863" s="91" t="str">
        <f aca="false">IF(D863="","",IFERROR(INDEX(CADASTRO_VIVO_3CRE!$B$2:$B$150,MATCH(D863,CADASTRO_VIVO_3CRE!$E$2:$E$150,0)),""))</f>
        <v/>
      </c>
      <c r="D863" s="91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8"/>
      <c r="S863" s="92" t="str">
        <f aca="true">IF(R863="","",TODAY()-INT(R863))</f>
        <v/>
      </c>
      <c r="T863" s="86"/>
      <c r="U863" s="86"/>
      <c r="V863" s="86"/>
      <c r="W863" s="88"/>
      <c r="X863" s="92" t="str">
        <f aca="true">IF(W863="","",IF(OR(O863="28 - Encerrado",O863="27 - Instalação concluída"),"Concluído",TODAY()-INT(W863)))</f>
        <v/>
      </c>
      <c r="Y863" s="91" t="str">
        <f aca="false">IF(OR(O863="28 - Encerrado",O863="27 - Instalação concluída"),"OK",IF(AND(B863&lt;&gt;"",S863=""),"ATENÇÃO (Sem data de atualização)",IF(S863="","",IF(S863&gt;30,"CRÍTICO (Sem Atualização &gt;30 dias)",IF(S863&gt;15,"ATENÇÃO (Sem Atualização &gt;15 dias)",IF(X863&gt;90,"CRÍTICO (Aberto &gt;90 dias)","OK"))))))</f>
        <v/>
      </c>
      <c r="Z863" s="90" t="str">
        <f aca="false">IF(B863="","",IF(OR(O863="27 - Instalação concluída",O863="28 - Encerrado"),"OK",IF(NOT(ISNUMBER(X863)),"",IF(X863&gt;365,"MUITO ANTIGO (&gt;1 ano)",IF(X863&gt;180,"ANTIGO (&gt;6 meses)",IF(X863&gt;90,"ATENÇÃO ANTIG. (&gt;3 meses)","OK"))))))</f>
        <v/>
      </c>
      <c r="AA863" s="91"/>
    </row>
    <row r="864" customFormat="false" ht="16.5" hidden="false" customHeight="true" outlineLevel="0" collapsed="false">
      <c r="A864" s="86"/>
      <c r="B864" s="91"/>
      <c r="C864" s="91" t="str">
        <f aca="false">IF(D864="","",IFERROR(INDEX(CADASTRO_VIVO_3CRE!$B$2:$B$150,MATCH(D864,CADASTRO_VIVO_3CRE!$E$2:$E$150,0)),""))</f>
        <v/>
      </c>
      <c r="D864" s="91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8"/>
      <c r="S864" s="92" t="str">
        <f aca="true">IF(R864="","",TODAY()-INT(R864))</f>
        <v/>
      </c>
      <c r="T864" s="86"/>
      <c r="U864" s="86"/>
      <c r="V864" s="86"/>
      <c r="W864" s="88"/>
      <c r="X864" s="92" t="str">
        <f aca="true">IF(W864="","",IF(OR(O864="28 - Encerrado",O864="27 - Instalação concluída"),"Concluído",TODAY()-INT(W864)))</f>
        <v/>
      </c>
      <c r="Y864" s="91" t="str">
        <f aca="false">IF(OR(O864="28 - Encerrado",O864="27 - Instalação concluída"),"OK",IF(AND(B864&lt;&gt;"",S864=""),"ATENÇÃO (Sem data de atualização)",IF(S864="","",IF(S864&gt;30,"CRÍTICO (Sem Atualização &gt;30 dias)",IF(S864&gt;15,"ATENÇÃO (Sem Atualização &gt;15 dias)",IF(X864&gt;90,"CRÍTICO (Aberto &gt;90 dias)","OK"))))))</f>
        <v/>
      </c>
      <c r="Z864" s="90" t="str">
        <f aca="false">IF(B864="","",IF(OR(O864="27 - Instalação concluída",O864="28 - Encerrado"),"OK",IF(NOT(ISNUMBER(X864)),"",IF(X864&gt;365,"MUITO ANTIGO (&gt;1 ano)",IF(X864&gt;180,"ANTIGO (&gt;6 meses)",IF(X864&gt;90,"ATENÇÃO ANTIG. (&gt;3 meses)","OK"))))))</f>
        <v/>
      </c>
      <c r="AA864" s="91"/>
    </row>
    <row r="865" customFormat="false" ht="16.5" hidden="false" customHeight="true" outlineLevel="0" collapsed="false">
      <c r="A865" s="86"/>
      <c r="B865" s="91"/>
      <c r="C865" s="91" t="str">
        <f aca="false">IF(D865="","",IFERROR(INDEX(CADASTRO_VIVO_3CRE!$B$2:$B$150,MATCH(D865,CADASTRO_VIVO_3CRE!$E$2:$E$150,0)),""))</f>
        <v/>
      </c>
      <c r="D865" s="91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8"/>
      <c r="S865" s="92" t="str">
        <f aca="true">IF(R865="","",TODAY()-INT(R865))</f>
        <v/>
      </c>
      <c r="T865" s="86"/>
      <c r="U865" s="86"/>
      <c r="V865" s="86"/>
      <c r="W865" s="88"/>
      <c r="X865" s="92" t="str">
        <f aca="true">IF(W865="","",IF(OR(O865="28 - Encerrado",O865="27 - Instalação concluída"),"Concluído",TODAY()-INT(W865)))</f>
        <v/>
      </c>
      <c r="Y865" s="91" t="str">
        <f aca="false">IF(OR(O865="28 - Encerrado",O865="27 - Instalação concluída"),"OK",IF(AND(B865&lt;&gt;"",S865=""),"ATENÇÃO (Sem data de atualização)",IF(S865="","",IF(S865&gt;30,"CRÍTICO (Sem Atualização &gt;30 dias)",IF(S865&gt;15,"ATENÇÃO (Sem Atualização &gt;15 dias)",IF(X865&gt;90,"CRÍTICO (Aberto &gt;90 dias)","OK"))))))</f>
        <v/>
      </c>
      <c r="Z865" s="90" t="str">
        <f aca="false">IF(B865="","",IF(OR(O865="27 - Instalação concluída",O865="28 - Encerrado"),"OK",IF(NOT(ISNUMBER(X865)),"",IF(X865&gt;365,"MUITO ANTIGO (&gt;1 ano)",IF(X865&gt;180,"ANTIGO (&gt;6 meses)",IF(X865&gt;90,"ATENÇÃO ANTIG. (&gt;3 meses)","OK"))))))</f>
        <v/>
      </c>
      <c r="AA865" s="91"/>
    </row>
    <row r="866" customFormat="false" ht="16.5" hidden="false" customHeight="true" outlineLevel="0" collapsed="false">
      <c r="A866" s="86"/>
      <c r="B866" s="91"/>
      <c r="C866" s="91" t="str">
        <f aca="false">IF(D866="","",IFERROR(INDEX(CADASTRO_VIVO_3CRE!$B$2:$B$150,MATCH(D866,CADASTRO_VIVO_3CRE!$E$2:$E$150,0)),""))</f>
        <v/>
      </c>
      <c r="D866" s="91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8"/>
      <c r="S866" s="92" t="str">
        <f aca="true">IF(R866="","",TODAY()-INT(R866))</f>
        <v/>
      </c>
      <c r="T866" s="86"/>
      <c r="U866" s="86"/>
      <c r="V866" s="86"/>
      <c r="W866" s="88"/>
      <c r="X866" s="92" t="str">
        <f aca="true">IF(W866="","",IF(OR(O866="28 - Encerrado",O866="27 - Instalação concluída"),"Concluído",TODAY()-INT(W866)))</f>
        <v/>
      </c>
      <c r="Y866" s="91" t="str">
        <f aca="false">IF(OR(O866="28 - Encerrado",O866="27 - Instalação concluída"),"OK",IF(AND(B866&lt;&gt;"",S866=""),"ATENÇÃO (Sem data de atualização)",IF(S866="","",IF(S866&gt;30,"CRÍTICO (Sem Atualização &gt;30 dias)",IF(S866&gt;15,"ATENÇÃO (Sem Atualização &gt;15 dias)",IF(X866&gt;90,"CRÍTICO (Aberto &gt;90 dias)","OK"))))))</f>
        <v/>
      </c>
      <c r="Z866" s="90" t="str">
        <f aca="false">IF(B866="","",IF(OR(O866="27 - Instalação concluída",O866="28 - Encerrado"),"OK",IF(NOT(ISNUMBER(X866)),"",IF(X866&gt;365,"MUITO ANTIGO (&gt;1 ano)",IF(X866&gt;180,"ANTIGO (&gt;6 meses)",IF(X866&gt;90,"ATENÇÃO ANTIG. (&gt;3 meses)","OK"))))))</f>
        <v/>
      </c>
      <c r="AA866" s="91"/>
    </row>
    <row r="867" customFormat="false" ht="16.5" hidden="false" customHeight="true" outlineLevel="0" collapsed="false">
      <c r="A867" s="86"/>
      <c r="B867" s="91"/>
      <c r="C867" s="91" t="str">
        <f aca="false">IF(D867="","",IFERROR(INDEX(CADASTRO_VIVO_3CRE!$B$2:$B$150,MATCH(D867,CADASTRO_VIVO_3CRE!$E$2:$E$150,0)),""))</f>
        <v/>
      </c>
      <c r="D867" s="91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8"/>
      <c r="S867" s="92" t="str">
        <f aca="true">IF(R867="","",TODAY()-INT(R867))</f>
        <v/>
      </c>
      <c r="T867" s="86"/>
      <c r="U867" s="86"/>
      <c r="V867" s="86"/>
      <c r="W867" s="88"/>
      <c r="X867" s="92" t="str">
        <f aca="true">IF(W867="","",IF(OR(O867="28 - Encerrado",O867="27 - Instalação concluída"),"Concluído",TODAY()-INT(W867)))</f>
        <v/>
      </c>
      <c r="Y867" s="91" t="str">
        <f aca="false">IF(OR(O867="28 - Encerrado",O867="27 - Instalação concluída"),"OK",IF(AND(B867&lt;&gt;"",S867=""),"ATENÇÃO (Sem data de atualização)",IF(S867="","",IF(S867&gt;30,"CRÍTICO (Sem Atualização &gt;30 dias)",IF(S867&gt;15,"ATENÇÃO (Sem Atualização &gt;15 dias)",IF(X867&gt;90,"CRÍTICO (Aberto &gt;90 dias)","OK"))))))</f>
        <v/>
      </c>
      <c r="Z867" s="90" t="str">
        <f aca="false">IF(B867="","",IF(OR(O867="27 - Instalação concluída",O867="28 - Encerrado"),"OK",IF(NOT(ISNUMBER(X867)),"",IF(X867&gt;365,"MUITO ANTIGO (&gt;1 ano)",IF(X867&gt;180,"ANTIGO (&gt;6 meses)",IF(X867&gt;90,"ATENÇÃO ANTIG. (&gt;3 meses)","OK"))))))</f>
        <v/>
      </c>
      <c r="AA867" s="91"/>
    </row>
    <row r="868" customFormat="false" ht="16.5" hidden="false" customHeight="true" outlineLevel="0" collapsed="false">
      <c r="A868" s="86"/>
      <c r="B868" s="91"/>
      <c r="C868" s="91" t="str">
        <f aca="false">IF(D868="","",IFERROR(INDEX(CADASTRO_VIVO_3CRE!$B$2:$B$150,MATCH(D868,CADASTRO_VIVO_3CRE!$E$2:$E$150,0)),""))</f>
        <v/>
      </c>
      <c r="D868" s="91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8"/>
      <c r="S868" s="92" t="str">
        <f aca="true">IF(R868="","",TODAY()-INT(R868))</f>
        <v/>
      </c>
      <c r="T868" s="86"/>
      <c r="U868" s="86"/>
      <c r="V868" s="86"/>
      <c r="W868" s="88"/>
      <c r="X868" s="92" t="str">
        <f aca="true">IF(W868="","",IF(OR(O868="28 - Encerrado",O868="27 - Instalação concluída"),"Concluído",TODAY()-INT(W868)))</f>
        <v/>
      </c>
      <c r="Y868" s="91" t="str">
        <f aca="false">IF(OR(O868="28 - Encerrado",O868="27 - Instalação concluída"),"OK",IF(AND(B868&lt;&gt;"",S868=""),"ATENÇÃO (Sem data de atualização)",IF(S868="","",IF(S868&gt;30,"CRÍTICO (Sem Atualização &gt;30 dias)",IF(S868&gt;15,"ATENÇÃO (Sem Atualização &gt;15 dias)",IF(X868&gt;90,"CRÍTICO (Aberto &gt;90 dias)","OK"))))))</f>
        <v/>
      </c>
      <c r="Z868" s="90" t="str">
        <f aca="false">IF(B868="","",IF(OR(O868="27 - Instalação concluída",O868="28 - Encerrado"),"OK",IF(NOT(ISNUMBER(X868)),"",IF(X868&gt;365,"MUITO ANTIGO (&gt;1 ano)",IF(X868&gt;180,"ANTIGO (&gt;6 meses)",IF(X868&gt;90,"ATENÇÃO ANTIG. (&gt;3 meses)","OK"))))))</f>
        <v/>
      </c>
      <c r="AA868" s="91"/>
    </row>
    <row r="869" customFormat="false" ht="16.5" hidden="false" customHeight="true" outlineLevel="0" collapsed="false">
      <c r="A869" s="86"/>
      <c r="B869" s="91"/>
      <c r="C869" s="91" t="str">
        <f aca="false">IF(D869="","",IFERROR(INDEX(CADASTRO_VIVO_3CRE!$B$2:$B$150,MATCH(D869,CADASTRO_VIVO_3CRE!$E$2:$E$150,0)),""))</f>
        <v/>
      </c>
      <c r="D869" s="91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8"/>
      <c r="S869" s="92" t="str">
        <f aca="true">IF(R869="","",TODAY()-INT(R869))</f>
        <v/>
      </c>
      <c r="T869" s="86"/>
      <c r="U869" s="86"/>
      <c r="V869" s="86"/>
      <c r="W869" s="88"/>
      <c r="X869" s="92" t="str">
        <f aca="true">IF(W869="","",IF(OR(O869="28 - Encerrado",O869="27 - Instalação concluída"),"Concluído",TODAY()-INT(W869)))</f>
        <v/>
      </c>
      <c r="Y869" s="91" t="str">
        <f aca="false">IF(OR(O869="28 - Encerrado",O869="27 - Instalação concluída"),"OK",IF(AND(B869&lt;&gt;"",S869=""),"ATENÇÃO (Sem data de atualização)",IF(S869="","",IF(S869&gt;30,"CRÍTICO (Sem Atualização &gt;30 dias)",IF(S869&gt;15,"ATENÇÃO (Sem Atualização &gt;15 dias)",IF(X869&gt;90,"CRÍTICO (Aberto &gt;90 dias)","OK"))))))</f>
        <v/>
      </c>
      <c r="Z869" s="90" t="str">
        <f aca="false">IF(B869="","",IF(OR(O869="27 - Instalação concluída",O869="28 - Encerrado"),"OK",IF(NOT(ISNUMBER(X869)),"",IF(X869&gt;365,"MUITO ANTIGO (&gt;1 ano)",IF(X869&gt;180,"ANTIGO (&gt;6 meses)",IF(X869&gt;90,"ATENÇÃO ANTIG. (&gt;3 meses)","OK"))))))</f>
        <v/>
      </c>
      <c r="AA869" s="91"/>
    </row>
    <row r="870" customFormat="false" ht="16.5" hidden="false" customHeight="true" outlineLevel="0" collapsed="false">
      <c r="A870" s="86"/>
      <c r="B870" s="91"/>
      <c r="C870" s="91" t="str">
        <f aca="false">IF(D870="","",IFERROR(INDEX(CADASTRO_VIVO_3CRE!$B$2:$B$150,MATCH(D870,CADASTRO_VIVO_3CRE!$E$2:$E$150,0)),""))</f>
        <v/>
      </c>
      <c r="D870" s="91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8"/>
      <c r="S870" s="92" t="str">
        <f aca="true">IF(R870="","",TODAY()-INT(R870))</f>
        <v/>
      </c>
      <c r="T870" s="86"/>
      <c r="U870" s="86"/>
      <c r="V870" s="86"/>
      <c r="W870" s="88"/>
      <c r="X870" s="92" t="str">
        <f aca="true">IF(W870="","",IF(OR(O870="28 - Encerrado",O870="27 - Instalação concluída"),"Concluído",TODAY()-INT(W870)))</f>
        <v/>
      </c>
      <c r="Y870" s="91" t="str">
        <f aca="false">IF(OR(O870="28 - Encerrado",O870="27 - Instalação concluída"),"OK",IF(AND(B870&lt;&gt;"",S870=""),"ATENÇÃO (Sem data de atualização)",IF(S870="","",IF(S870&gt;30,"CRÍTICO (Sem Atualização &gt;30 dias)",IF(S870&gt;15,"ATENÇÃO (Sem Atualização &gt;15 dias)",IF(X870&gt;90,"CRÍTICO (Aberto &gt;90 dias)","OK"))))))</f>
        <v/>
      </c>
      <c r="Z870" s="90" t="str">
        <f aca="false">IF(B870="","",IF(OR(O870="27 - Instalação concluída",O870="28 - Encerrado"),"OK",IF(NOT(ISNUMBER(X870)),"",IF(X870&gt;365,"MUITO ANTIGO (&gt;1 ano)",IF(X870&gt;180,"ANTIGO (&gt;6 meses)",IF(X870&gt;90,"ATENÇÃO ANTIG. (&gt;3 meses)","OK"))))))</f>
        <v/>
      </c>
      <c r="AA870" s="91"/>
    </row>
    <row r="871" customFormat="false" ht="16.5" hidden="false" customHeight="true" outlineLevel="0" collapsed="false">
      <c r="A871" s="86"/>
      <c r="B871" s="91"/>
      <c r="C871" s="91" t="str">
        <f aca="false">IF(D871="","",IFERROR(INDEX(CADASTRO_VIVO_3CRE!$B$2:$B$150,MATCH(D871,CADASTRO_VIVO_3CRE!$E$2:$E$150,0)),""))</f>
        <v/>
      </c>
      <c r="D871" s="91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8"/>
      <c r="S871" s="92" t="str">
        <f aca="true">IF(R871="","",TODAY()-INT(R871))</f>
        <v/>
      </c>
      <c r="T871" s="86"/>
      <c r="U871" s="86"/>
      <c r="V871" s="86"/>
      <c r="W871" s="88"/>
      <c r="X871" s="92" t="str">
        <f aca="true">IF(W871="","",IF(OR(O871="28 - Encerrado",O871="27 - Instalação concluída"),"Concluído",TODAY()-INT(W871)))</f>
        <v/>
      </c>
      <c r="Y871" s="91" t="str">
        <f aca="false">IF(OR(O871="28 - Encerrado",O871="27 - Instalação concluída"),"OK",IF(AND(B871&lt;&gt;"",S871=""),"ATENÇÃO (Sem data de atualização)",IF(S871="","",IF(S871&gt;30,"CRÍTICO (Sem Atualização &gt;30 dias)",IF(S871&gt;15,"ATENÇÃO (Sem Atualização &gt;15 dias)",IF(X871&gt;90,"CRÍTICO (Aberto &gt;90 dias)","OK"))))))</f>
        <v/>
      </c>
      <c r="Z871" s="90" t="str">
        <f aca="false">IF(B871="","",IF(OR(O871="27 - Instalação concluída",O871="28 - Encerrado"),"OK",IF(NOT(ISNUMBER(X871)),"",IF(X871&gt;365,"MUITO ANTIGO (&gt;1 ano)",IF(X871&gt;180,"ANTIGO (&gt;6 meses)",IF(X871&gt;90,"ATENÇÃO ANTIG. (&gt;3 meses)","OK"))))))</f>
        <v/>
      </c>
      <c r="AA871" s="91"/>
    </row>
    <row r="872" customFormat="false" ht="16.5" hidden="false" customHeight="true" outlineLevel="0" collapsed="false">
      <c r="A872" s="86"/>
      <c r="B872" s="91"/>
      <c r="C872" s="91" t="str">
        <f aca="false">IF(D872="","",IFERROR(INDEX(CADASTRO_VIVO_3CRE!$B$2:$B$150,MATCH(D872,CADASTRO_VIVO_3CRE!$E$2:$E$150,0)),""))</f>
        <v/>
      </c>
      <c r="D872" s="91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8"/>
      <c r="S872" s="92" t="str">
        <f aca="true">IF(R872="","",TODAY()-INT(R872))</f>
        <v/>
      </c>
      <c r="T872" s="86"/>
      <c r="U872" s="86"/>
      <c r="V872" s="86"/>
      <c r="W872" s="88"/>
      <c r="X872" s="92" t="str">
        <f aca="true">IF(W872="","",IF(OR(O872="28 - Encerrado",O872="27 - Instalação concluída"),"Concluído",TODAY()-INT(W872)))</f>
        <v/>
      </c>
      <c r="Y872" s="91" t="str">
        <f aca="false">IF(OR(O872="28 - Encerrado",O872="27 - Instalação concluída"),"OK",IF(AND(B872&lt;&gt;"",S872=""),"ATENÇÃO (Sem data de atualização)",IF(S872="","",IF(S872&gt;30,"CRÍTICO (Sem Atualização &gt;30 dias)",IF(S872&gt;15,"ATENÇÃO (Sem Atualização &gt;15 dias)",IF(X872&gt;90,"CRÍTICO (Aberto &gt;90 dias)","OK"))))))</f>
        <v/>
      </c>
      <c r="Z872" s="90" t="str">
        <f aca="false">IF(B872="","",IF(OR(O872="27 - Instalação concluída",O872="28 - Encerrado"),"OK",IF(NOT(ISNUMBER(X872)),"",IF(X872&gt;365,"MUITO ANTIGO (&gt;1 ano)",IF(X872&gt;180,"ANTIGO (&gt;6 meses)",IF(X872&gt;90,"ATENÇÃO ANTIG. (&gt;3 meses)","OK"))))))</f>
        <v/>
      </c>
      <c r="AA872" s="91"/>
    </row>
    <row r="873" customFormat="false" ht="16.5" hidden="false" customHeight="true" outlineLevel="0" collapsed="false">
      <c r="A873" s="86"/>
      <c r="B873" s="91"/>
      <c r="C873" s="91" t="str">
        <f aca="false">IF(D873="","",IFERROR(INDEX(CADASTRO_VIVO_3CRE!$B$2:$B$150,MATCH(D873,CADASTRO_VIVO_3CRE!$E$2:$E$150,0)),""))</f>
        <v/>
      </c>
      <c r="D873" s="91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8"/>
      <c r="S873" s="92" t="str">
        <f aca="true">IF(R873="","",TODAY()-INT(R873))</f>
        <v/>
      </c>
      <c r="T873" s="86"/>
      <c r="U873" s="86"/>
      <c r="V873" s="86"/>
      <c r="W873" s="88"/>
      <c r="X873" s="92" t="str">
        <f aca="true">IF(W873="","",IF(OR(O873="28 - Encerrado",O873="27 - Instalação concluída"),"Concluído",TODAY()-INT(W873)))</f>
        <v/>
      </c>
      <c r="Y873" s="91" t="str">
        <f aca="false">IF(OR(O873="28 - Encerrado",O873="27 - Instalação concluída"),"OK",IF(AND(B873&lt;&gt;"",S873=""),"ATENÇÃO (Sem data de atualização)",IF(S873="","",IF(S873&gt;30,"CRÍTICO (Sem Atualização &gt;30 dias)",IF(S873&gt;15,"ATENÇÃO (Sem Atualização &gt;15 dias)",IF(X873&gt;90,"CRÍTICO (Aberto &gt;90 dias)","OK"))))))</f>
        <v/>
      </c>
      <c r="Z873" s="90" t="str">
        <f aca="false">IF(B873="","",IF(OR(O873="27 - Instalação concluída",O873="28 - Encerrado"),"OK",IF(NOT(ISNUMBER(X873)),"",IF(X873&gt;365,"MUITO ANTIGO (&gt;1 ano)",IF(X873&gt;180,"ANTIGO (&gt;6 meses)",IF(X873&gt;90,"ATENÇÃO ANTIG. (&gt;3 meses)","OK"))))))</f>
        <v/>
      </c>
      <c r="AA873" s="91"/>
    </row>
    <row r="874" customFormat="false" ht="16.5" hidden="false" customHeight="true" outlineLevel="0" collapsed="false">
      <c r="A874" s="86"/>
      <c r="B874" s="91"/>
      <c r="C874" s="91" t="str">
        <f aca="false">IF(D874="","",IFERROR(INDEX(CADASTRO_VIVO_3CRE!$B$2:$B$150,MATCH(D874,CADASTRO_VIVO_3CRE!$E$2:$E$150,0)),""))</f>
        <v/>
      </c>
      <c r="D874" s="91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8"/>
      <c r="S874" s="92" t="str">
        <f aca="true">IF(R874="","",TODAY()-INT(R874))</f>
        <v/>
      </c>
      <c r="T874" s="86"/>
      <c r="U874" s="86"/>
      <c r="V874" s="86"/>
      <c r="W874" s="88"/>
      <c r="X874" s="92" t="str">
        <f aca="true">IF(W874="","",IF(OR(O874="28 - Encerrado",O874="27 - Instalação concluída"),"Concluído",TODAY()-INT(W874)))</f>
        <v/>
      </c>
      <c r="Y874" s="91" t="str">
        <f aca="false">IF(OR(O874="28 - Encerrado",O874="27 - Instalação concluída"),"OK",IF(AND(B874&lt;&gt;"",S874=""),"ATENÇÃO (Sem data de atualização)",IF(S874="","",IF(S874&gt;30,"CRÍTICO (Sem Atualização &gt;30 dias)",IF(S874&gt;15,"ATENÇÃO (Sem Atualização &gt;15 dias)",IF(X874&gt;90,"CRÍTICO (Aberto &gt;90 dias)","OK"))))))</f>
        <v/>
      </c>
      <c r="Z874" s="90" t="str">
        <f aca="false">IF(B874="","",IF(OR(O874="27 - Instalação concluída",O874="28 - Encerrado"),"OK",IF(NOT(ISNUMBER(X874)),"",IF(X874&gt;365,"MUITO ANTIGO (&gt;1 ano)",IF(X874&gt;180,"ANTIGO (&gt;6 meses)",IF(X874&gt;90,"ATENÇÃO ANTIG. (&gt;3 meses)","OK"))))))</f>
        <v/>
      </c>
      <c r="AA874" s="91"/>
    </row>
    <row r="875" customFormat="false" ht="16.5" hidden="false" customHeight="true" outlineLevel="0" collapsed="false">
      <c r="A875" s="86"/>
      <c r="B875" s="91"/>
      <c r="C875" s="91" t="str">
        <f aca="false">IF(D875="","",IFERROR(INDEX(CADASTRO_VIVO_3CRE!$B$2:$B$150,MATCH(D875,CADASTRO_VIVO_3CRE!$E$2:$E$150,0)),""))</f>
        <v/>
      </c>
      <c r="D875" s="91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8"/>
      <c r="S875" s="92" t="str">
        <f aca="true">IF(R875="","",TODAY()-INT(R875))</f>
        <v/>
      </c>
      <c r="T875" s="86"/>
      <c r="U875" s="86"/>
      <c r="V875" s="86"/>
      <c r="W875" s="88"/>
      <c r="X875" s="92" t="str">
        <f aca="true">IF(W875="","",IF(OR(O875="28 - Encerrado",O875="27 - Instalação concluída"),"Concluído",TODAY()-INT(W875)))</f>
        <v/>
      </c>
      <c r="Y875" s="91" t="str">
        <f aca="false">IF(OR(O875="28 - Encerrado",O875="27 - Instalação concluída"),"OK",IF(AND(B875&lt;&gt;"",S875=""),"ATENÇÃO (Sem data de atualização)",IF(S875="","",IF(S875&gt;30,"CRÍTICO (Sem Atualização &gt;30 dias)",IF(S875&gt;15,"ATENÇÃO (Sem Atualização &gt;15 dias)",IF(X875&gt;90,"CRÍTICO (Aberto &gt;90 dias)","OK"))))))</f>
        <v/>
      </c>
      <c r="Z875" s="90" t="str">
        <f aca="false">IF(B875="","",IF(OR(O875="27 - Instalação concluída",O875="28 - Encerrado"),"OK",IF(NOT(ISNUMBER(X875)),"",IF(X875&gt;365,"MUITO ANTIGO (&gt;1 ano)",IF(X875&gt;180,"ANTIGO (&gt;6 meses)",IF(X875&gt;90,"ATENÇÃO ANTIG. (&gt;3 meses)","OK"))))))</f>
        <v/>
      </c>
      <c r="AA875" s="91"/>
    </row>
    <row r="876" customFormat="false" ht="16.5" hidden="false" customHeight="true" outlineLevel="0" collapsed="false">
      <c r="A876" s="86"/>
      <c r="B876" s="91"/>
      <c r="C876" s="91" t="str">
        <f aca="false">IF(D876="","",IFERROR(INDEX(CADASTRO_VIVO_3CRE!$B$2:$B$150,MATCH(D876,CADASTRO_VIVO_3CRE!$E$2:$E$150,0)),""))</f>
        <v/>
      </c>
      <c r="D876" s="91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8"/>
      <c r="S876" s="92" t="str">
        <f aca="true">IF(R876="","",TODAY()-INT(R876))</f>
        <v/>
      </c>
      <c r="T876" s="86"/>
      <c r="U876" s="86"/>
      <c r="V876" s="86"/>
      <c r="W876" s="88"/>
      <c r="X876" s="92" t="str">
        <f aca="true">IF(W876="","",IF(OR(O876="28 - Encerrado",O876="27 - Instalação concluída"),"Concluído",TODAY()-INT(W876)))</f>
        <v/>
      </c>
      <c r="Y876" s="91" t="str">
        <f aca="false">IF(OR(O876="28 - Encerrado",O876="27 - Instalação concluída"),"OK",IF(AND(B876&lt;&gt;"",S876=""),"ATENÇÃO (Sem data de atualização)",IF(S876="","",IF(S876&gt;30,"CRÍTICO (Sem Atualização &gt;30 dias)",IF(S876&gt;15,"ATENÇÃO (Sem Atualização &gt;15 dias)",IF(X876&gt;90,"CRÍTICO (Aberto &gt;90 dias)","OK"))))))</f>
        <v/>
      </c>
      <c r="Z876" s="90" t="str">
        <f aca="false">IF(B876="","",IF(OR(O876="27 - Instalação concluída",O876="28 - Encerrado"),"OK",IF(NOT(ISNUMBER(X876)),"",IF(X876&gt;365,"MUITO ANTIGO (&gt;1 ano)",IF(X876&gt;180,"ANTIGO (&gt;6 meses)",IF(X876&gt;90,"ATENÇÃO ANTIG. (&gt;3 meses)","OK"))))))</f>
        <v/>
      </c>
      <c r="AA876" s="91"/>
    </row>
    <row r="877" customFormat="false" ht="16.5" hidden="false" customHeight="true" outlineLevel="0" collapsed="false">
      <c r="A877" s="86"/>
      <c r="B877" s="91"/>
      <c r="C877" s="91" t="str">
        <f aca="false">IF(D877="","",IFERROR(INDEX(CADASTRO_VIVO_3CRE!$B$2:$B$150,MATCH(D877,CADASTRO_VIVO_3CRE!$E$2:$E$150,0)),""))</f>
        <v/>
      </c>
      <c r="D877" s="91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8"/>
      <c r="S877" s="92" t="str">
        <f aca="true">IF(R877="","",TODAY()-INT(R877))</f>
        <v/>
      </c>
      <c r="T877" s="86"/>
      <c r="U877" s="86"/>
      <c r="V877" s="86"/>
      <c r="W877" s="88"/>
      <c r="X877" s="92" t="str">
        <f aca="true">IF(W877="","",IF(OR(O877="28 - Encerrado",O877="27 - Instalação concluída"),"Concluído",TODAY()-INT(W877)))</f>
        <v/>
      </c>
      <c r="Y877" s="91" t="str">
        <f aca="false">IF(OR(O877="28 - Encerrado",O877="27 - Instalação concluída"),"OK",IF(AND(B877&lt;&gt;"",S877=""),"ATENÇÃO (Sem data de atualização)",IF(S877="","",IF(S877&gt;30,"CRÍTICO (Sem Atualização &gt;30 dias)",IF(S877&gt;15,"ATENÇÃO (Sem Atualização &gt;15 dias)",IF(X877&gt;90,"CRÍTICO (Aberto &gt;90 dias)","OK"))))))</f>
        <v/>
      </c>
      <c r="Z877" s="90" t="str">
        <f aca="false">IF(B877="","",IF(OR(O877="27 - Instalação concluída",O877="28 - Encerrado"),"OK",IF(NOT(ISNUMBER(X877)),"",IF(X877&gt;365,"MUITO ANTIGO (&gt;1 ano)",IF(X877&gt;180,"ANTIGO (&gt;6 meses)",IF(X877&gt;90,"ATENÇÃO ANTIG. (&gt;3 meses)","OK"))))))</f>
        <v/>
      </c>
      <c r="AA877" s="91"/>
    </row>
    <row r="878" customFormat="false" ht="16.5" hidden="false" customHeight="true" outlineLevel="0" collapsed="false">
      <c r="A878" s="86"/>
      <c r="B878" s="91"/>
      <c r="C878" s="91" t="str">
        <f aca="false">IF(D878="","",IFERROR(INDEX(CADASTRO_VIVO_3CRE!$B$2:$B$150,MATCH(D878,CADASTRO_VIVO_3CRE!$E$2:$E$150,0)),""))</f>
        <v/>
      </c>
      <c r="D878" s="91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8"/>
      <c r="S878" s="92" t="str">
        <f aca="true">IF(R878="","",TODAY()-INT(R878))</f>
        <v/>
      </c>
      <c r="T878" s="86"/>
      <c r="U878" s="86"/>
      <c r="V878" s="86"/>
      <c r="W878" s="88"/>
      <c r="X878" s="92" t="str">
        <f aca="true">IF(W878="","",IF(OR(O878="28 - Encerrado",O878="27 - Instalação concluída"),"Concluído",TODAY()-INT(W878)))</f>
        <v/>
      </c>
      <c r="Y878" s="91" t="str">
        <f aca="false">IF(OR(O878="28 - Encerrado",O878="27 - Instalação concluída"),"OK",IF(AND(B878&lt;&gt;"",S878=""),"ATENÇÃO (Sem data de atualização)",IF(S878="","",IF(S878&gt;30,"CRÍTICO (Sem Atualização &gt;30 dias)",IF(S878&gt;15,"ATENÇÃO (Sem Atualização &gt;15 dias)",IF(X878&gt;90,"CRÍTICO (Aberto &gt;90 dias)","OK"))))))</f>
        <v/>
      </c>
      <c r="Z878" s="90" t="str">
        <f aca="false">IF(B878="","",IF(OR(O878="27 - Instalação concluída",O878="28 - Encerrado"),"OK",IF(NOT(ISNUMBER(X878)),"",IF(X878&gt;365,"MUITO ANTIGO (&gt;1 ano)",IF(X878&gt;180,"ANTIGO (&gt;6 meses)",IF(X878&gt;90,"ATENÇÃO ANTIG. (&gt;3 meses)","OK"))))))</f>
        <v/>
      </c>
      <c r="AA878" s="91"/>
    </row>
    <row r="879" customFormat="false" ht="16.5" hidden="false" customHeight="true" outlineLevel="0" collapsed="false">
      <c r="A879" s="86"/>
      <c r="B879" s="91"/>
      <c r="C879" s="91" t="str">
        <f aca="false">IF(D879="","",IFERROR(INDEX(CADASTRO_VIVO_3CRE!$B$2:$B$150,MATCH(D879,CADASTRO_VIVO_3CRE!$E$2:$E$150,0)),""))</f>
        <v/>
      </c>
      <c r="D879" s="91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8"/>
      <c r="S879" s="92" t="str">
        <f aca="true">IF(R879="","",TODAY()-INT(R879))</f>
        <v/>
      </c>
      <c r="T879" s="86"/>
      <c r="U879" s="86"/>
      <c r="V879" s="86"/>
      <c r="W879" s="88"/>
      <c r="X879" s="92" t="str">
        <f aca="true">IF(W879="","",IF(OR(O879="28 - Encerrado",O879="27 - Instalação concluída"),"Concluído",TODAY()-INT(W879)))</f>
        <v/>
      </c>
      <c r="Y879" s="91" t="str">
        <f aca="false">IF(OR(O879="28 - Encerrado",O879="27 - Instalação concluída"),"OK",IF(AND(B879&lt;&gt;"",S879=""),"ATENÇÃO (Sem data de atualização)",IF(S879="","",IF(S879&gt;30,"CRÍTICO (Sem Atualização &gt;30 dias)",IF(S879&gt;15,"ATENÇÃO (Sem Atualização &gt;15 dias)",IF(X879&gt;90,"CRÍTICO (Aberto &gt;90 dias)","OK"))))))</f>
        <v/>
      </c>
      <c r="Z879" s="90" t="str">
        <f aca="false">IF(B879="","",IF(OR(O879="27 - Instalação concluída",O879="28 - Encerrado"),"OK",IF(NOT(ISNUMBER(X879)),"",IF(X879&gt;365,"MUITO ANTIGO (&gt;1 ano)",IF(X879&gt;180,"ANTIGO (&gt;6 meses)",IF(X879&gt;90,"ATENÇÃO ANTIG. (&gt;3 meses)","OK"))))))</f>
        <v/>
      </c>
      <c r="AA879" s="91"/>
    </row>
    <row r="880" customFormat="false" ht="16.5" hidden="false" customHeight="true" outlineLevel="0" collapsed="false">
      <c r="A880" s="86"/>
      <c r="B880" s="91"/>
      <c r="C880" s="91" t="str">
        <f aca="false">IF(D880="","",IFERROR(INDEX(CADASTRO_VIVO_3CRE!$B$2:$B$150,MATCH(D880,CADASTRO_VIVO_3CRE!$E$2:$E$150,0)),""))</f>
        <v/>
      </c>
      <c r="D880" s="91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8"/>
      <c r="S880" s="92" t="str">
        <f aca="true">IF(R880="","",TODAY()-INT(R880))</f>
        <v/>
      </c>
      <c r="T880" s="86"/>
      <c r="U880" s="86"/>
      <c r="V880" s="86"/>
      <c r="W880" s="88"/>
      <c r="X880" s="92" t="str">
        <f aca="true">IF(W880="","",IF(OR(O880="28 - Encerrado",O880="27 - Instalação concluída"),"Concluído",TODAY()-INT(W880)))</f>
        <v/>
      </c>
      <c r="Y880" s="91" t="str">
        <f aca="false">IF(OR(O880="28 - Encerrado",O880="27 - Instalação concluída"),"OK",IF(AND(B880&lt;&gt;"",S880=""),"ATENÇÃO (Sem data de atualização)",IF(S880="","",IF(S880&gt;30,"CRÍTICO (Sem Atualização &gt;30 dias)",IF(S880&gt;15,"ATENÇÃO (Sem Atualização &gt;15 dias)",IF(X880&gt;90,"CRÍTICO (Aberto &gt;90 dias)","OK"))))))</f>
        <v/>
      </c>
      <c r="Z880" s="90" t="str">
        <f aca="false">IF(B880="","",IF(OR(O880="27 - Instalação concluída",O880="28 - Encerrado"),"OK",IF(NOT(ISNUMBER(X880)),"",IF(X880&gt;365,"MUITO ANTIGO (&gt;1 ano)",IF(X880&gt;180,"ANTIGO (&gt;6 meses)",IF(X880&gt;90,"ATENÇÃO ANTIG. (&gt;3 meses)","OK"))))))</f>
        <v/>
      </c>
      <c r="AA880" s="91"/>
    </row>
    <row r="881" customFormat="false" ht="16.5" hidden="false" customHeight="true" outlineLevel="0" collapsed="false">
      <c r="A881" s="86"/>
      <c r="B881" s="91"/>
      <c r="C881" s="91" t="str">
        <f aca="false">IF(D881="","",IFERROR(INDEX(CADASTRO_VIVO_3CRE!$B$2:$B$150,MATCH(D881,CADASTRO_VIVO_3CRE!$E$2:$E$150,0)),""))</f>
        <v/>
      </c>
      <c r="D881" s="91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8"/>
      <c r="S881" s="92" t="str">
        <f aca="true">IF(R881="","",TODAY()-INT(R881))</f>
        <v/>
      </c>
      <c r="T881" s="86"/>
      <c r="U881" s="86"/>
      <c r="V881" s="86"/>
      <c r="W881" s="88"/>
      <c r="X881" s="92" t="str">
        <f aca="true">IF(W881="","",IF(OR(O881="28 - Encerrado",O881="27 - Instalação concluída"),"Concluído",TODAY()-INT(W881)))</f>
        <v/>
      </c>
      <c r="Y881" s="91" t="str">
        <f aca="false">IF(OR(O881="28 - Encerrado",O881="27 - Instalação concluída"),"OK",IF(AND(B881&lt;&gt;"",S881=""),"ATENÇÃO (Sem data de atualização)",IF(S881="","",IF(S881&gt;30,"CRÍTICO (Sem Atualização &gt;30 dias)",IF(S881&gt;15,"ATENÇÃO (Sem Atualização &gt;15 dias)",IF(X881&gt;90,"CRÍTICO (Aberto &gt;90 dias)","OK"))))))</f>
        <v/>
      </c>
      <c r="Z881" s="90" t="str">
        <f aca="false">IF(B881="","",IF(OR(O881="27 - Instalação concluída",O881="28 - Encerrado"),"OK",IF(NOT(ISNUMBER(X881)),"",IF(X881&gt;365,"MUITO ANTIGO (&gt;1 ano)",IF(X881&gt;180,"ANTIGO (&gt;6 meses)",IF(X881&gt;90,"ATENÇÃO ANTIG. (&gt;3 meses)","OK"))))))</f>
        <v/>
      </c>
      <c r="AA881" s="91"/>
    </row>
    <row r="882" customFormat="false" ht="16.5" hidden="false" customHeight="true" outlineLevel="0" collapsed="false">
      <c r="A882" s="86"/>
      <c r="B882" s="91"/>
      <c r="C882" s="91" t="str">
        <f aca="false">IF(D882="","",IFERROR(INDEX(CADASTRO_VIVO_3CRE!$B$2:$B$150,MATCH(D882,CADASTRO_VIVO_3CRE!$E$2:$E$150,0)),""))</f>
        <v/>
      </c>
      <c r="D882" s="91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8"/>
      <c r="S882" s="92" t="str">
        <f aca="true">IF(R882="","",TODAY()-INT(R882))</f>
        <v/>
      </c>
      <c r="T882" s="86"/>
      <c r="U882" s="86"/>
      <c r="V882" s="86"/>
      <c r="W882" s="88"/>
      <c r="X882" s="92" t="str">
        <f aca="true">IF(W882="","",IF(OR(O882="28 - Encerrado",O882="27 - Instalação concluída"),"Concluído",TODAY()-INT(W882)))</f>
        <v/>
      </c>
      <c r="Y882" s="91" t="str">
        <f aca="false">IF(OR(O882="28 - Encerrado",O882="27 - Instalação concluída"),"OK",IF(AND(B882&lt;&gt;"",S882=""),"ATENÇÃO (Sem data de atualização)",IF(S882="","",IF(S882&gt;30,"CRÍTICO (Sem Atualização &gt;30 dias)",IF(S882&gt;15,"ATENÇÃO (Sem Atualização &gt;15 dias)",IF(X882&gt;90,"CRÍTICO (Aberto &gt;90 dias)","OK"))))))</f>
        <v/>
      </c>
      <c r="Z882" s="90" t="str">
        <f aca="false">IF(B882="","",IF(OR(O882="27 - Instalação concluída",O882="28 - Encerrado"),"OK",IF(NOT(ISNUMBER(X882)),"",IF(X882&gt;365,"MUITO ANTIGO (&gt;1 ano)",IF(X882&gt;180,"ANTIGO (&gt;6 meses)",IF(X882&gt;90,"ATENÇÃO ANTIG. (&gt;3 meses)","OK"))))))</f>
        <v/>
      </c>
      <c r="AA882" s="91"/>
    </row>
    <row r="883" customFormat="false" ht="16.5" hidden="false" customHeight="true" outlineLevel="0" collapsed="false">
      <c r="A883" s="86"/>
      <c r="B883" s="91"/>
      <c r="C883" s="91" t="str">
        <f aca="false">IF(D883="","",IFERROR(INDEX(CADASTRO_VIVO_3CRE!$B$2:$B$150,MATCH(D883,CADASTRO_VIVO_3CRE!$E$2:$E$150,0)),""))</f>
        <v/>
      </c>
      <c r="D883" s="91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8"/>
      <c r="S883" s="92" t="str">
        <f aca="true">IF(R883="","",TODAY()-INT(R883))</f>
        <v/>
      </c>
      <c r="T883" s="86"/>
      <c r="U883" s="86"/>
      <c r="V883" s="86"/>
      <c r="W883" s="88"/>
      <c r="X883" s="92" t="str">
        <f aca="true">IF(W883="","",IF(OR(O883="28 - Encerrado",O883="27 - Instalação concluída"),"Concluído",TODAY()-INT(W883)))</f>
        <v/>
      </c>
      <c r="Y883" s="91" t="str">
        <f aca="false">IF(OR(O883="28 - Encerrado",O883="27 - Instalação concluída"),"OK",IF(AND(B883&lt;&gt;"",S883=""),"ATENÇÃO (Sem data de atualização)",IF(S883="","",IF(S883&gt;30,"CRÍTICO (Sem Atualização &gt;30 dias)",IF(S883&gt;15,"ATENÇÃO (Sem Atualização &gt;15 dias)",IF(X883&gt;90,"CRÍTICO (Aberto &gt;90 dias)","OK"))))))</f>
        <v/>
      </c>
      <c r="Z883" s="90" t="str">
        <f aca="false">IF(B883="","",IF(OR(O883="27 - Instalação concluída",O883="28 - Encerrado"),"OK",IF(NOT(ISNUMBER(X883)),"",IF(X883&gt;365,"MUITO ANTIGO (&gt;1 ano)",IF(X883&gt;180,"ANTIGO (&gt;6 meses)",IF(X883&gt;90,"ATENÇÃO ANTIG. (&gt;3 meses)","OK"))))))</f>
        <v/>
      </c>
      <c r="AA883" s="91"/>
    </row>
    <row r="884" customFormat="false" ht="16.5" hidden="false" customHeight="true" outlineLevel="0" collapsed="false">
      <c r="A884" s="86"/>
      <c r="B884" s="91"/>
      <c r="C884" s="91" t="str">
        <f aca="false">IF(D884="","",IFERROR(INDEX(CADASTRO_VIVO_3CRE!$B$2:$B$150,MATCH(D884,CADASTRO_VIVO_3CRE!$E$2:$E$150,0)),""))</f>
        <v/>
      </c>
      <c r="D884" s="91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8"/>
      <c r="S884" s="92" t="str">
        <f aca="true">IF(R884="","",TODAY()-INT(R884))</f>
        <v/>
      </c>
      <c r="T884" s="86"/>
      <c r="U884" s="86"/>
      <c r="V884" s="86"/>
      <c r="W884" s="88"/>
      <c r="X884" s="92" t="str">
        <f aca="true">IF(W884="","",IF(OR(O884="28 - Encerrado",O884="27 - Instalação concluída"),"Concluído",TODAY()-INT(W884)))</f>
        <v/>
      </c>
      <c r="Y884" s="91" t="str">
        <f aca="false">IF(OR(O884="28 - Encerrado",O884="27 - Instalação concluída"),"OK",IF(AND(B884&lt;&gt;"",S884=""),"ATENÇÃO (Sem data de atualização)",IF(S884="","",IF(S884&gt;30,"CRÍTICO (Sem Atualização &gt;30 dias)",IF(S884&gt;15,"ATENÇÃO (Sem Atualização &gt;15 dias)",IF(X884&gt;90,"CRÍTICO (Aberto &gt;90 dias)","OK"))))))</f>
        <v/>
      </c>
      <c r="Z884" s="90" t="str">
        <f aca="false">IF(B884="","",IF(OR(O884="27 - Instalação concluída",O884="28 - Encerrado"),"OK",IF(NOT(ISNUMBER(X884)),"",IF(X884&gt;365,"MUITO ANTIGO (&gt;1 ano)",IF(X884&gt;180,"ANTIGO (&gt;6 meses)",IF(X884&gt;90,"ATENÇÃO ANTIG. (&gt;3 meses)","OK"))))))</f>
        <v/>
      </c>
      <c r="AA884" s="91"/>
    </row>
    <row r="885" customFormat="false" ht="16.5" hidden="false" customHeight="true" outlineLevel="0" collapsed="false">
      <c r="A885" s="86"/>
      <c r="B885" s="91"/>
      <c r="C885" s="91" t="str">
        <f aca="false">IF(D885="","",IFERROR(INDEX(CADASTRO_VIVO_3CRE!$B$2:$B$150,MATCH(D885,CADASTRO_VIVO_3CRE!$E$2:$E$150,0)),""))</f>
        <v/>
      </c>
      <c r="D885" s="91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8"/>
      <c r="S885" s="92" t="str">
        <f aca="true">IF(R885="","",TODAY()-INT(R885))</f>
        <v/>
      </c>
      <c r="T885" s="86"/>
      <c r="U885" s="86"/>
      <c r="V885" s="86"/>
      <c r="W885" s="88"/>
      <c r="X885" s="92" t="str">
        <f aca="true">IF(W885="","",IF(OR(O885="28 - Encerrado",O885="27 - Instalação concluída"),"Concluído",TODAY()-INT(W885)))</f>
        <v/>
      </c>
      <c r="Y885" s="91" t="str">
        <f aca="false">IF(OR(O885="28 - Encerrado",O885="27 - Instalação concluída"),"OK",IF(AND(B885&lt;&gt;"",S885=""),"ATENÇÃO (Sem data de atualização)",IF(S885="","",IF(S885&gt;30,"CRÍTICO (Sem Atualização &gt;30 dias)",IF(S885&gt;15,"ATENÇÃO (Sem Atualização &gt;15 dias)",IF(X885&gt;90,"CRÍTICO (Aberto &gt;90 dias)","OK"))))))</f>
        <v/>
      </c>
      <c r="Z885" s="90" t="str">
        <f aca="false">IF(B885="","",IF(OR(O885="27 - Instalação concluída",O885="28 - Encerrado"),"OK",IF(NOT(ISNUMBER(X885)),"",IF(X885&gt;365,"MUITO ANTIGO (&gt;1 ano)",IF(X885&gt;180,"ANTIGO (&gt;6 meses)",IF(X885&gt;90,"ATENÇÃO ANTIG. (&gt;3 meses)","OK"))))))</f>
        <v/>
      </c>
      <c r="AA885" s="91"/>
    </row>
    <row r="886" customFormat="false" ht="16.5" hidden="false" customHeight="true" outlineLevel="0" collapsed="false">
      <c r="A886" s="86"/>
      <c r="B886" s="91"/>
      <c r="C886" s="91" t="str">
        <f aca="false">IF(D886="","",IFERROR(INDEX(CADASTRO_VIVO_3CRE!$B$2:$B$150,MATCH(D886,CADASTRO_VIVO_3CRE!$E$2:$E$150,0)),""))</f>
        <v/>
      </c>
      <c r="D886" s="91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8"/>
      <c r="S886" s="92" t="str">
        <f aca="true">IF(R886="","",TODAY()-INT(R886))</f>
        <v/>
      </c>
      <c r="T886" s="86"/>
      <c r="U886" s="86"/>
      <c r="V886" s="86"/>
      <c r="W886" s="88"/>
      <c r="X886" s="92" t="str">
        <f aca="true">IF(W886="","",IF(OR(O886="28 - Encerrado",O886="27 - Instalação concluída"),"Concluído",TODAY()-INT(W886)))</f>
        <v/>
      </c>
      <c r="Y886" s="91" t="str">
        <f aca="false">IF(OR(O886="28 - Encerrado",O886="27 - Instalação concluída"),"OK",IF(AND(B886&lt;&gt;"",S886=""),"ATENÇÃO (Sem data de atualização)",IF(S886="","",IF(S886&gt;30,"CRÍTICO (Sem Atualização &gt;30 dias)",IF(S886&gt;15,"ATENÇÃO (Sem Atualização &gt;15 dias)",IF(X886&gt;90,"CRÍTICO (Aberto &gt;90 dias)","OK"))))))</f>
        <v/>
      </c>
      <c r="Z886" s="90" t="str">
        <f aca="false">IF(B886="","",IF(OR(O886="27 - Instalação concluída",O886="28 - Encerrado"),"OK",IF(NOT(ISNUMBER(X886)),"",IF(X886&gt;365,"MUITO ANTIGO (&gt;1 ano)",IF(X886&gt;180,"ANTIGO (&gt;6 meses)",IF(X886&gt;90,"ATENÇÃO ANTIG. (&gt;3 meses)","OK"))))))</f>
        <v/>
      </c>
      <c r="AA886" s="91"/>
    </row>
    <row r="887" customFormat="false" ht="16.5" hidden="false" customHeight="true" outlineLevel="0" collapsed="false">
      <c r="A887" s="86"/>
      <c r="B887" s="91"/>
      <c r="C887" s="91" t="str">
        <f aca="false">IF(D887="","",IFERROR(INDEX(CADASTRO_VIVO_3CRE!$B$2:$B$150,MATCH(D887,CADASTRO_VIVO_3CRE!$E$2:$E$150,0)),""))</f>
        <v/>
      </c>
      <c r="D887" s="91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8"/>
      <c r="S887" s="92" t="str">
        <f aca="true">IF(R887="","",TODAY()-INT(R887))</f>
        <v/>
      </c>
      <c r="T887" s="86"/>
      <c r="U887" s="86"/>
      <c r="V887" s="86"/>
      <c r="W887" s="88"/>
      <c r="X887" s="92" t="str">
        <f aca="true">IF(W887="","",IF(OR(O887="28 - Encerrado",O887="27 - Instalação concluída"),"Concluído",TODAY()-INT(W887)))</f>
        <v/>
      </c>
      <c r="Y887" s="91" t="str">
        <f aca="false">IF(OR(O887="28 - Encerrado",O887="27 - Instalação concluída"),"OK",IF(AND(B887&lt;&gt;"",S887=""),"ATENÇÃO (Sem data de atualização)",IF(S887="","",IF(S887&gt;30,"CRÍTICO (Sem Atualização &gt;30 dias)",IF(S887&gt;15,"ATENÇÃO (Sem Atualização &gt;15 dias)",IF(X887&gt;90,"CRÍTICO (Aberto &gt;90 dias)","OK"))))))</f>
        <v/>
      </c>
      <c r="Z887" s="90" t="str">
        <f aca="false">IF(B887="","",IF(OR(O887="27 - Instalação concluída",O887="28 - Encerrado"),"OK",IF(NOT(ISNUMBER(X887)),"",IF(X887&gt;365,"MUITO ANTIGO (&gt;1 ano)",IF(X887&gt;180,"ANTIGO (&gt;6 meses)",IF(X887&gt;90,"ATENÇÃO ANTIG. (&gt;3 meses)","OK"))))))</f>
        <v/>
      </c>
      <c r="AA887" s="91"/>
    </row>
    <row r="888" customFormat="false" ht="16.5" hidden="false" customHeight="true" outlineLevel="0" collapsed="false">
      <c r="A888" s="86"/>
      <c r="B888" s="91"/>
      <c r="C888" s="91" t="str">
        <f aca="false">IF(D888="","",IFERROR(INDEX(CADASTRO_VIVO_3CRE!$B$2:$B$150,MATCH(D888,CADASTRO_VIVO_3CRE!$E$2:$E$150,0)),""))</f>
        <v/>
      </c>
      <c r="D888" s="91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8"/>
      <c r="S888" s="92" t="str">
        <f aca="true">IF(R888="","",TODAY()-INT(R888))</f>
        <v/>
      </c>
      <c r="T888" s="86"/>
      <c r="U888" s="86"/>
      <c r="V888" s="86"/>
      <c r="W888" s="88"/>
      <c r="X888" s="92" t="str">
        <f aca="true">IF(W888="","",IF(OR(O888="28 - Encerrado",O888="27 - Instalação concluída"),"Concluído",TODAY()-INT(W888)))</f>
        <v/>
      </c>
      <c r="Y888" s="91" t="str">
        <f aca="false">IF(OR(O888="28 - Encerrado",O888="27 - Instalação concluída"),"OK",IF(AND(B888&lt;&gt;"",S888=""),"ATENÇÃO (Sem data de atualização)",IF(S888="","",IF(S888&gt;30,"CRÍTICO (Sem Atualização &gt;30 dias)",IF(S888&gt;15,"ATENÇÃO (Sem Atualização &gt;15 dias)",IF(X888&gt;90,"CRÍTICO (Aberto &gt;90 dias)","OK"))))))</f>
        <v/>
      </c>
      <c r="Z888" s="90" t="str">
        <f aca="false">IF(B888="","",IF(OR(O888="27 - Instalação concluída",O888="28 - Encerrado"),"OK",IF(NOT(ISNUMBER(X888)),"",IF(X888&gt;365,"MUITO ANTIGO (&gt;1 ano)",IF(X888&gt;180,"ANTIGO (&gt;6 meses)",IF(X888&gt;90,"ATENÇÃO ANTIG. (&gt;3 meses)","OK"))))))</f>
        <v/>
      </c>
      <c r="AA888" s="91"/>
    </row>
    <row r="889" customFormat="false" ht="16.5" hidden="false" customHeight="true" outlineLevel="0" collapsed="false">
      <c r="A889" s="86"/>
      <c r="B889" s="91"/>
      <c r="C889" s="91" t="str">
        <f aca="false">IF(D889="","",IFERROR(INDEX(CADASTRO_VIVO_3CRE!$B$2:$B$150,MATCH(D889,CADASTRO_VIVO_3CRE!$E$2:$E$150,0)),""))</f>
        <v/>
      </c>
      <c r="D889" s="91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8"/>
      <c r="S889" s="92" t="str">
        <f aca="true">IF(R889="","",TODAY()-INT(R889))</f>
        <v/>
      </c>
      <c r="T889" s="86"/>
      <c r="U889" s="86"/>
      <c r="V889" s="86"/>
      <c r="W889" s="88"/>
      <c r="X889" s="92" t="str">
        <f aca="true">IF(W889="","",IF(OR(O889="28 - Encerrado",O889="27 - Instalação concluída"),"Concluído",TODAY()-INT(W889)))</f>
        <v/>
      </c>
      <c r="Y889" s="91" t="str">
        <f aca="false">IF(OR(O889="28 - Encerrado",O889="27 - Instalação concluída"),"OK",IF(AND(B889&lt;&gt;"",S889=""),"ATENÇÃO (Sem data de atualização)",IF(S889="","",IF(S889&gt;30,"CRÍTICO (Sem Atualização &gt;30 dias)",IF(S889&gt;15,"ATENÇÃO (Sem Atualização &gt;15 dias)",IF(X889&gt;90,"CRÍTICO (Aberto &gt;90 dias)","OK"))))))</f>
        <v/>
      </c>
      <c r="Z889" s="90" t="str">
        <f aca="false">IF(B889="","",IF(OR(O889="27 - Instalação concluída",O889="28 - Encerrado"),"OK",IF(NOT(ISNUMBER(X889)),"",IF(X889&gt;365,"MUITO ANTIGO (&gt;1 ano)",IF(X889&gt;180,"ANTIGO (&gt;6 meses)",IF(X889&gt;90,"ATENÇÃO ANTIG. (&gt;3 meses)","OK"))))))</f>
        <v/>
      </c>
      <c r="AA889" s="91"/>
    </row>
    <row r="890" customFormat="false" ht="16.5" hidden="false" customHeight="true" outlineLevel="0" collapsed="false">
      <c r="A890" s="86"/>
      <c r="B890" s="91"/>
      <c r="C890" s="91" t="str">
        <f aca="false">IF(D890="","",IFERROR(INDEX(CADASTRO_VIVO_3CRE!$B$2:$B$150,MATCH(D890,CADASTRO_VIVO_3CRE!$E$2:$E$150,0)),""))</f>
        <v/>
      </c>
      <c r="D890" s="91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8"/>
      <c r="S890" s="92" t="str">
        <f aca="true">IF(R890="","",TODAY()-INT(R890))</f>
        <v/>
      </c>
      <c r="T890" s="86"/>
      <c r="U890" s="86"/>
      <c r="V890" s="86"/>
      <c r="W890" s="88"/>
      <c r="X890" s="92" t="str">
        <f aca="true">IF(W890="","",IF(OR(O890="28 - Encerrado",O890="27 - Instalação concluída"),"Concluído",TODAY()-INT(W890)))</f>
        <v/>
      </c>
      <c r="Y890" s="91" t="str">
        <f aca="false">IF(OR(O890="28 - Encerrado",O890="27 - Instalação concluída"),"OK",IF(AND(B890&lt;&gt;"",S890=""),"ATENÇÃO (Sem data de atualização)",IF(S890="","",IF(S890&gt;30,"CRÍTICO (Sem Atualização &gt;30 dias)",IF(S890&gt;15,"ATENÇÃO (Sem Atualização &gt;15 dias)",IF(X890&gt;90,"CRÍTICO (Aberto &gt;90 dias)","OK"))))))</f>
        <v/>
      </c>
      <c r="Z890" s="90" t="str">
        <f aca="false">IF(B890="","",IF(OR(O890="27 - Instalação concluída",O890="28 - Encerrado"),"OK",IF(NOT(ISNUMBER(X890)),"",IF(X890&gt;365,"MUITO ANTIGO (&gt;1 ano)",IF(X890&gt;180,"ANTIGO (&gt;6 meses)",IF(X890&gt;90,"ATENÇÃO ANTIG. (&gt;3 meses)","OK"))))))</f>
        <v/>
      </c>
      <c r="AA890" s="91"/>
    </row>
    <row r="891" customFormat="false" ht="16.5" hidden="false" customHeight="true" outlineLevel="0" collapsed="false">
      <c r="A891" s="86"/>
      <c r="B891" s="91"/>
      <c r="C891" s="91" t="str">
        <f aca="false">IF(D891="","",IFERROR(INDEX(CADASTRO_VIVO_3CRE!$B$2:$B$150,MATCH(D891,CADASTRO_VIVO_3CRE!$E$2:$E$150,0)),""))</f>
        <v/>
      </c>
      <c r="D891" s="91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8"/>
      <c r="S891" s="92" t="str">
        <f aca="true">IF(R891="","",TODAY()-INT(R891))</f>
        <v/>
      </c>
      <c r="T891" s="86"/>
      <c r="U891" s="86"/>
      <c r="V891" s="86"/>
      <c r="W891" s="88"/>
      <c r="X891" s="92" t="str">
        <f aca="true">IF(W891="","",IF(OR(O891="28 - Encerrado",O891="27 - Instalação concluída"),"Concluído",TODAY()-INT(W891)))</f>
        <v/>
      </c>
      <c r="Y891" s="91" t="str">
        <f aca="false">IF(OR(O891="28 - Encerrado",O891="27 - Instalação concluída"),"OK",IF(AND(B891&lt;&gt;"",S891=""),"ATENÇÃO (Sem data de atualização)",IF(S891="","",IF(S891&gt;30,"CRÍTICO (Sem Atualização &gt;30 dias)",IF(S891&gt;15,"ATENÇÃO (Sem Atualização &gt;15 dias)",IF(X891&gt;90,"CRÍTICO (Aberto &gt;90 dias)","OK"))))))</f>
        <v/>
      </c>
      <c r="Z891" s="90" t="str">
        <f aca="false">IF(B891="","",IF(OR(O891="27 - Instalação concluída",O891="28 - Encerrado"),"OK",IF(NOT(ISNUMBER(X891)),"",IF(X891&gt;365,"MUITO ANTIGO (&gt;1 ano)",IF(X891&gt;180,"ANTIGO (&gt;6 meses)",IF(X891&gt;90,"ATENÇÃO ANTIG. (&gt;3 meses)","OK"))))))</f>
        <v/>
      </c>
      <c r="AA891" s="91"/>
    </row>
    <row r="892" customFormat="false" ht="16.5" hidden="false" customHeight="true" outlineLevel="0" collapsed="false">
      <c r="A892" s="86"/>
      <c r="B892" s="91"/>
      <c r="C892" s="91" t="str">
        <f aca="false">IF(D892="","",IFERROR(INDEX(CADASTRO_VIVO_3CRE!$B$2:$B$150,MATCH(D892,CADASTRO_VIVO_3CRE!$E$2:$E$150,0)),""))</f>
        <v/>
      </c>
      <c r="D892" s="91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8"/>
      <c r="S892" s="92" t="str">
        <f aca="true">IF(R892="","",TODAY()-INT(R892))</f>
        <v/>
      </c>
      <c r="T892" s="86"/>
      <c r="U892" s="86"/>
      <c r="V892" s="86"/>
      <c r="W892" s="88"/>
      <c r="X892" s="92" t="str">
        <f aca="true">IF(W892="","",IF(OR(O892="28 - Encerrado",O892="27 - Instalação concluída"),"Concluído",TODAY()-INT(W892)))</f>
        <v/>
      </c>
      <c r="Y892" s="91" t="str">
        <f aca="false">IF(OR(O892="28 - Encerrado",O892="27 - Instalação concluída"),"OK",IF(AND(B892&lt;&gt;"",S892=""),"ATENÇÃO (Sem data de atualização)",IF(S892="","",IF(S892&gt;30,"CRÍTICO (Sem Atualização &gt;30 dias)",IF(S892&gt;15,"ATENÇÃO (Sem Atualização &gt;15 dias)",IF(X892&gt;90,"CRÍTICO (Aberto &gt;90 dias)","OK"))))))</f>
        <v/>
      </c>
      <c r="Z892" s="90" t="str">
        <f aca="false">IF(B892="","",IF(OR(O892="27 - Instalação concluída",O892="28 - Encerrado"),"OK",IF(NOT(ISNUMBER(X892)),"",IF(X892&gt;365,"MUITO ANTIGO (&gt;1 ano)",IF(X892&gt;180,"ANTIGO (&gt;6 meses)",IF(X892&gt;90,"ATENÇÃO ANTIG. (&gt;3 meses)","OK"))))))</f>
        <v/>
      </c>
      <c r="AA892" s="91"/>
    </row>
    <row r="893" customFormat="false" ht="16.5" hidden="false" customHeight="true" outlineLevel="0" collapsed="false">
      <c r="A893" s="86"/>
      <c r="B893" s="91"/>
      <c r="C893" s="91" t="str">
        <f aca="false">IF(D893="","",IFERROR(INDEX(CADASTRO_VIVO_3CRE!$B$2:$B$150,MATCH(D893,CADASTRO_VIVO_3CRE!$E$2:$E$150,0)),""))</f>
        <v/>
      </c>
      <c r="D893" s="91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8"/>
      <c r="S893" s="92" t="str">
        <f aca="true">IF(R893="","",TODAY()-INT(R893))</f>
        <v/>
      </c>
      <c r="T893" s="86"/>
      <c r="U893" s="86"/>
      <c r="V893" s="86"/>
      <c r="W893" s="88"/>
      <c r="X893" s="92" t="str">
        <f aca="true">IF(W893="","",IF(OR(O893="28 - Encerrado",O893="27 - Instalação concluída"),"Concluído",TODAY()-INT(W893)))</f>
        <v/>
      </c>
      <c r="Y893" s="91" t="str">
        <f aca="false">IF(OR(O893="28 - Encerrado",O893="27 - Instalação concluída"),"OK",IF(AND(B893&lt;&gt;"",S893=""),"ATENÇÃO (Sem data de atualização)",IF(S893="","",IF(S893&gt;30,"CRÍTICO (Sem Atualização &gt;30 dias)",IF(S893&gt;15,"ATENÇÃO (Sem Atualização &gt;15 dias)",IF(X893&gt;90,"CRÍTICO (Aberto &gt;90 dias)","OK"))))))</f>
        <v/>
      </c>
      <c r="Z893" s="90" t="str">
        <f aca="false">IF(B893="","",IF(OR(O893="27 - Instalação concluída",O893="28 - Encerrado"),"OK",IF(NOT(ISNUMBER(X893)),"",IF(X893&gt;365,"MUITO ANTIGO (&gt;1 ano)",IF(X893&gt;180,"ANTIGO (&gt;6 meses)",IF(X893&gt;90,"ATENÇÃO ANTIG. (&gt;3 meses)","OK"))))))</f>
        <v/>
      </c>
      <c r="AA893" s="91"/>
    </row>
    <row r="894" customFormat="false" ht="16.5" hidden="false" customHeight="true" outlineLevel="0" collapsed="false">
      <c r="A894" s="86"/>
      <c r="B894" s="91"/>
      <c r="C894" s="91" t="str">
        <f aca="false">IF(D894="","",IFERROR(INDEX(CADASTRO_VIVO_3CRE!$B$2:$B$150,MATCH(D894,CADASTRO_VIVO_3CRE!$E$2:$E$150,0)),""))</f>
        <v/>
      </c>
      <c r="D894" s="91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8"/>
      <c r="S894" s="92" t="str">
        <f aca="true">IF(R894="","",TODAY()-INT(R894))</f>
        <v/>
      </c>
      <c r="T894" s="86"/>
      <c r="U894" s="86"/>
      <c r="V894" s="86"/>
      <c r="W894" s="88"/>
      <c r="X894" s="92" t="str">
        <f aca="true">IF(W894="","",IF(OR(O894="28 - Encerrado",O894="27 - Instalação concluída"),"Concluído",TODAY()-INT(W894)))</f>
        <v/>
      </c>
      <c r="Y894" s="91" t="str">
        <f aca="false">IF(OR(O894="28 - Encerrado",O894="27 - Instalação concluída"),"OK",IF(AND(B894&lt;&gt;"",S894=""),"ATENÇÃO (Sem data de atualização)",IF(S894="","",IF(S894&gt;30,"CRÍTICO (Sem Atualização &gt;30 dias)",IF(S894&gt;15,"ATENÇÃO (Sem Atualização &gt;15 dias)",IF(X894&gt;90,"CRÍTICO (Aberto &gt;90 dias)","OK"))))))</f>
        <v/>
      </c>
      <c r="Z894" s="90" t="str">
        <f aca="false">IF(B894="","",IF(OR(O894="27 - Instalação concluída",O894="28 - Encerrado"),"OK",IF(NOT(ISNUMBER(X894)),"",IF(X894&gt;365,"MUITO ANTIGO (&gt;1 ano)",IF(X894&gt;180,"ANTIGO (&gt;6 meses)",IF(X894&gt;90,"ATENÇÃO ANTIG. (&gt;3 meses)","OK"))))))</f>
        <v/>
      </c>
      <c r="AA894" s="91"/>
    </row>
    <row r="895" customFormat="false" ht="16.5" hidden="false" customHeight="true" outlineLevel="0" collapsed="false">
      <c r="A895" s="86"/>
      <c r="B895" s="91"/>
      <c r="C895" s="91" t="str">
        <f aca="false">IF(D895="","",IFERROR(INDEX(CADASTRO_VIVO_3CRE!$B$2:$B$150,MATCH(D895,CADASTRO_VIVO_3CRE!$E$2:$E$150,0)),""))</f>
        <v/>
      </c>
      <c r="D895" s="91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8"/>
      <c r="S895" s="92" t="str">
        <f aca="true">IF(R895="","",TODAY()-INT(R895))</f>
        <v/>
      </c>
      <c r="T895" s="86"/>
      <c r="U895" s="86"/>
      <c r="V895" s="86"/>
      <c r="W895" s="88"/>
      <c r="X895" s="92" t="str">
        <f aca="true">IF(W895="","",IF(OR(O895="28 - Encerrado",O895="27 - Instalação concluída"),"Concluído",TODAY()-INT(W895)))</f>
        <v/>
      </c>
      <c r="Y895" s="91" t="str">
        <f aca="false">IF(OR(O895="28 - Encerrado",O895="27 - Instalação concluída"),"OK",IF(AND(B895&lt;&gt;"",S895=""),"ATENÇÃO (Sem data de atualização)",IF(S895="","",IF(S895&gt;30,"CRÍTICO (Sem Atualização &gt;30 dias)",IF(S895&gt;15,"ATENÇÃO (Sem Atualização &gt;15 dias)",IF(X895&gt;90,"CRÍTICO (Aberto &gt;90 dias)","OK"))))))</f>
        <v/>
      </c>
      <c r="Z895" s="90" t="str">
        <f aca="false">IF(B895="","",IF(OR(O895="27 - Instalação concluída",O895="28 - Encerrado"),"OK",IF(NOT(ISNUMBER(X895)),"",IF(X895&gt;365,"MUITO ANTIGO (&gt;1 ano)",IF(X895&gt;180,"ANTIGO (&gt;6 meses)",IF(X895&gt;90,"ATENÇÃO ANTIG. (&gt;3 meses)","OK"))))))</f>
        <v/>
      </c>
      <c r="AA895" s="91"/>
    </row>
    <row r="896" customFormat="false" ht="16.5" hidden="false" customHeight="true" outlineLevel="0" collapsed="false">
      <c r="A896" s="86"/>
      <c r="B896" s="91"/>
      <c r="C896" s="91" t="str">
        <f aca="false">IF(D896="","",IFERROR(INDEX(CADASTRO_VIVO_3CRE!$B$2:$B$150,MATCH(D896,CADASTRO_VIVO_3CRE!$E$2:$E$150,0)),""))</f>
        <v/>
      </c>
      <c r="D896" s="91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8"/>
      <c r="S896" s="92" t="str">
        <f aca="true">IF(R896="","",TODAY()-INT(R896))</f>
        <v/>
      </c>
      <c r="T896" s="86"/>
      <c r="U896" s="86"/>
      <c r="V896" s="86"/>
      <c r="W896" s="88"/>
      <c r="X896" s="92" t="str">
        <f aca="true">IF(W896="","",IF(OR(O896="28 - Encerrado",O896="27 - Instalação concluída"),"Concluído",TODAY()-INT(W896)))</f>
        <v/>
      </c>
      <c r="Y896" s="91" t="str">
        <f aca="false">IF(OR(O896="28 - Encerrado",O896="27 - Instalação concluída"),"OK",IF(AND(B896&lt;&gt;"",S896=""),"ATENÇÃO (Sem data de atualização)",IF(S896="","",IF(S896&gt;30,"CRÍTICO (Sem Atualização &gt;30 dias)",IF(S896&gt;15,"ATENÇÃO (Sem Atualização &gt;15 dias)",IF(X896&gt;90,"CRÍTICO (Aberto &gt;90 dias)","OK"))))))</f>
        <v/>
      </c>
      <c r="Z896" s="90" t="str">
        <f aca="false">IF(B896="","",IF(OR(O896="27 - Instalação concluída",O896="28 - Encerrado"),"OK",IF(NOT(ISNUMBER(X896)),"",IF(X896&gt;365,"MUITO ANTIGO (&gt;1 ano)",IF(X896&gt;180,"ANTIGO (&gt;6 meses)",IF(X896&gt;90,"ATENÇÃO ANTIG. (&gt;3 meses)","OK"))))))</f>
        <v/>
      </c>
      <c r="AA896" s="91"/>
    </row>
    <row r="897" customFormat="false" ht="16.5" hidden="false" customHeight="true" outlineLevel="0" collapsed="false">
      <c r="A897" s="86"/>
      <c r="B897" s="91"/>
      <c r="C897" s="91" t="str">
        <f aca="false">IF(D897="","",IFERROR(INDEX(CADASTRO_VIVO_3CRE!$B$2:$B$150,MATCH(D897,CADASTRO_VIVO_3CRE!$E$2:$E$150,0)),""))</f>
        <v/>
      </c>
      <c r="D897" s="91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8"/>
      <c r="S897" s="92" t="str">
        <f aca="true">IF(R897="","",TODAY()-INT(R897))</f>
        <v/>
      </c>
      <c r="T897" s="86"/>
      <c r="U897" s="86"/>
      <c r="V897" s="86"/>
      <c r="W897" s="88"/>
      <c r="X897" s="92" t="str">
        <f aca="true">IF(W897="","",IF(OR(O897="28 - Encerrado",O897="27 - Instalação concluída"),"Concluído",TODAY()-INT(W897)))</f>
        <v/>
      </c>
      <c r="Y897" s="91" t="str">
        <f aca="false">IF(OR(O897="28 - Encerrado",O897="27 - Instalação concluída"),"OK",IF(AND(B897&lt;&gt;"",S897=""),"ATENÇÃO (Sem data de atualização)",IF(S897="","",IF(S897&gt;30,"CRÍTICO (Sem Atualização &gt;30 dias)",IF(S897&gt;15,"ATENÇÃO (Sem Atualização &gt;15 dias)",IF(X897&gt;90,"CRÍTICO (Aberto &gt;90 dias)","OK"))))))</f>
        <v/>
      </c>
      <c r="Z897" s="90" t="str">
        <f aca="false">IF(B897="","",IF(OR(O897="27 - Instalação concluída",O897="28 - Encerrado"),"OK",IF(NOT(ISNUMBER(X897)),"",IF(X897&gt;365,"MUITO ANTIGO (&gt;1 ano)",IF(X897&gt;180,"ANTIGO (&gt;6 meses)",IF(X897&gt;90,"ATENÇÃO ANTIG. (&gt;3 meses)","OK"))))))</f>
        <v/>
      </c>
      <c r="AA897" s="91"/>
    </row>
    <row r="898" customFormat="false" ht="16.5" hidden="false" customHeight="true" outlineLevel="0" collapsed="false">
      <c r="A898" s="86"/>
      <c r="B898" s="91"/>
      <c r="C898" s="91" t="str">
        <f aca="false">IF(D898="","",IFERROR(INDEX(CADASTRO_VIVO_3CRE!$B$2:$B$150,MATCH(D898,CADASTRO_VIVO_3CRE!$E$2:$E$150,0)),""))</f>
        <v/>
      </c>
      <c r="D898" s="91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8"/>
      <c r="S898" s="92" t="str">
        <f aca="true">IF(R898="","",TODAY()-INT(R898))</f>
        <v/>
      </c>
      <c r="T898" s="86"/>
      <c r="U898" s="86"/>
      <c r="V898" s="86"/>
      <c r="W898" s="88"/>
      <c r="X898" s="92" t="str">
        <f aca="true">IF(W898="","",IF(OR(O898="28 - Encerrado",O898="27 - Instalação concluída"),"Concluído",TODAY()-INT(W898)))</f>
        <v/>
      </c>
      <c r="Y898" s="91" t="str">
        <f aca="false">IF(OR(O898="28 - Encerrado",O898="27 - Instalação concluída"),"OK",IF(AND(B898&lt;&gt;"",S898=""),"ATENÇÃO (Sem data de atualização)",IF(S898="","",IF(S898&gt;30,"CRÍTICO (Sem Atualização &gt;30 dias)",IF(S898&gt;15,"ATENÇÃO (Sem Atualização &gt;15 dias)",IF(X898&gt;90,"CRÍTICO (Aberto &gt;90 dias)","OK"))))))</f>
        <v/>
      </c>
      <c r="Z898" s="90" t="str">
        <f aca="false">IF(B898="","",IF(OR(O898="27 - Instalação concluída",O898="28 - Encerrado"),"OK",IF(NOT(ISNUMBER(X898)),"",IF(X898&gt;365,"MUITO ANTIGO (&gt;1 ano)",IF(X898&gt;180,"ANTIGO (&gt;6 meses)",IF(X898&gt;90,"ATENÇÃO ANTIG. (&gt;3 meses)","OK"))))))</f>
        <v/>
      </c>
      <c r="AA898" s="91"/>
    </row>
    <row r="899" customFormat="false" ht="16.5" hidden="false" customHeight="true" outlineLevel="0" collapsed="false">
      <c r="A899" s="86"/>
      <c r="B899" s="91"/>
      <c r="C899" s="91" t="str">
        <f aca="false">IF(D899="","",IFERROR(INDEX(CADASTRO_VIVO_3CRE!$B$2:$B$150,MATCH(D899,CADASTRO_VIVO_3CRE!$E$2:$E$150,0)),""))</f>
        <v/>
      </c>
      <c r="D899" s="91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8"/>
      <c r="S899" s="92" t="str">
        <f aca="true">IF(R899="","",TODAY()-INT(R899))</f>
        <v/>
      </c>
      <c r="T899" s="86"/>
      <c r="U899" s="86"/>
      <c r="V899" s="86"/>
      <c r="W899" s="88"/>
      <c r="X899" s="92" t="str">
        <f aca="true">IF(W899="","",IF(OR(O899="28 - Encerrado",O899="27 - Instalação concluída"),"Concluído",TODAY()-INT(W899)))</f>
        <v/>
      </c>
      <c r="Y899" s="91" t="str">
        <f aca="false">IF(OR(O899="28 - Encerrado",O899="27 - Instalação concluída"),"OK",IF(AND(B899&lt;&gt;"",S899=""),"ATENÇÃO (Sem data de atualização)",IF(S899="","",IF(S899&gt;30,"CRÍTICO (Sem Atualização &gt;30 dias)",IF(S899&gt;15,"ATENÇÃO (Sem Atualização &gt;15 dias)",IF(X899&gt;90,"CRÍTICO (Aberto &gt;90 dias)","OK"))))))</f>
        <v/>
      </c>
      <c r="Z899" s="90" t="str">
        <f aca="false">IF(B899="","",IF(OR(O899="27 - Instalação concluída",O899="28 - Encerrado"),"OK",IF(NOT(ISNUMBER(X899)),"",IF(X899&gt;365,"MUITO ANTIGO (&gt;1 ano)",IF(X899&gt;180,"ANTIGO (&gt;6 meses)",IF(X899&gt;90,"ATENÇÃO ANTIG. (&gt;3 meses)","OK"))))))</f>
        <v/>
      </c>
      <c r="AA899" s="91"/>
    </row>
    <row r="900" customFormat="false" ht="16.5" hidden="false" customHeight="true" outlineLevel="0" collapsed="false">
      <c r="A900" s="86"/>
      <c r="B900" s="91"/>
      <c r="C900" s="91" t="str">
        <f aca="false">IF(D900="","",IFERROR(INDEX(CADASTRO_VIVO_3CRE!$B$2:$B$150,MATCH(D900,CADASTRO_VIVO_3CRE!$E$2:$E$150,0)),""))</f>
        <v/>
      </c>
      <c r="D900" s="91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8"/>
      <c r="S900" s="92" t="str">
        <f aca="true">IF(R900="","",TODAY()-INT(R900))</f>
        <v/>
      </c>
      <c r="T900" s="86"/>
      <c r="U900" s="86"/>
      <c r="V900" s="86"/>
      <c r="W900" s="88"/>
      <c r="X900" s="92" t="str">
        <f aca="true">IF(W900="","",IF(OR(O900="28 - Encerrado",O900="27 - Instalação concluída"),"Concluído",TODAY()-INT(W900)))</f>
        <v/>
      </c>
      <c r="Y900" s="91" t="str">
        <f aca="false">IF(OR(O900="28 - Encerrado",O900="27 - Instalação concluída"),"OK",IF(AND(B900&lt;&gt;"",S900=""),"ATENÇÃO (Sem data de atualização)",IF(S900="","",IF(S900&gt;30,"CRÍTICO (Sem Atualização &gt;30 dias)",IF(S900&gt;15,"ATENÇÃO (Sem Atualização &gt;15 dias)",IF(X900&gt;90,"CRÍTICO (Aberto &gt;90 dias)","OK"))))))</f>
        <v/>
      </c>
      <c r="Z900" s="90" t="str">
        <f aca="false">IF(B900="","",IF(OR(O900="27 - Instalação concluída",O900="28 - Encerrado"),"OK",IF(NOT(ISNUMBER(X900)),"",IF(X900&gt;365,"MUITO ANTIGO (&gt;1 ano)",IF(X900&gt;180,"ANTIGO (&gt;6 meses)",IF(X900&gt;90,"ATENÇÃO ANTIG. (&gt;3 meses)","OK"))))))</f>
        <v/>
      </c>
      <c r="AA900" s="91"/>
    </row>
    <row r="901" customFormat="false" ht="16.5" hidden="false" customHeight="true" outlineLevel="0" collapsed="false">
      <c r="A901" s="86"/>
      <c r="B901" s="91"/>
      <c r="C901" s="91" t="str">
        <f aca="false">IF(D901="","",IFERROR(INDEX(CADASTRO_VIVO_3CRE!$B$2:$B$150,MATCH(D901,CADASTRO_VIVO_3CRE!$E$2:$E$150,0)),""))</f>
        <v/>
      </c>
      <c r="D901" s="91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8"/>
      <c r="S901" s="92" t="str">
        <f aca="true">IF(R901="","",TODAY()-INT(R901))</f>
        <v/>
      </c>
      <c r="T901" s="86"/>
      <c r="U901" s="86"/>
      <c r="V901" s="86"/>
      <c r="W901" s="88"/>
      <c r="X901" s="92" t="str">
        <f aca="true">IF(W901="","",IF(OR(O901="28 - Encerrado",O901="27 - Instalação concluída"),"Concluído",TODAY()-INT(W901)))</f>
        <v/>
      </c>
      <c r="Y901" s="91" t="str">
        <f aca="false">IF(OR(O901="28 - Encerrado",O901="27 - Instalação concluída"),"OK",IF(AND(B901&lt;&gt;"",S901=""),"ATENÇÃO (Sem data de atualização)",IF(S901="","",IF(S901&gt;30,"CRÍTICO (Sem Atualização &gt;30 dias)",IF(S901&gt;15,"ATENÇÃO (Sem Atualização &gt;15 dias)",IF(X901&gt;90,"CRÍTICO (Aberto &gt;90 dias)","OK"))))))</f>
        <v/>
      </c>
      <c r="Z901" s="90" t="str">
        <f aca="false">IF(B901="","",IF(OR(O901="27 - Instalação concluída",O901="28 - Encerrado"),"OK",IF(NOT(ISNUMBER(X901)),"",IF(X901&gt;365,"MUITO ANTIGO (&gt;1 ano)",IF(X901&gt;180,"ANTIGO (&gt;6 meses)",IF(X901&gt;90,"ATENÇÃO ANTIG. (&gt;3 meses)","OK"))))))</f>
        <v/>
      </c>
      <c r="AA901" s="91"/>
    </row>
    <row r="902" customFormat="false" ht="16.5" hidden="false" customHeight="true" outlineLevel="0" collapsed="false">
      <c r="A902" s="86"/>
      <c r="B902" s="91"/>
      <c r="C902" s="91" t="str">
        <f aca="false">IF(D902="","",IFERROR(INDEX(CADASTRO_VIVO_3CRE!$B$2:$B$150,MATCH(D902,CADASTRO_VIVO_3CRE!$E$2:$E$150,0)),""))</f>
        <v/>
      </c>
      <c r="D902" s="91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8"/>
      <c r="S902" s="92" t="str">
        <f aca="true">IF(R902="","",TODAY()-INT(R902))</f>
        <v/>
      </c>
      <c r="T902" s="86"/>
      <c r="U902" s="86"/>
      <c r="V902" s="86"/>
      <c r="W902" s="88"/>
      <c r="X902" s="92" t="str">
        <f aca="true">IF(W902="","",IF(OR(O902="28 - Encerrado",O902="27 - Instalação concluída"),"Concluído",TODAY()-INT(W902)))</f>
        <v/>
      </c>
      <c r="Y902" s="91" t="str">
        <f aca="false">IF(OR(O902="28 - Encerrado",O902="27 - Instalação concluída"),"OK",IF(AND(B902&lt;&gt;"",S902=""),"ATENÇÃO (Sem data de atualização)",IF(S902="","",IF(S902&gt;30,"CRÍTICO (Sem Atualização &gt;30 dias)",IF(S902&gt;15,"ATENÇÃO (Sem Atualização &gt;15 dias)",IF(X902&gt;90,"CRÍTICO (Aberto &gt;90 dias)","OK"))))))</f>
        <v/>
      </c>
      <c r="Z902" s="90" t="str">
        <f aca="false">IF(B902="","",IF(OR(O902="27 - Instalação concluída",O902="28 - Encerrado"),"OK",IF(NOT(ISNUMBER(X902)),"",IF(X902&gt;365,"MUITO ANTIGO (&gt;1 ano)",IF(X902&gt;180,"ANTIGO (&gt;6 meses)",IF(X902&gt;90,"ATENÇÃO ANTIG. (&gt;3 meses)","OK"))))))</f>
        <v/>
      </c>
      <c r="AA902" s="91"/>
    </row>
    <row r="903" customFormat="false" ht="16.5" hidden="false" customHeight="true" outlineLevel="0" collapsed="false">
      <c r="A903" s="86"/>
      <c r="B903" s="91"/>
      <c r="C903" s="91" t="str">
        <f aca="false">IF(D903="","",IFERROR(INDEX(CADASTRO_VIVO_3CRE!$B$2:$B$150,MATCH(D903,CADASTRO_VIVO_3CRE!$E$2:$E$150,0)),""))</f>
        <v/>
      </c>
      <c r="D903" s="91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8"/>
      <c r="S903" s="92" t="str">
        <f aca="true">IF(R903="","",TODAY()-INT(R903))</f>
        <v/>
      </c>
      <c r="T903" s="86"/>
      <c r="U903" s="86"/>
      <c r="V903" s="86"/>
      <c r="W903" s="88"/>
      <c r="X903" s="92" t="str">
        <f aca="true">IF(W903="","",IF(OR(O903="28 - Encerrado",O903="27 - Instalação concluída"),"Concluído",TODAY()-INT(W903)))</f>
        <v/>
      </c>
      <c r="Y903" s="91" t="str">
        <f aca="false">IF(OR(O903="28 - Encerrado",O903="27 - Instalação concluída"),"OK",IF(AND(B903&lt;&gt;"",S903=""),"ATENÇÃO (Sem data de atualização)",IF(S903="","",IF(S903&gt;30,"CRÍTICO (Sem Atualização &gt;30 dias)",IF(S903&gt;15,"ATENÇÃO (Sem Atualização &gt;15 dias)",IF(X903&gt;90,"CRÍTICO (Aberto &gt;90 dias)","OK"))))))</f>
        <v/>
      </c>
      <c r="Z903" s="90" t="str">
        <f aca="false">IF(B903="","",IF(OR(O903="27 - Instalação concluída",O903="28 - Encerrado"),"OK",IF(NOT(ISNUMBER(X903)),"",IF(X903&gt;365,"MUITO ANTIGO (&gt;1 ano)",IF(X903&gt;180,"ANTIGO (&gt;6 meses)",IF(X903&gt;90,"ATENÇÃO ANTIG. (&gt;3 meses)","OK"))))))</f>
        <v/>
      </c>
      <c r="AA903" s="91"/>
    </row>
    <row r="904" customFormat="false" ht="16.5" hidden="false" customHeight="true" outlineLevel="0" collapsed="false">
      <c r="A904" s="86"/>
      <c r="B904" s="91"/>
      <c r="C904" s="91" t="str">
        <f aca="false">IF(D904="","",IFERROR(INDEX(CADASTRO_VIVO_3CRE!$B$2:$B$150,MATCH(D904,CADASTRO_VIVO_3CRE!$E$2:$E$150,0)),""))</f>
        <v/>
      </c>
      <c r="D904" s="91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8"/>
      <c r="S904" s="92" t="str">
        <f aca="true">IF(R904="","",TODAY()-INT(R904))</f>
        <v/>
      </c>
      <c r="T904" s="86"/>
      <c r="U904" s="86"/>
      <c r="V904" s="86"/>
      <c r="W904" s="88"/>
      <c r="X904" s="92" t="str">
        <f aca="true">IF(W904="","",IF(OR(O904="28 - Encerrado",O904="27 - Instalação concluída"),"Concluído",TODAY()-INT(W904)))</f>
        <v/>
      </c>
      <c r="Y904" s="91" t="str">
        <f aca="false">IF(OR(O904="28 - Encerrado",O904="27 - Instalação concluída"),"OK",IF(AND(B904&lt;&gt;"",S904=""),"ATENÇÃO (Sem data de atualização)",IF(S904="","",IF(S904&gt;30,"CRÍTICO (Sem Atualização &gt;30 dias)",IF(S904&gt;15,"ATENÇÃO (Sem Atualização &gt;15 dias)",IF(X904&gt;90,"CRÍTICO (Aberto &gt;90 dias)","OK"))))))</f>
        <v/>
      </c>
      <c r="Z904" s="90" t="str">
        <f aca="false">IF(B904="","",IF(OR(O904="27 - Instalação concluída",O904="28 - Encerrado"),"OK",IF(NOT(ISNUMBER(X904)),"",IF(X904&gt;365,"MUITO ANTIGO (&gt;1 ano)",IF(X904&gt;180,"ANTIGO (&gt;6 meses)",IF(X904&gt;90,"ATENÇÃO ANTIG. (&gt;3 meses)","OK"))))))</f>
        <v/>
      </c>
      <c r="AA904" s="91"/>
    </row>
    <row r="905" customFormat="false" ht="16.5" hidden="false" customHeight="true" outlineLevel="0" collapsed="false">
      <c r="A905" s="86"/>
      <c r="B905" s="91"/>
      <c r="C905" s="91" t="str">
        <f aca="false">IF(D905="","",IFERROR(INDEX(CADASTRO_VIVO_3CRE!$B$2:$B$150,MATCH(D905,CADASTRO_VIVO_3CRE!$E$2:$E$150,0)),""))</f>
        <v/>
      </c>
      <c r="D905" s="91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8"/>
      <c r="S905" s="92" t="str">
        <f aca="true">IF(R905="","",TODAY()-INT(R905))</f>
        <v/>
      </c>
      <c r="T905" s="86"/>
      <c r="U905" s="86"/>
      <c r="V905" s="86"/>
      <c r="W905" s="88"/>
      <c r="X905" s="92" t="str">
        <f aca="true">IF(W905="","",IF(OR(O905="28 - Encerrado",O905="27 - Instalação concluída"),"Concluído",TODAY()-INT(W905)))</f>
        <v/>
      </c>
      <c r="Y905" s="91" t="str">
        <f aca="false">IF(OR(O905="28 - Encerrado",O905="27 - Instalação concluída"),"OK",IF(AND(B905&lt;&gt;"",S905=""),"ATENÇÃO (Sem data de atualização)",IF(S905="","",IF(S905&gt;30,"CRÍTICO (Sem Atualização &gt;30 dias)",IF(S905&gt;15,"ATENÇÃO (Sem Atualização &gt;15 dias)",IF(X905&gt;90,"CRÍTICO (Aberto &gt;90 dias)","OK"))))))</f>
        <v/>
      </c>
      <c r="Z905" s="90" t="str">
        <f aca="false">IF(B905="","",IF(OR(O905="27 - Instalação concluída",O905="28 - Encerrado"),"OK",IF(NOT(ISNUMBER(X905)),"",IF(X905&gt;365,"MUITO ANTIGO (&gt;1 ano)",IF(X905&gt;180,"ANTIGO (&gt;6 meses)",IF(X905&gt;90,"ATENÇÃO ANTIG. (&gt;3 meses)","OK"))))))</f>
        <v/>
      </c>
      <c r="AA905" s="91"/>
    </row>
    <row r="906" customFormat="false" ht="16.5" hidden="false" customHeight="true" outlineLevel="0" collapsed="false">
      <c r="A906" s="86"/>
      <c r="B906" s="91"/>
      <c r="C906" s="91" t="str">
        <f aca="false">IF(D906="","",IFERROR(INDEX(CADASTRO_VIVO_3CRE!$B$2:$B$150,MATCH(D906,CADASTRO_VIVO_3CRE!$E$2:$E$150,0)),""))</f>
        <v/>
      </c>
      <c r="D906" s="91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8"/>
      <c r="S906" s="92" t="str">
        <f aca="true">IF(R906="","",TODAY()-INT(R906))</f>
        <v/>
      </c>
      <c r="T906" s="86"/>
      <c r="U906" s="86"/>
      <c r="V906" s="86"/>
      <c r="W906" s="88"/>
      <c r="X906" s="92" t="str">
        <f aca="true">IF(W906="","",IF(OR(O906="28 - Encerrado",O906="27 - Instalação concluída"),"Concluído",TODAY()-INT(W906)))</f>
        <v/>
      </c>
      <c r="Y906" s="91" t="str">
        <f aca="false">IF(OR(O906="28 - Encerrado",O906="27 - Instalação concluída"),"OK",IF(AND(B906&lt;&gt;"",S906=""),"ATENÇÃO (Sem data de atualização)",IF(S906="","",IF(S906&gt;30,"CRÍTICO (Sem Atualização &gt;30 dias)",IF(S906&gt;15,"ATENÇÃO (Sem Atualização &gt;15 dias)",IF(X906&gt;90,"CRÍTICO (Aberto &gt;90 dias)","OK"))))))</f>
        <v/>
      </c>
      <c r="Z906" s="90" t="str">
        <f aca="false">IF(B906="","",IF(OR(O906="27 - Instalação concluída",O906="28 - Encerrado"),"OK",IF(NOT(ISNUMBER(X906)),"",IF(X906&gt;365,"MUITO ANTIGO (&gt;1 ano)",IF(X906&gt;180,"ANTIGO (&gt;6 meses)",IF(X906&gt;90,"ATENÇÃO ANTIG. (&gt;3 meses)","OK"))))))</f>
        <v/>
      </c>
      <c r="AA906" s="91"/>
    </row>
    <row r="907" customFormat="false" ht="16.5" hidden="false" customHeight="true" outlineLevel="0" collapsed="false">
      <c r="A907" s="86"/>
      <c r="B907" s="91"/>
      <c r="C907" s="91" t="str">
        <f aca="false">IF(D907="","",IFERROR(INDEX(CADASTRO_VIVO_3CRE!$B$2:$B$150,MATCH(D907,CADASTRO_VIVO_3CRE!$E$2:$E$150,0)),""))</f>
        <v/>
      </c>
      <c r="D907" s="91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8"/>
      <c r="S907" s="92" t="str">
        <f aca="true">IF(R907="","",TODAY()-INT(R907))</f>
        <v/>
      </c>
      <c r="T907" s="86"/>
      <c r="U907" s="86"/>
      <c r="V907" s="86"/>
      <c r="W907" s="88"/>
      <c r="X907" s="92" t="str">
        <f aca="true">IF(W907="","",IF(OR(O907="28 - Encerrado",O907="27 - Instalação concluída"),"Concluído",TODAY()-INT(W907)))</f>
        <v/>
      </c>
      <c r="Y907" s="91" t="str">
        <f aca="false">IF(OR(O907="28 - Encerrado",O907="27 - Instalação concluída"),"OK",IF(AND(B907&lt;&gt;"",S907=""),"ATENÇÃO (Sem data de atualização)",IF(S907="","",IF(S907&gt;30,"CRÍTICO (Sem Atualização &gt;30 dias)",IF(S907&gt;15,"ATENÇÃO (Sem Atualização &gt;15 dias)",IF(X907&gt;90,"CRÍTICO (Aberto &gt;90 dias)","OK"))))))</f>
        <v/>
      </c>
      <c r="Z907" s="90" t="str">
        <f aca="false">IF(B907="","",IF(OR(O907="27 - Instalação concluída",O907="28 - Encerrado"),"OK",IF(NOT(ISNUMBER(X907)),"",IF(X907&gt;365,"MUITO ANTIGO (&gt;1 ano)",IF(X907&gt;180,"ANTIGO (&gt;6 meses)",IF(X907&gt;90,"ATENÇÃO ANTIG. (&gt;3 meses)","OK"))))))</f>
        <v/>
      </c>
      <c r="AA907" s="91"/>
    </row>
    <row r="908" customFormat="false" ht="16.5" hidden="false" customHeight="true" outlineLevel="0" collapsed="false">
      <c r="A908" s="86"/>
      <c r="B908" s="91"/>
      <c r="C908" s="91" t="str">
        <f aca="false">IF(D908="","",IFERROR(INDEX(CADASTRO_VIVO_3CRE!$B$2:$B$150,MATCH(D908,CADASTRO_VIVO_3CRE!$E$2:$E$150,0)),""))</f>
        <v/>
      </c>
      <c r="D908" s="91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8"/>
      <c r="S908" s="92" t="str">
        <f aca="true">IF(R908="","",TODAY()-INT(R908))</f>
        <v/>
      </c>
      <c r="T908" s="86"/>
      <c r="U908" s="86"/>
      <c r="V908" s="86"/>
      <c r="W908" s="88"/>
      <c r="X908" s="92" t="str">
        <f aca="true">IF(W908="","",IF(OR(O908="28 - Encerrado",O908="27 - Instalação concluída"),"Concluído",TODAY()-INT(W908)))</f>
        <v/>
      </c>
      <c r="Y908" s="91" t="str">
        <f aca="false">IF(OR(O908="28 - Encerrado",O908="27 - Instalação concluída"),"OK",IF(AND(B908&lt;&gt;"",S908=""),"ATENÇÃO (Sem data de atualização)",IF(S908="","",IF(S908&gt;30,"CRÍTICO (Sem Atualização &gt;30 dias)",IF(S908&gt;15,"ATENÇÃO (Sem Atualização &gt;15 dias)",IF(X908&gt;90,"CRÍTICO (Aberto &gt;90 dias)","OK"))))))</f>
        <v/>
      </c>
      <c r="Z908" s="90" t="str">
        <f aca="false">IF(B908="","",IF(OR(O908="27 - Instalação concluída",O908="28 - Encerrado"),"OK",IF(NOT(ISNUMBER(X908)),"",IF(X908&gt;365,"MUITO ANTIGO (&gt;1 ano)",IF(X908&gt;180,"ANTIGO (&gt;6 meses)",IF(X908&gt;90,"ATENÇÃO ANTIG. (&gt;3 meses)","OK"))))))</f>
        <v/>
      </c>
      <c r="AA908" s="91"/>
    </row>
    <row r="909" customFormat="false" ht="16.5" hidden="false" customHeight="true" outlineLevel="0" collapsed="false">
      <c r="A909" s="86"/>
      <c r="B909" s="91"/>
      <c r="C909" s="91" t="str">
        <f aca="false">IF(D909="","",IFERROR(INDEX(CADASTRO_VIVO_3CRE!$B$2:$B$150,MATCH(D909,CADASTRO_VIVO_3CRE!$E$2:$E$150,0)),""))</f>
        <v/>
      </c>
      <c r="D909" s="91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8"/>
      <c r="S909" s="92" t="str">
        <f aca="true">IF(R909="","",TODAY()-INT(R909))</f>
        <v/>
      </c>
      <c r="T909" s="86"/>
      <c r="U909" s="86"/>
      <c r="V909" s="86"/>
      <c r="W909" s="88"/>
      <c r="X909" s="92" t="str">
        <f aca="true">IF(W909="","",IF(OR(O909="28 - Encerrado",O909="27 - Instalação concluída"),"Concluído",TODAY()-INT(W909)))</f>
        <v/>
      </c>
      <c r="Y909" s="91" t="str">
        <f aca="false">IF(OR(O909="28 - Encerrado",O909="27 - Instalação concluída"),"OK",IF(AND(B909&lt;&gt;"",S909=""),"ATENÇÃO (Sem data de atualização)",IF(S909="","",IF(S909&gt;30,"CRÍTICO (Sem Atualização &gt;30 dias)",IF(S909&gt;15,"ATENÇÃO (Sem Atualização &gt;15 dias)",IF(X909&gt;90,"CRÍTICO (Aberto &gt;90 dias)","OK"))))))</f>
        <v/>
      </c>
      <c r="Z909" s="90" t="str">
        <f aca="false">IF(B909="","",IF(OR(O909="27 - Instalação concluída",O909="28 - Encerrado"),"OK",IF(NOT(ISNUMBER(X909)),"",IF(X909&gt;365,"MUITO ANTIGO (&gt;1 ano)",IF(X909&gt;180,"ANTIGO (&gt;6 meses)",IF(X909&gt;90,"ATENÇÃO ANTIG. (&gt;3 meses)","OK"))))))</f>
        <v/>
      </c>
      <c r="AA909" s="91"/>
    </row>
    <row r="910" customFormat="false" ht="16.5" hidden="false" customHeight="true" outlineLevel="0" collapsed="false">
      <c r="A910" s="86"/>
      <c r="B910" s="91"/>
      <c r="C910" s="91" t="str">
        <f aca="false">IF(D910="","",IFERROR(INDEX(CADASTRO_VIVO_3CRE!$B$2:$B$150,MATCH(D910,CADASTRO_VIVO_3CRE!$E$2:$E$150,0)),""))</f>
        <v/>
      </c>
      <c r="D910" s="91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8"/>
      <c r="S910" s="92" t="str">
        <f aca="true">IF(R910="","",TODAY()-INT(R910))</f>
        <v/>
      </c>
      <c r="T910" s="86"/>
      <c r="U910" s="86"/>
      <c r="V910" s="86"/>
      <c r="W910" s="88"/>
      <c r="X910" s="92" t="str">
        <f aca="true">IF(W910="","",IF(OR(O910="28 - Encerrado",O910="27 - Instalação concluída"),"Concluído",TODAY()-INT(W910)))</f>
        <v/>
      </c>
      <c r="Y910" s="91" t="str">
        <f aca="false">IF(OR(O910="28 - Encerrado",O910="27 - Instalação concluída"),"OK",IF(AND(B910&lt;&gt;"",S910=""),"ATENÇÃO (Sem data de atualização)",IF(S910="","",IF(S910&gt;30,"CRÍTICO (Sem Atualização &gt;30 dias)",IF(S910&gt;15,"ATENÇÃO (Sem Atualização &gt;15 dias)",IF(X910&gt;90,"CRÍTICO (Aberto &gt;90 dias)","OK"))))))</f>
        <v/>
      </c>
      <c r="Z910" s="90" t="str">
        <f aca="false">IF(B910="","",IF(OR(O910="27 - Instalação concluída",O910="28 - Encerrado"),"OK",IF(NOT(ISNUMBER(X910)),"",IF(X910&gt;365,"MUITO ANTIGO (&gt;1 ano)",IF(X910&gt;180,"ANTIGO (&gt;6 meses)",IF(X910&gt;90,"ATENÇÃO ANTIG. (&gt;3 meses)","OK"))))))</f>
        <v/>
      </c>
      <c r="AA910" s="91"/>
    </row>
    <row r="911" customFormat="false" ht="16.5" hidden="false" customHeight="true" outlineLevel="0" collapsed="false">
      <c r="A911" s="86"/>
      <c r="B911" s="91"/>
      <c r="C911" s="91" t="str">
        <f aca="false">IF(D911="","",IFERROR(INDEX(CADASTRO_VIVO_3CRE!$B$2:$B$150,MATCH(D911,CADASTRO_VIVO_3CRE!$E$2:$E$150,0)),""))</f>
        <v/>
      </c>
      <c r="D911" s="91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8"/>
      <c r="S911" s="92" t="str">
        <f aca="true">IF(R911="","",TODAY()-INT(R911))</f>
        <v/>
      </c>
      <c r="T911" s="86"/>
      <c r="U911" s="86"/>
      <c r="V911" s="86"/>
      <c r="W911" s="88"/>
      <c r="X911" s="92" t="str">
        <f aca="true">IF(W911="","",IF(OR(O911="28 - Encerrado",O911="27 - Instalação concluída"),"Concluído",TODAY()-INT(W911)))</f>
        <v/>
      </c>
      <c r="Y911" s="91" t="str">
        <f aca="false">IF(OR(O911="28 - Encerrado",O911="27 - Instalação concluída"),"OK",IF(AND(B911&lt;&gt;"",S911=""),"ATENÇÃO (Sem data de atualização)",IF(S911="","",IF(S911&gt;30,"CRÍTICO (Sem Atualização &gt;30 dias)",IF(S911&gt;15,"ATENÇÃO (Sem Atualização &gt;15 dias)",IF(X911&gt;90,"CRÍTICO (Aberto &gt;90 dias)","OK"))))))</f>
        <v/>
      </c>
      <c r="Z911" s="90" t="str">
        <f aca="false">IF(B911="","",IF(OR(O911="27 - Instalação concluída",O911="28 - Encerrado"),"OK",IF(NOT(ISNUMBER(X911)),"",IF(X911&gt;365,"MUITO ANTIGO (&gt;1 ano)",IF(X911&gt;180,"ANTIGO (&gt;6 meses)",IF(X911&gt;90,"ATENÇÃO ANTIG. (&gt;3 meses)","OK"))))))</f>
        <v/>
      </c>
      <c r="AA911" s="91"/>
    </row>
    <row r="912" customFormat="false" ht="16.5" hidden="false" customHeight="true" outlineLevel="0" collapsed="false">
      <c r="A912" s="86"/>
      <c r="B912" s="91"/>
      <c r="C912" s="91" t="str">
        <f aca="false">IF(D912="","",IFERROR(INDEX(CADASTRO_VIVO_3CRE!$B$2:$B$150,MATCH(D912,CADASTRO_VIVO_3CRE!$E$2:$E$150,0)),""))</f>
        <v/>
      </c>
      <c r="D912" s="91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8"/>
      <c r="S912" s="92" t="str">
        <f aca="true">IF(R912="","",TODAY()-INT(R912))</f>
        <v/>
      </c>
      <c r="T912" s="86"/>
      <c r="U912" s="86"/>
      <c r="V912" s="86"/>
      <c r="W912" s="88"/>
      <c r="X912" s="92" t="str">
        <f aca="true">IF(W912="","",IF(OR(O912="28 - Encerrado",O912="27 - Instalação concluída"),"Concluído",TODAY()-INT(W912)))</f>
        <v/>
      </c>
      <c r="Y912" s="91" t="str">
        <f aca="false">IF(OR(O912="28 - Encerrado",O912="27 - Instalação concluída"),"OK",IF(AND(B912&lt;&gt;"",S912=""),"ATENÇÃO (Sem data de atualização)",IF(S912="","",IF(S912&gt;30,"CRÍTICO (Sem Atualização &gt;30 dias)",IF(S912&gt;15,"ATENÇÃO (Sem Atualização &gt;15 dias)",IF(X912&gt;90,"CRÍTICO (Aberto &gt;90 dias)","OK"))))))</f>
        <v/>
      </c>
      <c r="Z912" s="90" t="str">
        <f aca="false">IF(B912="","",IF(OR(O912="27 - Instalação concluída",O912="28 - Encerrado"),"OK",IF(NOT(ISNUMBER(X912)),"",IF(X912&gt;365,"MUITO ANTIGO (&gt;1 ano)",IF(X912&gt;180,"ANTIGO (&gt;6 meses)",IF(X912&gt;90,"ATENÇÃO ANTIG. (&gt;3 meses)","OK"))))))</f>
        <v/>
      </c>
      <c r="AA912" s="91"/>
    </row>
    <row r="913" customFormat="false" ht="16.5" hidden="false" customHeight="true" outlineLevel="0" collapsed="false">
      <c r="A913" s="86"/>
      <c r="B913" s="91"/>
      <c r="C913" s="91" t="str">
        <f aca="false">IF(D913="","",IFERROR(INDEX(CADASTRO_VIVO_3CRE!$B$2:$B$150,MATCH(D913,CADASTRO_VIVO_3CRE!$E$2:$E$150,0)),""))</f>
        <v/>
      </c>
      <c r="D913" s="91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8"/>
      <c r="S913" s="92" t="str">
        <f aca="true">IF(R913="","",TODAY()-INT(R913))</f>
        <v/>
      </c>
      <c r="T913" s="86"/>
      <c r="U913" s="86"/>
      <c r="V913" s="86"/>
      <c r="W913" s="88"/>
      <c r="X913" s="92" t="str">
        <f aca="true">IF(W913="","",IF(OR(O913="28 - Encerrado",O913="27 - Instalação concluída"),"Concluído",TODAY()-INT(W913)))</f>
        <v/>
      </c>
      <c r="Y913" s="91" t="str">
        <f aca="false">IF(OR(O913="28 - Encerrado",O913="27 - Instalação concluída"),"OK",IF(AND(B913&lt;&gt;"",S913=""),"ATENÇÃO (Sem data de atualização)",IF(S913="","",IF(S913&gt;30,"CRÍTICO (Sem Atualização &gt;30 dias)",IF(S913&gt;15,"ATENÇÃO (Sem Atualização &gt;15 dias)",IF(X913&gt;90,"CRÍTICO (Aberto &gt;90 dias)","OK"))))))</f>
        <v/>
      </c>
      <c r="Z913" s="90" t="str">
        <f aca="false">IF(B913="","",IF(OR(O913="27 - Instalação concluída",O913="28 - Encerrado"),"OK",IF(NOT(ISNUMBER(X913)),"",IF(X913&gt;365,"MUITO ANTIGO (&gt;1 ano)",IF(X913&gt;180,"ANTIGO (&gt;6 meses)",IF(X913&gt;90,"ATENÇÃO ANTIG. (&gt;3 meses)","OK"))))))</f>
        <v/>
      </c>
      <c r="AA913" s="91"/>
    </row>
    <row r="914" customFormat="false" ht="16.5" hidden="false" customHeight="true" outlineLevel="0" collapsed="false">
      <c r="A914" s="86"/>
      <c r="B914" s="91"/>
      <c r="C914" s="91" t="str">
        <f aca="false">IF(D914="","",IFERROR(INDEX(CADASTRO_VIVO_3CRE!$B$2:$B$150,MATCH(D914,CADASTRO_VIVO_3CRE!$E$2:$E$150,0)),""))</f>
        <v/>
      </c>
      <c r="D914" s="91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8"/>
      <c r="S914" s="92" t="str">
        <f aca="true">IF(R914="","",TODAY()-INT(R914))</f>
        <v/>
      </c>
      <c r="T914" s="86"/>
      <c r="U914" s="86"/>
      <c r="V914" s="86"/>
      <c r="W914" s="88"/>
      <c r="X914" s="92" t="str">
        <f aca="true">IF(W914="","",IF(OR(O914="28 - Encerrado",O914="27 - Instalação concluída"),"Concluído",TODAY()-INT(W914)))</f>
        <v/>
      </c>
      <c r="Y914" s="91" t="str">
        <f aca="false">IF(OR(O914="28 - Encerrado",O914="27 - Instalação concluída"),"OK",IF(AND(B914&lt;&gt;"",S914=""),"ATENÇÃO (Sem data de atualização)",IF(S914="","",IF(S914&gt;30,"CRÍTICO (Sem Atualização &gt;30 dias)",IF(S914&gt;15,"ATENÇÃO (Sem Atualização &gt;15 dias)",IF(X914&gt;90,"CRÍTICO (Aberto &gt;90 dias)","OK"))))))</f>
        <v/>
      </c>
      <c r="Z914" s="90" t="str">
        <f aca="false">IF(B914="","",IF(OR(O914="27 - Instalação concluída",O914="28 - Encerrado"),"OK",IF(NOT(ISNUMBER(X914)),"",IF(X914&gt;365,"MUITO ANTIGO (&gt;1 ano)",IF(X914&gt;180,"ANTIGO (&gt;6 meses)",IF(X914&gt;90,"ATENÇÃO ANTIG. (&gt;3 meses)","OK"))))))</f>
        <v/>
      </c>
      <c r="AA914" s="91"/>
    </row>
    <row r="915" customFormat="false" ht="16.5" hidden="false" customHeight="true" outlineLevel="0" collapsed="false">
      <c r="A915" s="86"/>
      <c r="B915" s="91"/>
      <c r="C915" s="91" t="str">
        <f aca="false">IF(D915="","",IFERROR(INDEX(CADASTRO_VIVO_3CRE!$B$2:$B$150,MATCH(D915,CADASTRO_VIVO_3CRE!$E$2:$E$150,0)),""))</f>
        <v/>
      </c>
      <c r="D915" s="91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8"/>
      <c r="S915" s="92" t="str">
        <f aca="true">IF(R915="","",TODAY()-INT(R915))</f>
        <v/>
      </c>
      <c r="T915" s="86"/>
      <c r="U915" s="86"/>
      <c r="V915" s="86"/>
      <c r="W915" s="88"/>
      <c r="X915" s="92" t="str">
        <f aca="true">IF(W915="","",IF(OR(O915="28 - Encerrado",O915="27 - Instalação concluída"),"Concluído",TODAY()-INT(W915)))</f>
        <v/>
      </c>
      <c r="Y915" s="91" t="str">
        <f aca="false">IF(OR(O915="28 - Encerrado",O915="27 - Instalação concluída"),"OK",IF(AND(B915&lt;&gt;"",S915=""),"ATENÇÃO (Sem data de atualização)",IF(S915="","",IF(S915&gt;30,"CRÍTICO (Sem Atualização &gt;30 dias)",IF(S915&gt;15,"ATENÇÃO (Sem Atualização &gt;15 dias)",IF(X915&gt;90,"CRÍTICO (Aberto &gt;90 dias)","OK"))))))</f>
        <v/>
      </c>
      <c r="Z915" s="90" t="str">
        <f aca="false">IF(B915="","",IF(OR(O915="27 - Instalação concluída",O915="28 - Encerrado"),"OK",IF(NOT(ISNUMBER(X915)),"",IF(X915&gt;365,"MUITO ANTIGO (&gt;1 ano)",IF(X915&gt;180,"ANTIGO (&gt;6 meses)",IF(X915&gt;90,"ATENÇÃO ANTIG. (&gt;3 meses)","OK"))))))</f>
        <v/>
      </c>
      <c r="AA915" s="91"/>
    </row>
    <row r="916" customFormat="false" ht="16.5" hidden="false" customHeight="true" outlineLevel="0" collapsed="false">
      <c r="A916" s="86"/>
      <c r="B916" s="91"/>
      <c r="C916" s="91" t="str">
        <f aca="false">IF(D916="","",IFERROR(INDEX(CADASTRO_VIVO_3CRE!$B$2:$B$150,MATCH(D916,CADASTRO_VIVO_3CRE!$E$2:$E$150,0)),""))</f>
        <v/>
      </c>
      <c r="D916" s="91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8"/>
      <c r="S916" s="92" t="str">
        <f aca="true">IF(R916="","",TODAY()-INT(R916))</f>
        <v/>
      </c>
      <c r="T916" s="86"/>
      <c r="U916" s="86"/>
      <c r="V916" s="86"/>
      <c r="W916" s="88"/>
      <c r="X916" s="92" t="str">
        <f aca="true">IF(W916="","",IF(OR(O916="28 - Encerrado",O916="27 - Instalação concluída"),"Concluído",TODAY()-INT(W916)))</f>
        <v/>
      </c>
      <c r="Y916" s="91" t="str">
        <f aca="false">IF(OR(O916="28 - Encerrado",O916="27 - Instalação concluída"),"OK",IF(AND(B916&lt;&gt;"",S916=""),"ATENÇÃO (Sem data de atualização)",IF(S916="","",IF(S916&gt;30,"CRÍTICO (Sem Atualização &gt;30 dias)",IF(S916&gt;15,"ATENÇÃO (Sem Atualização &gt;15 dias)",IF(X916&gt;90,"CRÍTICO (Aberto &gt;90 dias)","OK"))))))</f>
        <v/>
      </c>
      <c r="Z916" s="90" t="str">
        <f aca="false">IF(B916="","",IF(OR(O916="27 - Instalação concluída",O916="28 - Encerrado"),"OK",IF(NOT(ISNUMBER(X916)),"",IF(X916&gt;365,"MUITO ANTIGO (&gt;1 ano)",IF(X916&gt;180,"ANTIGO (&gt;6 meses)",IF(X916&gt;90,"ATENÇÃO ANTIG. (&gt;3 meses)","OK"))))))</f>
        <v/>
      </c>
      <c r="AA916" s="91"/>
    </row>
    <row r="917" customFormat="false" ht="16.5" hidden="false" customHeight="true" outlineLevel="0" collapsed="false">
      <c r="A917" s="86"/>
      <c r="B917" s="91"/>
      <c r="C917" s="91" t="str">
        <f aca="false">IF(D917="","",IFERROR(INDEX(CADASTRO_VIVO_3CRE!$B$2:$B$150,MATCH(D917,CADASTRO_VIVO_3CRE!$E$2:$E$150,0)),""))</f>
        <v/>
      </c>
      <c r="D917" s="91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8"/>
      <c r="S917" s="92" t="str">
        <f aca="true">IF(R917="","",TODAY()-INT(R917))</f>
        <v/>
      </c>
      <c r="T917" s="86"/>
      <c r="U917" s="86"/>
      <c r="V917" s="86"/>
      <c r="W917" s="88"/>
      <c r="X917" s="92" t="str">
        <f aca="true">IF(W917="","",IF(OR(O917="28 - Encerrado",O917="27 - Instalação concluída"),"Concluído",TODAY()-INT(W917)))</f>
        <v/>
      </c>
      <c r="Y917" s="91" t="str">
        <f aca="false">IF(OR(O917="28 - Encerrado",O917="27 - Instalação concluída"),"OK",IF(AND(B917&lt;&gt;"",S917=""),"ATENÇÃO (Sem data de atualização)",IF(S917="","",IF(S917&gt;30,"CRÍTICO (Sem Atualização &gt;30 dias)",IF(S917&gt;15,"ATENÇÃO (Sem Atualização &gt;15 dias)",IF(X917&gt;90,"CRÍTICO (Aberto &gt;90 dias)","OK"))))))</f>
        <v/>
      </c>
      <c r="Z917" s="90" t="str">
        <f aca="false">IF(B917="","",IF(OR(O917="27 - Instalação concluída",O917="28 - Encerrado"),"OK",IF(NOT(ISNUMBER(X917)),"",IF(X917&gt;365,"MUITO ANTIGO (&gt;1 ano)",IF(X917&gt;180,"ANTIGO (&gt;6 meses)",IF(X917&gt;90,"ATENÇÃO ANTIG. (&gt;3 meses)","OK"))))))</f>
        <v/>
      </c>
      <c r="AA917" s="91"/>
    </row>
    <row r="918" customFormat="false" ht="16.5" hidden="false" customHeight="true" outlineLevel="0" collapsed="false">
      <c r="A918" s="86"/>
      <c r="B918" s="91"/>
      <c r="C918" s="91" t="str">
        <f aca="false">IF(D918="","",IFERROR(INDEX(CADASTRO_VIVO_3CRE!$B$2:$B$150,MATCH(D918,CADASTRO_VIVO_3CRE!$E$2:$E$150,0)),""))</f>
        <v/>
      </c>
      <c r="D918" s="91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8"/>
      <c r="S918" s="92" t="str">
        <f aca="true">IF(R918="","",TODAY()-INT(R918))</f>
        <v/>
      </c>
      <c r="T918" s="86"/>
      <c r="U918" s="86"/>
      <c r="V918" s="86"/>
      <c r="W918" s="88"/>
      <c r="X918" s="92" t="str">
        <f aca="true">IF(W918="","",IF(OR(O918="28 - Encerrado",O918="27 - Instalação concluída"),"Concluído",TODAY()-INT(W918)))</f>
        <v/>
      </c>
      <c r="Y918" s="91" t="str">
        <f aca="false">IF(OR(O918="28 - Encerrado",O918="27 - Instalação concluída"),"OK",IF(AND(B918&lt;&gt;"",S918=""),"ATENÇÃO (Sem data de atualização)",IF(S918="","",IF(S918&gt;30,"CRÍTICO (Sem Atualização &gt;30 dias)",IF(S918&gt;15,"ATENÇÃO (Sem Atualização &gt;15 dias)",IF(X918&gt;90,"CRÍTICO (Aberto &gt;90 dias)","OK"))))))</f>
        <v/>
      </c>
      <c r="Z918" s="90" t="str">
        <f aca="false">IF(B918="","",IF(OR(O918="27 - Instalação concluída",O918="28 - Encerrado"),"OK",IF(NOT(ISNUMBER(X918)),"",IF(X918&gt;365,"MUITO ANTIGO (&gt;1 ano)",IF(X918&gt;180,"ANTIGO (&gt;6 meses)",IF(X918&gt;90,"ATENÇÃO ANTIG. (&gt;3 meses)","OK"))))))</f>
        <v/>
      </c>
      <c r="AA918" s="91"/>
    </row>
    <row r="919" customFormat="false" ht="16.5" hidden="false" customHeight="true" outlineLevel="0" collapsed="false">
      <c r="A919" s="86"/>
      <c r="B919" s="91"/>
      <c r="C919" s="91" t="str">
        <f aca="false">IF(D919="","",IFERROR(INDEX(CADASTRO_VIVO_3CRE!$B$2:$B$150,MATCH(D919,CADASTRO_VIVO_3CRE!$E$2:$E$150,0)),""))</f>
        <v/>
      </c>
      <c r="D919" s="91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8"/>
      <c r="S919" s="92" t="str">
        <f aca="true">IF(R919="","",TODAY()-INT(R919))</f>
        <v/>
      </c>
      <c r="T919" s="86"/>
      <c r="U919" s="86"/>
      <c r="V919" s="86"/>
      <c r="W919" s="88"/>
      <c r="X919" s="92" t="str">
        <f aca="true">IF(W919="","",IF(OR(O919="28 - Encerrado",O919="27 - Instalação concluída"),"Concluído",TODAY()-INT(W919)))</f>
        <v/>
      </c>
      <c r="Y919" s="91" t="str">
        <f aca="false">IF(OR(O919="28 - Encerrado",O919="27 - Instalação concluída"),"OK",IF(AND(B919&lt;&gt;"",S919=""),"ATENÇÃO (Sem data de atualização)",IF(S919="","",IF(S919&gt;30,"CRÍTICO (Sem Atualização &gt;30 dias)",IF(S919&gt;15,"ATENÇÃO (Sem Atualização &gt;15 dias)",IF(X919&gt;90,"CRÍTICO (Aberto &gt;90 dias)","OK"))))))</f>
        <v/>
      </c>
      <c r="Z919" s="90" t="str">
        <f aca="false">IF(B919="","",IF(OR(O919="27 - Instalação concluída",O919="28 - Encerrado"),"OK",IF(NOT(ISNUMBER(X919)),"",IF(X919&gt;365,"MUITO ANTIGO (&gt;1 ano)",IF(X919&gt;180,"ANTIGO (&gt;6 meses)",IF(X919&gt;90,"ATENÇÃO ANTIG. (&gt;3 meses)","OK"))))))</f>
        <v/>
      </c>
      <c r="AA919" s="91"/>
    </row>
    <row r="920" customFormat="false" ht="16.5" hidden="false" customHeight="true" outlineLevel="0" collapsed="false">
      <c r="A920" s="86"/>
      <c r="B920" s="91"/>
      <c r="C920" s="91" t="str">
        <f aca="false">IF(D920="","",IFERROR(INDEX(CADASTRO_VIVO_3CRE!$B$2:$B$150,MATCH(D920,CADASTRO_VIVO_3CRE!$E$2:$E$150,0)),""))</f>
        <v/>
      </c>
      <c r="D920" s="91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8"/>
      <c r="S920" s="92" t="str">
        <f aca="true">IF(R920="","",TODAY()-INT(R920))</f>
        <v/>
      </c>
      <c r="T920" s="86"/>
      <c r="U920" s="86"/>
      <c r="V920" s="86"/>
      <c r="W920" s="88"/>
      <c r="X920" s="92" t="str">
        <f aca="true">IF(W920="","",IF(OR(O920="28 - Encerrado",O920="27 - Instalação concluída"),"Concluído",TODAY()-INT(W920)))</f>
        <v/>
      </c>
      <c r="Y920" s="91" t="str">
        <f aca="false">IF(OR(O920="28 - Encerrado",O920="27 - Instalação concluída"),"OK",IF(AND(B920&lt;&gt;"",S920=""),"ATENÇÃO (Sem data de atualização)",IF(S920="","",IF(S920&gt;30,"CRÍTICO (Sem Atualização &gt;30 dias)",IF(S920&gt;15,"ATENÇÃO (Sem Atualização &gt;15 dias)",IF(X920&gt;90,"CRÍTICO (Aberto &gt;90 dias)","OK"))))))</f>
        <v/>
      </c>
      <c r="Z920" s="90" t="str">
        <f aca="false">IF(B920="","",IF(OR(O920="27 - Instalação concluída",O920="28 - Encerrado"),"OK",IF(NOT(ISNUMBER(X920)),"",IF(X920&gt;365,"MUITO ANTIGO (&gt;1 ano)",IF(X920&gt;180,"ANTIGO (&gt;6 meses)",IF(X920&gt;90,"ATENÇÃO ANTIG. (&gt;3 meses)","OK"))))))</f>
        <v/>
      </c>
      <c r="AA920" s="91"/>
    </row>
    <row r="921" customFormat="false" ht="16.5" hidden="false" customHeight="true" outlineLevel="0" collapsed="false">
      <c r="A921" s="86"/>
      <c r="B921" s="91"/>
      <c r="C921" s="91" t="str">
        <f aca="false">IF(D921="","",IFERROR(INDEX(CADASTRO_VIVO_3CRE!$B$2:$B$150,MATCH(D921,CADASTRO_VIVO_3CRE!$E$2:$E$150,0)),""))</f>
        <v/>
      </c>
      <c r="D921" s="91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8"/>
      <c r="S921" s="92" t="str">
        <f aca="true">IF(R921="","",TODAY()-INT(R921))</f>
        <v/>
      </c>
      <c r="T921" s="86"/>
      <c r="U921" s="86"/>
      <c r="V921" s="86"/>
      <c r="W921" s="88"/>
      <c r="X921" s="92" t="str">
        <f aca="true">IF(W921="","",IF(OR(O921="28 - Encerrado",O921="27 - Instalação concluída"),"Concluído",TODAY()-INT(W921)))</f>
        <v/>
      </c>
      <c r="Y921" s="91" t="str">
        <f aca="false">IF(OR(O921="28 - Encerrado",O921="27 - Instalação concluída"),"OK",IF(AND(B921&lt;&gt;"",S921=""),"ATENÇÃO (Sem data de atualização)",IF(S921="","",IF(S921&gt;30,"CRÍTICO (Sem Atualização &gt;30 dias)",IF(S921&gt;15,"ATENÇÃO (Sem Atualização &gt;15 dias)",IF(X921&gt;90,"CRÍTICO (Aberto &gt;90 dias)","OK"))))))</f>
        <v/>
      </c>
      <c r="Z921" s="90" t="str">
        <f aca="false">IF(B921="","",IF(OR(O921="27 - Instalação concluída",O921="28 - Encerrado"),"OK",IF(NOT(ISNUMBER(X921)),"",IF(X921&gt;365,"MUITO ANTIGO (&gt;1 ano)",IF(X921&gt;180,"ANTIGO (&gt;6 meses)",IF(X921&gt;90,"ATENÇÃO ANTIG. (&gt;3 meses)","OK"))))))</f>
        <v/>
      </c>
      <c r="AA921" s="91"/>
    </row>
    <row r="922" customFormat="false" ht="16.5" hidden="false" customHeight="true" outlineLevel="0" collapsed="false">
      <c r="A922" s="86"/>
      <c r="B922" s="91"/>
      <c r="C922" s="91" t="str">
        <f aca="false">IF(D922="","",IFERROR(INDEX(CADASTRO_VIVO_3CRE!$B$2:$B$150,MATCH(D922,CADASTRO_VIVO_3CRE!$E$2:$E$150,0)),""))</f>
        <v/>
      </c>
      <c r="D922" s="91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8"/>
      <c r="S922" s="92" t="str">
        <f aca="true">IF(R922="","",TODAY()-INT(R922))</f>
        <v/>
      </c>
      <c r="T922" s="86"/>
      <c r="U922" s="86"/>
      <c r="V922" s="86"/>
      <c r="W922" s="88"/>
      <c r="X922" s="92" t="str">
        <f aca="true">IF(W922="","",IF(OR(O922="28 - Encerrado",O922="27 - Instalação concluída"),"Concluído",TODAY()-INT(W922)))</f>
        <v/>
      </c>
      <c r="Y922" s="91" t="str">
        <f aca="false">IF(OR(O922="28 - Encerrado",O922="27 - Instalação concluída"),"OK",IF(AND(B922&lt;&gt;"",S922=""),"ATENÇÃO (Sem data de atualização)",IF(S922="","",IF(S922&gt;30,"CRÍTICO (Sem Atualização &gt;30 dias)",IF(S922&gt;15,"ATENÇÃO (Sem Atualização &gt;15 dias)",IF(X922&gt;90,"CRÍTICO (Aberto &gt;90 dias)","OK"))))))</f>
        <v/>
      </c>
      <c r="Z922" s="90" t="str">
        <f aca="false">IF(B922="","",IF(OR(O922="27 - Instalação concluída",O922="28 - Encerrado"),"OK",IF(NOT(ISNUMBER(X922)),"",IF(X922&gt;365,"MUITO ANTIGO (&gt;1 ano)",IF(X922&gt;180,"ANTIGO (&gt;6 meses)",IF(X922&gt;90,"ATENÇÃO ANTIG. (&gt;3 meses)","OK"))))))</f>
        <v/>
      </c>
      <c r="AA922" s="91"/>
    </row>
    <row r="923" customFormat="false" ht="16.5" hidden="false" customHeight="true" outlineLevel="0" collapsed="false">
      <c r="A923" s="86"/>
      <c r="B923" s="91"/>
      <c r="C923" s="91" t="str">
        <f aca="false">IF(D923="","",IFERROR(INDEX(CADASTRO_VIVO_3CRE!$B$2:$B$150,MATCH(D923,CADASTRO_VIVO_3CRE!$E$2:$E$150,0)),""))</f>
        <v/>
      </c>
      <c r="D923" s="91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8"/>
      <c r="S923" s="92" t="str">
        <f aca="true">IF(R923="","",TODAY()-INT(R923))</f>
        <v/>
      </c>
      <c r="T923" s="86"/>
      <c r="U923" s="86"/>
      <c r="V923" s="86"/>
      <c r="W923" s="88"/>
      <c r="X923" s="92" t="str">
        <f aca="true">IF(W923="","",IF(OR(O923="28 - Encerrado",O923="27 - Instalação concluída"),"Concluído",TODAY()-INT(W923)))</f>
        <v/>
      </c>
      <c r="Y923" s="91" t="str">
        <f aca="false">IF(OR(O923="28 - Encerrado",O923="27 - Instalação concluída"),"OK",IF(AND(B923&lt;&gt;"",S923=""),"ATENÇÃO (Sem data de atualização)",IF(S923="","",IF(S923&gt;30,"CRÍTICO (Sem Atualização &gt;30 dias)",IF(S923&gt;15,"ATENÇÃO (Sem Atualização &gt;15 dias)",IF(X923&gt;90,"CRÍTICO (Aberto &gt;90 dias)","OK"))))))</f>
        <v/>
      </c>
      <c r="Z923" s="90" t="str">
        <f aca="false">IF(B923="","",IF(OR(O923="27 - Instalação concluída",O923="28 - Encerrado"),"OK",IF(NOT(ISNUMBER(X923)),"",IF(X923&gt;365,"MUITO ANTIGO (&gt;1 ano)",IF(X923&gt;180,"ANTIGO (&gt;6 meses)",IF(X923&gt;90,"ATENÇÃO ANTIG. (&gt;3 meses)","OK"))))))</f>
        <v/>
      </c>
      <c r="AA923" s="91"/>
    </row>
    <row r="924" customFormat="false" ht="16.5" hidden="false" customHeight="true" outlineLevel="0" collapsed="false">
      <c r="A924" s="86"/>
      <c r="B924" s="91"/>
      <c r="C924" s="91" t="str">
        <f aca="false">IF(D924="","",IFERROR(INDEX(CADASTRO_VIVO_3CRE!$B$2:$B$150,MATCH(D924,CADASTRO_VIVO_3CRE!$E$2:$E$150,0)),""))</f>
        <v/>
      </c>
      <c r="D924" s="91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8"/>
      <c r="S924" s="92" t="str">
        <f aca="true">IF(R924="","",TODAY()-INT(R924))</f>
        <v/>
      </c>
      <c r="T924" s="86"/>
      <c r="U924" s="86"/>
      <c r="V924" s="86"/>
      <c r="W924" s="88"/>
      <c r="X924" s="92" t="str">
        <f aca="true">IF(W924="","",IF(OR(O924="28 - Encerrado",O924="27 - Instalação concluída"),"Concluído",TODAY()-INT(W924)))</f>
        <v/>
      </c>
      <c r="Y924" s="91" t="str">
        <f aca="false">IF(OR(O924="28 - Encerrado",O924="27 - Instalação concluída"),"OK",IF(AND(B924&lt;&gt;"",S924=""),"ATENÇÃO (Sem data de atualização)",IF(S924="","",IF(S924&gt;30,"CRÍTICO (Sem Atualização &gt;30 dias)",IF(S924&gt;15,"ATENÇÃO (Sem Atualização &gt;15 dias)",IF(X924&gt;90,"CRÍTICO (Aberto &gt;90 dias)","OK"))))))</f>
        <v/>
      </c>
      <c r="Z924" s="90" t="str">
        <f aca="false">IF(B924="","",IF(OR(O924="27 - Instalação concluída",O924="28 - Encerrado"),"OK",IF(NOT(ISNUMBER(X924)),"",IF(X924&gt;365,"MUITO ANTIGO (&gt;1 ano)",IF(X924&gt;180,"ANTIGO (&gt;6 meses)",IF(X924&gt;90,"ATENÇÃO ANTIG. (&gt;3 meses)","OK"))))))</f>
        <v/>
      </c>
      <c r="AA924" s="91"/>
    </row>
    <row r="925" customFormat="false" ht="16.5" hidden="false" customHeight="true" outlineLevel="0" collapsed="false">
      <c r="A925" s="86"/>
      <c r="B925" s="91"/>
      <c r="C925" s="91" t="str">
        <f aca="false">IF(D925="","",IFERROR(INDEX(CADASTRO_VIVO_3CRE!$B$2:$B$150,MATCH(D925,CADASTRO_VIVO_3CRE!$E$2:$E$150,0)),""))</f>
        <v/>
      </c>
      <c r="D925" s="91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8"/>
      <c r="S925" s="92" t="str">
        <f aca="true">IF(R925="","",TODAY()-INT(R925))</f>
        <v/>
      </c>
      <c r="T925" s="86"/>
      <c r="U925" s="86"/>
      <c r="V925" s="86"/>
      <c r="W925" s="88"/>
      <c r="X925" s="92" t="str">
        <f aca="true">IF(W925="","",IF(OR(O925="28 - Encerrado",O925="27 - Instalação concluída"),"Concluído",TODAY()-INT(W925)))</f>
        <v/>
      </c>
      <c r="Y925" s="91" t="str">
        <f aca="false">IF(OR(O925="28 - Encerrado",O925="27 - Instalação concluída"),"OK",IF(AND(B925&lt;&gt;"",S925=""),"ATENÇÃO (Sem data de atualização)",IF(S925="","",IF(S925&gt;30,"CRÍTICO (Sem Atualização &gt;30 dias)",IF(S925&gt;15,"ATENÇÃO (Sem Atualização &gt;15 dias)",IF(X925&gt;90,"CRÍTICO (Aberto &gt;90 dias)","OK"))))))</f>
        <v/>
      </c>
      <c r="Z925" s="90" t="str">
        <f aca="false">IF(B925="","",IF(OR(O925="27 - Instalação concluída",O925="28 - Encerrado"),"OK",IF(NOT(ISNUMBER(X925)),"",IF(X925&gt;365,"MUITO ANTIGO (&gt;1 ano)",IF(X925&gt;180,"ANTIGO (&gt;6 meses)",IF(X925&gt;90,"ATENÇÃO ANTIG. (&gt;3 meses)","OK"))))))</f>
        <v/>
      </c>
      <c r="AA925" s="91"/>
    </row>
    <row r="926" customFormat="false" ht="16.5" hidden="false" customHeight="true" outlineLevel="0" collapsed="false">
      <c r="A926" s="86"/>
      <c r="B926" s="91"/>
      <c r="C926" s="91" t="str">
        <f aca="false">IF(D926="","",IFERROR(INDEX(CADASTRO_VIVO_3CRE!$B$2:$B$150,MATCH(D926,CADASTRO_VIVO_3CRE!$E$2:$E$150,0)),""))</f>
        <v/>
      </c>
      <c r="D926" s="91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8"/>
      <c r="S926" s="92" t="str">
        <f aca="true">IF(R926="","",TODAY()-INT(R926))</f>
        <v/>
      </c>
      <c r="T926" s="86"/>
      <c r="U926" s="86"/>
      <c r="V926" s="86"/>
      <c r="W926" s="88"/>
      <c r="X926" s="92" t="str">
        <f aca="true">IF(W926="","",IF(OR(O926="28 - Encerrado",O926="27 - Instalação concluída"),"Concluído",TODAY()-INT(W926)))</f>
        <v/>
      </c>
      <c r="Y926" s="91" t="str">
        <f aca="false">IF(OR(O926="28 - Encerrado",O926="27 - Instalação concluída"),"OK",IF(AND(B926&lt;&gt;"",S926=""),"ATENÇÃO (Sem data de atualização)",IF(S926="","",IF(S926&gt;30,"CRÍTICO (Sem Atualização &gt;30 dias)",IF(S926&gt;15,"ATENÇÃO (Sem Atualização &gt;15 dias)",IF(X926&gt;90,"CRÍTICO (Aberto &gt;90 dias)","OK"))))))</f>
        <v/>
      </c>
      <c r="Z926" s="90" t="str">
        <f aca="false">IF(B926="","",IF(OR(O926="27 - Instalação concluída",O926="28 - Encerrado"),"OK",IF(NOT(ISNUMBER(X926)),"",IF(X926&gt;365,"MUITO ANTIGO (&gt;1 ano)",IF(X926&gt;180,"ANTIGO (&gt;6 meses)",IF(X926&gt;90,"ATENÇÃO ANTIG. (&gt;3 meses)","OK"))))))</f>
        <v/>
      </c>
      <c r="AA926" s="91"/>
    </row>
    <row r="927" customFormat="false" ht="16.5" hidden="false" customHeight="true" outlineLevel="0" collapsed="false">
      <c r="A927" s="86"/>
      <c r="B927" s="91"/>
      <c r="C927" s="91" t="str">
        <f aca="false">IF(D927="","",IFERROR(INDEX(CADASTRO_VIVO_3CRE!$B$2:$B$150,MATCH(D927,CADASTRO_VIVO_3CRE!$E$2:$E$150,0)),""))</f>
        <v/>
      </c>
      <c r="D927" s="91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8"/>
      <c r="S927" s="92" t="str">
        <f aca="true">IF(R927="","",TODAY()-INT(R927))</f>
        <v/>
      </c>
      <c r="T927" s="86"/>
      <c r="U927" s="86"/>
      <c r="V927" s="86"/>
      <c r="W927" s="88"/>
      <c r="X927" s="92" t="str">
        <f aca="true">IF(W927="","",IF(OR(O927="28 - Encerrado",O927="27 - Instalação concluída"),"Concluído",TODAY()-INT(W927)))</f>
        <v/>
      </c>
      <c r="Y927" s="91" t="str">
        <f aca="false">IF(OR(O927="28 - Encerrado",O927="27 - Instalação concluída"),"OK",IF(AND(B927&lt;&gt;"",S927=""),"ATENÇÃO (Sem data de atualização)",IF(S927="","",IF(S927&gt;30,"CRÍTICO (Sem Atualização &gt;30 dias)",IF(S927&gt;15,"ATENÇÃO (Sem Atualização &gt;15 dias)",IF(X927&gt;90,"CRÍTICO (Aberto &gt;90 dias)","OK"))))))</f>
        <v/>
      </c>
      <c r="Z927" s="90" t="str">
        <f aca="false">IF(B927="","",IF(OR(O927="27 - Instalação concluída",O927="28 - Encerrado"),"OK",IF(NOT(ISNUMBER(X927)),"",IF(X927&gt;365,"MUITO ANTIGO (&gt;1 ano)",IF(X927&gt;180,"ANTIGO (&gt;6 meses)",IF(X927&gt;90,"ATENÇÃO ANTIG. (&gt;3 meses)","OK"))))))</f>
        <v/>
      </c>
      <c r="AA927" s="91"/>
    </row>
    <row r="928" customFormat="false" ht="16.5" hidden="false" customHeight="true" outlineLevel="0" collapsed="false">
      <c r="A928" s="86"/>
      <c r="B928" s="91"/>
      <c r="C928" s="91" t="str">
        <f aca="false">IF(D928="","",IFERROR(INDEX(CADASTRO_VIVO_3CRE!$B$2:$B$150,MATCH(D928,CADASTRO_VIVO_3CRE!$E$2:$E$150,0)),""))</f>
        <v/>
      </c>
      <c r="D928" s="91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8"/>
      <c r="S928" s="92" t="str">
        <f aca="true">IF(R928="","",TODAY()-INT(R928))</f>
        <v/>
      </c>
      <c r="T928" s="86"/>
      <c r="U928" s="86"/>
      <c r="V928" s="86"/>
      <c r="W928" s="88"/>
      <c r="X928" s="92" t="str">
        <f aca="true">IF(W928="","",IF(OR(O928="28 - Encerrado",O928="27 - Instalação concluída"),"Concluído",TODAY()-INT(W928)))</f>
        <v/>
      </c>
      <c r="Y928" s="91" t="str">
        <f aca="false">IF(OR(O928="28 - Encerrado",O928="27 - Instalação concluída"),"OK",IF(AND(B928&lt;&gt;"",S928=""),"ATENÇÃO (Sem data de atualização)",IF(S928="","",IF(S928&gt;30,"CRÍTICO (Sem Atualização &gt;30 dias)",IF(S928&gt;15,"ATENÇÃO (Sem Atualização &gt;15 dias)",IF(X928&gt;90,"CRÍTICO (Aberto &gt;90 dias)","OK"))))))</f>
        <v/>
      </c>
      <c r="Z928" s="90" t="str">
        <f aca="false">IF(B928="","",IF(OR(O928="27 - Instalação concluída",O928="28 - Encerrado"),"OK",IF(NOT(ISNUMBER(X928)),"",IF(X928&gt;365,"MUITO ANTIGO (&gt;1 ano)",IF(X928&gt;180,"ANTIGO (&gt;6 meses)",IF(X928&gt;90,"ATENÇÃO ANTIG. (&gt;3 meses)","OK"))))))</f>
        <v/>
      </c>
      <c r="AA928" s="91"/>
    </row>
    <row r="929" customFormat="false" ht="16.5" hidden="false" customHeight="true" outlineLevel="0" collapsed="false">
      <c r="A929" s="86"/>
      <c r="B929" s="91"/>
      <c r="C929" s="91" t="str">
        <f aca="false">IF(D929="","",IFERROR(INDEX(CADASTRO_VIVO_3CRE!$B$2:$B$150,MATCH(D929,CADASTRO_VIVO_3CRE!$E$2:$E$150,0)),""))</f>
        <v/>
      </c>
      <c r="D929" s="91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8"/>
      <c r="S929" s="92" t="str">
        <f aca="true">IF(R929="","",TODAY()-INT(R929))</f>
        <v/>
      </c>
      <c r="T929" s="86"/>
      <c r="U929" s="86"/>
      <c r="V929" s="86"/>
      <c r="W929" s="88"/>
      <c r="X929" s="92" t="str">
        <f aca="true">IF(W929="","",IF(OR(O929="28 - Encerrado",O929="27 - Instalação concluída"),"Concluído",TODAY()-INT(W929)))</f>
        <v/>
      </c>
      <c r="Y929" s="91" t="str">
        <f aca="false">IF(OR(O929="28 - Encerrado",O929="27 - Instalação concluída"),"OK",IF(AND(B929&lt;&gt;"",S929=""),"ATENÇÃO (Sem data de atualização)",IF(S929="","",IF(S929&gt;30,"CRÍTICO (Sem Atualização &gt;30 dias)",IF(S929&gt;15,"ATENÇÃO (Sem Atualização &gt;15 dias)",IF(X929&gt;90,"CRÍTICO (Aberto &gt;90 dias)","OK"))))))</f>
        <v/>
      </c>
      <c r="Z929" s="90" t="str">
        <f aca="false">IF(B929="","",IF(OR(O929="27 - Instalação concluída",O929="28 - Encerrado"),"OK",IF(NOT(ISNUMBER(X929)),"",IF(X929&gt;365,"MUITO ANTIGO (&gt;1 ano)",IF(X929&gt;180,"ANTIGO (&gt;6 meses)",IF(X929&gt;90,"ATENÇÃO ANTIG. (&gt;3 meses)","OK"))))))</f>
        <v/>
      </c>
      <c r="AA929" s="91"/>
    </row>
    <row r="930" customFormat="false" ht="16.5" hidden="false" customHeight="true" outlineLevel="0" collapsed="false">
      <c r="A930" s="86"/>
      <c r="B930" s="91"/>
      <c r="C930" s="91" t="str">
        <f aca="false">IF(D930="","",IFERROR(INDEX(CADASTRO_VIVO_3CRE!$B$2:$B$150,MATCH(D930,CADASTRO_VIVO_3CRE!$E$2:$E$150,0)),""))</f>
        <v/>
      </c>
      <c r="D930" s="91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8"/>
      <c r="S930" s="92" t="str">
        <f aca="true">IF(R930="","",TODAY()-INT(R930))</f>
        <v/>
      </c>
      <c r="T930" s="86"/>
      <c r="U930" s="86"/>
      <c r="V930" s="86"/>
      <c r="W930" s="88"/>
      <c r="X930" s="92" t="str">
        <f aca="true">IF(W930="","",IF(OR(O930="28 - Encerrado",O930="27 - Instalação concluída"),"Concluído",TODAY()-INT(W930)))</f>
        <v/>
      </c>
      <c r="Y930" s="91" t="str">
        <f aca="false">IF(OR(O930="28 - Encerrado",O930="27 - Instalação concluída"),"OK",IF(AND(B930&lt;&gt;"",S930=""),"ATENÇÃO (Sem data de atualização)",IF(S930="","",IF(S930&gt;30,"CRÍTICO (Sem Atualização &gt;30 dias)",IF(S930&gt;15,"ATENÇÃO (Sem Atualização &gt;15 dias)",IF(X930&gt;90,"CRÍTICO (Aberto &gt;90 dias)","OK"))))))</f>
        <v/>
      </c>
      <c r="Z930" s="90" t="str">
        <f aca="false">IF(B930="","",IF(OR(O930="27 - Instalação concluída",O930="28 - Encerrado"),"OK",IF(NOT(ISNUMBER(X930)),"",IF(X930&gt;365,"MUITO ANTIGO (&gt;1 ano)",IF(X930&gt;180,"ANTIGO (&gt;6 meses)",IF(X930&gt;90,"ATENÇÃO ANTIG. (&gt;3 meses)","OK"))))))</f>
        <v/>
      </c>
      <c r="AA930" s="91"/>
    </row>
    <row r="931" customFormat="false" ht="16.5" hidden="false" customHeight="true" outlineLevel="0" collapsed="false">
      <c r="A931" s="86"/>
      <c r="B931" s="91"/>
      <c r="C931" s="91" t="str">
        <f aca="false">IF(D931="","",IFERROR(INDEX(CADASTRO_VIVO_3CRE!$B$2:$B$150,MATCH(D931,CADASTRO_VIVO_3CRE!$E$2:$E$150,0)),""))</f>
        <v/>
      </c>
      <c r="D931" s="91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8"/>
      <c r="S931" s="92" t="str">
        <f aca="true">IF(R931="","",TODAY()-INT(R931))</f>
        <v/>
      </c>
      <c r="T931" s="86"/>
      <c r="U931" s="86"/>
      <c r="V931" s="86"/>
      <c r="W931" s="88"/>
      <c r="X931" s="92" t="str">
        <f aca="true">IF(W931="","",IF(OR(O931="28 - Encerrado",O931="27 - Instalação concluída"),"Concluído",TODAY()-INT(W931)))</f>
        <v/>
      </c>
      <c r="Y931" s="91" t="str">
        <f aca="false">IF(OR(O931="28 - Encerrado",O931="27 - Instalação concluída"),"OK",IF(AND(B931&lt;&gt;"",S931=""),"ATENÇÃO (Sem data de atualização)",IF(S931="","",IF(S931&gt;30,"CRÍTICO (Sem Atualização &gt;30 dias)",IF(S931&gt;15,"ATENÇÃO (Sem Atualização &gt;15 dias)",IF(X931&gt;90,"CRÍTICO (Aberto &gt;90 dias)","OK"))))))</f>
        <v/>
      </c>
      <c r="Z931" s="90" t="str">
        <f aca="false">IF(B931="","",IF(OR(O931="27 - Instalação concluída",O931="28 - Encerrado"),"OK",IF(NOT(ISNUMBER(X931)),"",IF(X931&gt;365,"MUITO ANTIGO (&gt;1 ano)",IF(X931&gt;180,"ANTIGO (&gt;6 meses)",IF(X931&gt;90,"ATENÇÃO ANTIG. (&gt;3 meses)","OK"))))))</f>
        <v/>
      </c>
      <c r="AA931" s="91"/>
    </row>
    <row r="932" customFormat="false" ht="16.5" hidden="false" customHeight="true" outlineLevel="0" collapsed="false">
      <c r="A932" s="86"/>
      <c r="B932" s="91"/>
      <c r="C932" s="91" t="str">
        <f aca="false">IF(D932="","",IFERROR(INDEX(CADASTRO_VIVO_3CRE!$B$2:$B$150,MATCH(D932,CADASTRO_VIVO_3CRE!$E$2:$E$150,0)),""))</f>
        <v/>
      </c>
      <c r="D932" s="91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8"/>
      <c r="S932" s="92" t="str">
        <f aca="true">IF(R932="","",TODAY()-INT(R932))</f>
        <v/>
      </c>
      <c r="T932" s="86"/>
      <c r="U932" s="86"/>
      <c r="V932" s="86"/>
      <c r="W932" s="88"/>
      <c r="X932" s="92" t="str">
        <f aca="true">IF(W932="","",IF(OR(O932="28 - Encerrado",O932="27 - Instalação concluída"),"Concluído",TODAY()-INT(W932)))</f>
        <v/>
      </c>
      <c r="Y932" s="91" t="str">
        <f aca="false">IF(OR(O932="28 - Encerrado",O932="27 - Instalação concluída"),"OK",IF(AND(B932&lt;&gt;"",S932=""),"ATENÇÃO (Sem data de atualização)",IF(S932="","",IF(S932&gt;30,"CRÍTICO (Sem Atualização &gt;30 dias)",IF(S932&gt;15,"ATENÇÃO (Sem Atualização &gt;15 dias)",IF(X932&gt;90,"CRÍTICO (Aberto &gt;90 dias)","OK"))))))</f>
        <v/>
      </c>
      <c r="Z932" s="90" t="str">
        <f aca="false">IF(B932="","",IF(OR(O932="27 - Instalação concluída",O932="28 - Encerrado"),"OK",IF(NOT(ISNUMBER(X932)),"",IF(X932&gt;365,"MUITO ANTIGO (&gt;1 ano)",IF(X932&gt;180,"ANTIGO (&gt;6 meses)",IF(X932&gt;90,"ATENÇÃO ANTIG. (&gt;3 meses)","OK"))))))</f>
        <v/>
      </c>
      <c r="AA932" s="91"/>
    </row>
    <row r="933" customFormat="false" ht="16.5" hidden="false" customHeight="true" outlineLevel="0" collapsed="false">
      <c r="A933" s="86"/>
      <c r="B933" s="91"/>
      <c r="C933" s="91" t="str">
        <f aca="false">IF(D933="","",IFERROR(INDEX(CADASTRO_VIVO_3CRE!$B$2:$B$150,MATCH(D933,CADASTRO_VIVO_3CRE!$E$2:$E$150,0)),""))</f>
        <v/>
      </c>
      <c r="D933" s="91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8"/>
      <c r="S933" s="92" t="str">
        <f aca="true">IF(R933="","",TODAY()-INT(R933))</f>
        <v/>
      </c>
      <c r="T933" s="86"/>
      <c r="U933" s="86"/>
      <c r="V933" s="86"/>
      <c r="W933" s="88"/>
      <c r="X933" s="92" t="str">
        <f aca="true">IF(W933="","",IF(OR(O933="28 - Encerrado",O933="27 - Instalação concluída"),"Concluído",TODAY()-INT(W933)))</f>
        <v/>
      </c>
      <c r="Y933" s="91" t="str">
        <f aca="false">IF(OR(O933="28 - Encerrado",O933="27 - Instalação concluída"),"OK",IF(AND(B933&lt;&gt;"",S933=""),"ATENÇÃO (Sem data de atualização)",IF(S933="","",IF(S933&gt;30,"CRÍTICO (Sem Atualização &gt;30 dias)",IF(S933&gt;15,"ATENÇÃO (Sem Atualização &gt;15 dias)",IF(X933&gt;90,"CRÍTICO (Aberto &gt;90 dias)","OK"))))))</f>
        <v/>
      </c>
      <c r="Z933" s="90" t="str">
        <f aca="false">IF(B933="","",IF(OR(O933="27 - Instalação concluída",O933="28 - Encerrado"),"OK",IF(NOT(ISNUMBER(X933)),"",IF(X933&gt;365,"MUITO ANTIGO (&gt;1 ano)",IF(X933&gt;180,"ANTIGO (&gt;6 meses)",IF(X933&gt;90,"ATENÇÃO ANTIG. (&gt;3 meses)","OK"))))))</f>
        <v/>
      </c>
      <c r="AA933" s="91"/>
    </row>
    <row r="934" customFormat="false" ht="16.5" hidden="false" customHeight="true" outlineLevel="0" collapsed="false">
      <c r="A934" s="86"/>
      <c r="B934" s="91"/>
      <c r="C934" s="91" t="str">
        <f aca="false">IF(D934="","",IFERROR(INDEX(CADASTRO_VIVO_3CRE!$B$2:$B$150,MATCH(D934,CADASTRO_VIVO_3CRE!$E$2:$E$150,0)),""))</f>
        <v/>
      </c>
      <c r="D934" s="91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8"/>
      <c r="S934" s="92" t="str">
        <f aca="true">IF(R934="","",TODAY()-INT(R934))</f>
        <v/>
      </c>
      <c r="T934" s="86"/>
      <c r="U934" s="86"/>
      <c r="V934" s="86"/>
      <c r="W934" s="88"/>
      <c r="X934" s="92" t="str">
        <f aca="true">IF(W934="","",IF(OR(O934="28 - Encerrado",O934="27 - Instalação concluída"),"Concluído",TODAY()-INT(W934)))</f>
        <v/>
      </c>
      <c r="Y934" s="91" t="str">
        <f aca="false">IF(OR(O934="28 - Encerrado",O934="27 - Instalação concluída"),"OK",IF(AND(B934&lt;&gt;"",S934=""),"ATENÇÃO (Sem data de atualização)",IF(S934="","",IF(S934&gt;30,"CRÍTICO (Sem Atualização &gt;30 dias)",IF(S934&gt;15,"ATENÇÃO (Sem Atualização &gt;15 dias)",IF(X934&gt;90,"CRÍTICO (Aberto &gt;90 dias)","OK"))))))</f>
        <v/>
      </c>
      <c r="Z934" s="90" t="str">
        <f aca="false">IF(B934="","",IF(OR(O934="27 - Instalação concluída",O934="28 - Encerrado"),"OK",IF(NOT(ISNUMBER(X934)),"",IF(X934&gt;365,"MUITO ANTIGO (&gt;1 ano)",IF(X934&gt;180,"ANTIGO (&gt;6 meses)",IF(X934&gt;90,"ATENÇÃO ANTIG. (&gt;3 meses)","OK"))))))</f>
        <v/>
      </c>
      <c r="AA934" s="91"/>
    </row>
    <row r="935" customFormat="false" ht="16.5" hidden="false" customHeight="true" outlineLevel="0" collapsed="false">
      <c r="A935" s="86"/>
      <c r="B935" s="91"/>
      <c r="C935" s="91" t="str">
        <f aca="false">IF(D935="","",IFERROR(INDEX(CADASTRO_VIVO_3CRE!$B$2:$B$150,MATCH(D935,CADASTRO_VIVO_3CRE!$E$2:$E$150,0)),""))</f>
        <v/>
      </c>
      <c r="D935" s="91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8"/>
      <c r="S935" s="92" t="str">
        <f aca="true">IF(R935="","",TODAY()-INT(R935))</f>
        <v/>
      </c>
      <c r="T935" s="86"/>
      <c r="U935" s="86"/>
      <c r="V935" s="86"/>
      <c r="W935" s="88"/>
      <c r="X935" s="92" t="str">
        <f aca="true">IF(W935="","",IF(OR(O935="28 - Encerrado",O935="27 - Instalação concluída"),"Concluído",TODAY()-INT(W935)))</f>
        <v/>
      </c>
      <c r="Y935" s="91" t="str">
        <f aca="false">IF(OR(O935="28 - Encerrado",O935="27 - Instalação concluída"),"OK",IF(AND(B935&lt;&gt;"",S935=""),"ATENÇÃO (Sem data de atualização)",IF(S935="","",IF(S935&gt;30,"CRÍTICO (Sem Atualização &gt;30 dias)",IF(S935&gt;15,"ATENÇÃO (Sem Atualização &gt;15 dias)",IF(X935&gt;90,"CRÍTICO (Aberto &gt;90 dias)","OK"))))))</f>
        <v/>
      </c>
      <c r="Z935" s="90" t="str">
        <f aca="false">IF(B935="","",IF(OR(O935="27 - Instalação concluída",O935="28 - Encerrado"),"OK",IF(NOT(ISNUMBER(X935)),"",IF(X935&gt;365,"MUITO ANTIGO (&gt;1 ano)",IF(X935&gt;180,"ANTIGO (&gt;6 meses)",IF(X935&gt;90,"ATENÇÃO ANTIG. (&gt;3 meses)","OK"))))))</f>
        <v/>
      </c>
      <c r="AA935" s="91"/>
    </row>
    <row r="936" customFormat="false" ht="16.5" hidden="false" customHeight="true" outlineLevel="0" collapsed="false">
      <c r="A936" s="86"/>
      <c r="B936" s="91"/>
      <c r="C936" s="91" t="str">
        <f aca="false">IF(D936="","",IFERROR(INDEX(CADASTRO_VIVO_3CRE!$B$2:$B$150,MATCH(D936,CADASTRO_VIVO_3CRE!$E$2:$E$150,0)),""))</f>
        <v/>
      </c>
      <c r="D936" s="91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8"/>
      <c r="S936" s="92" t="str">
        <f aca="true">IF(R936="","",TODAY()-INT(R936))</f>
        <v/>
      </c>
      <c r="T936" s="86"/>
      <c r="U936" s="86"/>
      <c r="V936" s="86"/>
      <c r="W936" s="88"/>
      <c r="X936" s="92" t="str">
        <f aca="true">IF(W936="","",IF(OR(O936="28 - Encerrado",O936="27 - Instalação concluída"),"Concluído",TODAY()-INT(W936)))</f>
        <v/>
      </c>
      <c r="Y936" s="91" t="str">
        <f aca="false">IF(OR(O936="28 - Encerrado",O936="27 - Instalação concluída"),"OK",IF(AND(B936&lt;&gt;"",S936=""),"ATENÇÃO (Sem data de atualização)",IF(S936="","",IF(S936&gt;30,"CRÍTICO (Sem Atualização &gt;30 dias)",IF(S936&gt;15,"ATENÇÃO (Sem Atualização &gt;15 dias)",IF(X936&gt;90,"CRÍTICO (Aberto &gt;90 dias)","OK"))))))</f>
        <v/>
      </c>
      <c r="Z936" s="90" t="str">
        <f aca="false">IF(B936="","",IF(OR(O936="27 - Instalação concluída",O936="28 - Encerrado"),"OK",IF(NOT(ISNUMBER(X936)),"",IF(X936&gt;365,"MUITO ANTIGO (&gt;1 ano)",IF(X936&gt;180,"ANTIGO (&gt;6 meses)",IF(X936&gt;90,"ATENÇÃO ANTIG. (&gt;3 meses)","OK"))))))</f>
        <v/>
      </c>
      <c r="AA936" s="91"/>
    </row>
    <row r="937" customFormat="false" ht="16.5" hidden="false" customHeight="true" outlineLevel="0" collapsed="false">
      <c r="A937" s="86"/>
      <c r="B937" s="91"/>
      <c r="C937" s="91" t="str">
        <f aca="false">IF(D937="","",IFERROR(INDEX(CADASTRO_VIVO_3CRE!$B$2:$B$150,MATCH(D937,CADASTRO_VIVO_3CRE!$E$2:$E$150,0)),""))</f>
        <v/>
      </c>
      <c r="D937" s="91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8"/>
      <c r="S937" s="92" t="str">
        <f aca="true">IF(R937="","",TODAY()-INT(R937))</f>
        <v/>
      </c>
      <c r="T937" s="86"/>
      <c r="U937" s="86"/>
      <c r="V937" s="86"/>
      <c r="W937" s="88"/>
      <c r="X937" s="92" t="str">
        <f aca="true">IF(W937="","",IF(OR(O937="28 - Encerrado",O937="27 - Instalação concluída"),"Concluído",TODAY()-INT(W937)))</f>
        <v/>
      </c>
      <c r="Y937" s="91" t="str">
        <f aca="false">IF(OR(O937="28 - Encerrado",O937="27 - Instalação concluída"),"OK",IF(AND(B937&lt;&gt;"",S937=""),"ATENÇÃO (Sem data de atualização)",IF(S937="","",IF(S937&gt;30,"CRÍTICO (Sem Atualização &gt;30 dias)",IF(S937&gt;15,"ATENÇÃO (Sem Atualização &gt;15 dias)",IF(X937&gt;90,"CRÍTICO (Aberto &gt;90 dias)","OK"))))))</f>
        <v/>
      </c>
      <c r="Z937" s="90" t="str">
        <f aca="false">IF(B937="","",IF(OR(O937="27 - Instalação concluída",O937="28 - Encerrado"),"OK",IF(NOT(ISNUMBER(X937)),"",IF(X937&gt;365,"MUITO ANTIGO (&gt;1 ano)",IF(X937&gt;180,"ANTIGO (&gt;6 meses)",IF(X937&gt;90,"ATENÇÃO ANTIG. (&gt;3 meses)","OK"))))))</f>
        <v/>
      </c>
      <c r="AA937" s="91"/>
    </row>
    <row r="938" customFormat="false" ht="16.5" hidden="false" customHeight="true" outlineLevel="0" collapsed="false">
      <c r="A938" s="86"/>
      <c r="B938" s="91"/>
      <c r="C938" s="91" t="str">
        <f aca="false">IF(D938="","",IFERROR(INDEX(CADASTRO_VIVO_3CRE!$B$2:$B$150,MATCH(D938,CADASTRO_VIVO_3CRE!$E$2:$E$150,0)),""))</f>
        <v/>
      </c>
      <c r="D938" s="91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8"/>
      <c r="S938" s="92" t="str">
        <f aca="true">IF(R938="","",TODAY()-INT(R938))</f>
        <v/>
      </c>
      <c r="T938" s="86"/>
      <c r="U938" s="86"/>
      <c r="V938" s="86"/>
      <c r="W938" s="88"/>
      <c r="X938" s="92" t="str">
        <f aca="true">IF(W938="","",IF(OR(O938="28 - Encerrado",O938="27 - Instalação concluída"),"Concluído",TODAY()-INT(W938)))</f>
        <v/>
      </c>
      <c r="Y938" s="91" t="str">
        <f aca="false">IF(OR(O938="28 - Encerrado",O938="27 - Instalação concluída"),"OK",IF(AND(B938&lt;&gt;"",S938=""),"ATENÇÃO (Sem data de atualização)",IF(S938="","",IF(S938&gt;30,"CRÍTICO (Sem Atualização &gt;30 dias)",IF(S938&gt;15,"ATENÇÃO (Sem Atualização &gt;15 dias)",IF(X938&gt;90,"CRÍTICO (Aberto &gt;90 dias)","OK"))))))</f>
        <v/>
      </c>
      <c r="Z938" s="90" t="str">
        <f aca="false">IF(B938="","",IF(OR(O938="27 - Instalação concluída",O938="28 - Encerrado"),"OK",IF(NOT(ISNUMBER(X938)),"",IF(X938&gt;365,"MUITO ANTIGO (&gt;1 ano)",IF(X938&gt;180,"ANTIGO (&gt;6 meses)",IF(X938&gt;90,"ATENÇÃO ANTIG. (&gt;3 meses)","OK"))))))</f>
        <v/>
      </c>
      <c r="AA938" s="91"/>
    </row>
    <row r="939" customFormat="false" ht="16.5" hidden="false" customHeight="true" outlineLevel="0" collapsed="false">
      <c r="A939" s="86"/>
      <c r="B939" s="91"/>
      <c r="C939" s="91" t="str">
        <f aca="false">IF(D939="","",IFERROR(INDEX(CADASTRO_VIVO_3CRE!$B$2:$B$150,MATCH(D939,CADASTRO_VIVO_3CRE!$E$2:$E$150,0)),""))</f>
        <v/>
      </c>
      <c r="D939" s="91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8"/>
      <c r="S939" s="92" t="str">
        <f aca="true">IF(R939="","",TODAY()-INT(R939))</f>
        <v/>
      </c>
      <c r="T939" s="86"/>
      <c r="U939" s="86"/>
      <c r="V939" s="86"/>
      <c r="W939" s="88"/>
      <c r="X939" s="92" t="str">
        <f aca="true">IF(W939="","",IF(OR(O939="28 - Encerrado",O939="27 - Instalação concluída"),"Concluído",TODAY()-INT(W939)))</f>
        <v/>
      </c>
      <c r="Y939" s="91" t="str">
        <f aca="false">IF(OR(O939="28 - Encerrado",O939="27 - Instalação concluída"),"OK",IF(AND(B939&lt;&gt;"",S939=""),"ATENÇÃO (Sem data de atualização)",IF(S939="","",IF(S939&gt;30,"CRÍTICO (Sem Atualização &gt;30 dias)",IF(S939&gt;15,"ATENÇÃO (Sem Atualização &gt;15 dias)",IF(X939&gt;90,"CRÍTICO (Aberto &gt;90 dias)","OK"))))))</f>
        <v/>
      </c>
      <c r="Z939" s="90" t="str">
        <f aca="false">IF(B939="","",IF(OR(O939="27 - Instalação concluída",O939="28 - Encerrado"),"OK",IF(NOT(ISNUMBER(X939)),"",IF(X939&gt;365,"MUITO ANTIGO (&gt;1 ano)",IF(X939&gt;180,"ANTIGO (&gt;6 meses)",IF(X939&gt;90,"ATENÇÃO ANTIG. (&gt;3 meses)","OK"))))))</f>
        <v/>
      </c>
      <c r="AA939" s="91"/>
    </row>
    <row r="940" customFormat="false" ht="16.5" hidden="false" customHeight="true" outlineLevel="0" collapsed="false">
      <c r="A940" s="86"/>
      <c r="B940" s="91"/>
      <c r="C940" s="91" t="str">
        <f aca="false">IF(D940="","",IFERROR(INDEX(CADASTRO_VIVO_3CRE!$B$2:$B$150,MATCH(D940,CADASTRO_VIVO_3CRE!$E$2:$E$150,0)),""))</f>
        <v/>
      </c>
      <c r="D940" s="91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8"/>
      <c r="S940" s="92" t="str">
        <f aca="true">IF(R940="","",TODAY()-INT(R940))</f>
        <v/>
      </c>
      <c r="T940" s="86"/>
      <c r="U940" s="86"/>
      <c r="V940" s="86"/>
      <c r="W940" s="88"/>
      <c r="X940" s="92" t="str">
        <f aca="true">IF(W940="","",IF(OR(O940="28 - Encerrado",O940="27 - Instalação concluída"),"Concluído",TODAY()-INT(W940)))</f>
        <v/>
      </c>
      <c r="Y940" s="91" t="str">
        <f aca="false">IF(OR(O940="28 - Encerrado",O940="27 - Instalação concluída"),"OK",IF(AND(B940&lt;&gt;"",S940=""),"ATENÇÃO (Sem data de atualização)",IF(S940="","",IF(S940&gt;30,"CRÍTICO (Sem Atualização &gt;30 dias)",IF(S940&gt;15,"ATENÇÃO (Sem Atualização &gt;15 dias)",IF(X940&gt;90,"CRÍTICO (Aberto &gt;90 dias)","OK"))))))</f>
        <v/>
      </c>
      <c r="Z940" s="90" t="str">
        <f aca="false">IF(B940="","",IF(OR(O940="27 - Instalação concluída",O940="28 - Encerrado"),"OK",IF(NOT(ISNUMBER(X940)),"",IF(X940&gt;365,"MUITO ANTIGO (&gt;1 ano)",IF(X940&gt;180,"ANTIGO (&gt;6 meses)",IF(X940&gt;90,"ATENÇÃO ANTIG. (&gt;3 meses)","OK"))))))</f>
        <v/>
      </c>
      <c r="AA940" s="91"/>
    </row>
    <row r="941" customFormat="false" ht="16.5" hidden="false" customHeight="true" outlineLevel="0" collapsed="false">
      <c r="A941" s="86"/>
      <c r="B941" s="91"/>
      <c r="C941" s="91" t="str">
        <f aca="false">IF(D941="","",IFERROR(INDEX(CADASTRO_VIVO_3CRE!$B$2:$B$150,MATCH(D941,CADASTRO_VIVO_3CRE!$E$2:$E$150,0)),""))</f>
        <v/>
      </c>
      <c r="D941" s="91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8"/>
      <c r="S941" s="92" t="str">
        <f aca="true">IF(R941="","",TODAY()-INT(R941))</f>
        <v/>
      </c>
      <c r="T941" s="86"/>
      <c r="U941" s="86"/>
      <c r="V941" s="86"/>
      <c r="W941" s="88"/>
      <c r="X941" s="92" t="str">
        <f aca="true">IF(W941="","",IF(OR(O941="28 - Encerrado",O941="27 - Instalação concluída"),"Concluído",TODAY()-INT(W941)))</f>
        <v/>
      </c>
      <c r="Y941" s="91" t="str">
        <f aca="false">IF(OR(O941="28 - Encerrado",O941="27 - Instalação concluída"),"OK",IF(AND(B941&lt;&gt;"",S941=""),"ATENÇÃO (Sem data de atualização)",IF(S941="","",IF(S941&gt;30,"CRÍTICO (Sem Atualização &gt;30 dias)",IF(S941&gt;15,"ATENÇÃO (Sem Atualização &gt;15 dias)",IF(X941&gt;90,"CRÍTICO (Aberto &gt;90 dias)","OK"))))))</f>
        <v/>
      </c>
      <c r="Z941" s="90" t="str">
        <f aca="false">IF(B941="","",IF(OR(O941="27 - Instalação concluída",O941="28 - Encerrado"),"OK",IF(NOT(ISNUMBER(X941)),"",IF(X941&gt;365,"MUITO ANTIGO (&gt;1 ano)",IF(X941&gt;180,"ANTIGO (&gt;6 meses)",IF(X941&gt;90,"ATENÇÃO ANTIG. (&gt;3 meses)","OK"))))))</f>
        <v/>
      </c>
      <c r="AA941" s="91"/>
    </row>
    <row r="942" customFormat="false" ht="16.5" hidden="false" customHeight="true" outlineLevel="0" collapsed="false">
      <c r="A942" s="86"/>
      <c r="B942" s="91"/>
      <c r="C942" s="91" t="str">
        <f aca="false">IF(D942="","",IFERROR(INDEX(CADASTRO_VIVO_3CRE!$B$2:$B$150,MATCH(D942,CADASTRO_VIVO_3CRE!$E$2:$E$150,0)),""))</f>
        <v/>
      </c>
      <c r="D942" s="91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8"/>
      <c r="S942" s="92" t="str">
        <f aca="true">IF(R942="","",TODAY()-INT(R942))</f>
        <v/>
      </c>
      <c r="T942" s="86"/>
      <c r="U942" s="86"/>
      <c r="V942" s="86"/>
      <c r="W942" s="88"/>
      <c r="X942" s="92" t="str">
        <f aca="true">IF(W942="","",IF(OR(O942="28 - Encerrado",O942="27 - Instalação concluída"),"Concluído",TODAY()-INT(W942)))</f>
        <v/>
      </c>
      <c r="Y942" s="91" t="str">
        <f aca="false">IF(OR(O942="28 - Encerrado",O942="27 - Instalação concluída"),"OK",IF(AND(B942&lt;&gt;"",S942=""),"ATENÇÃO (Sem data de atualização)",IF(S942="","",IF(S942&gt;30,"CRÍTICO (Sem Atualização &gt;30 dias)",IF(S942&gt;15,"ATENÇÃO (Sem Atualização &gt;15 dias)",IF(X942&gt;90,"CRÍTICO (Aberto &gt;90 dias)","OK"))))))</f>
        <v/>
      </c>
      <c r="Z942" s="90" t="str">
        <f aca="false">IF(B942="","",IF(OR(O942="27 - Instalação concluída",O942="28 - Encerrado"),"OK",IF(NOT(ISNUMBER(X942)),"",IF(X942&gt;365,"MUITO ANTIGO (&gt;1 ano)",IF(X942&gt;180,"ANTIGO (&gt;6 meses)",IF(X942&gt;90,"ATENÇÃO ANTIG. (&gt;3 meses)","OK"))))))</f>
        <v/>
      </c>
      <c r="AA942" s="91"/>
    </row>
    <row r="943" customFormat="false" ht="16.5" hidden="false" customHeight="true" outlineLevel="0" collapsed="false">
      <c r="A943" s="86"/>
      <c r="B943" s="91"/>
      <c r="C943" s="91" t="str">
        <f aca="false">IF(D943="","",IFERROR(INDEX(CADASTRO_VIVO_3CRE!$B$2:$B$150,MATCH(D943,CADASTRO_VIVO_3CRE!$E$2:$E$150,0)),""))</f>
        <v/>
      </c>
      <c r="D943" s="91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8"/>
      <c r="S943" s="92" t="str">
        <f aca="true">IF(R943="","",TODAY()-INT(R943))</f>
        <v/>
      </c>
      <c r="T943" s="86"/>
      <c r="U943" s="86"/>
      <c r="V943" s="86"/>
      <c r="W943" s="88"/>
      <c r="X943" s="92" t="str">
        <f aca="true">IF(W943="","",IF(OR(O943="28 - Encerrado",O943="27 - Instalação concluída"),"Concluído",TODAY()-INT(W943)))</f>
        <v/>
      </c>
      <c r="Y943" s="91" t="str">
        <f aca="false">IF(OR(O943="28 - Encerrado",O943="27 - Instalação concluída"),"OK",IF(AND(B943&lt;&gt;"",S943=""),"ATENÇÃO (Sem data de atualização)",IF(S943="","",IF(S943&gt;30,"CRÍTICO (Sem Atualização &gt;30 dias)",IF(S943&gt;15,"ATENÇÃO (Sem Atualização &gt;15 dias)",IF(X943&gt;90,"CRÍTICO (Aberto &gt;90 dias)","OK"))))))</f>
        <v/>
      </c>
      <c r="Z943" s="90" t="str">
        <f aca="false">IF(B943="","",IF(OR(O943="27 - Instalação concluída",O943="28 - Encerrado"),"OK",IF(NOT(ISNUMBER(X943)),"",IF(X943&gt;365,"MUITO ANTIGO (&gt;1 ano)",IF(X943&gt;180,"ANTIGO (&gt;6 meses)",IF(X943&gt;90,"ATENÇÃO ANTIG. (&gt;3 meses)","OK"))))))</f>
        <v/>
      </c>
      <c r="AA943" s="91"/>
    </row>
    <row r="944" customFormat="false" ht="16.5" hidden="false" customHeight="true" outlineLevel="0" collapsed="false">
      <c r="A944" s="86"/>
      <c r="B944" s="91"/>
      <c r="C944" s="91" t="str">
        <f aca="false">IF(D944="","",IFERROR(INDEX(CADASTRO_VIVO_3CRE!$B$2:$B$150,MATCH(D944,CADASTRO_VIVO_3CRE!$E$2:$E$150,0)),""))</f>
        <v/>
      </c>
      <c r="D944" s="91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8"/>
      <c r="S944" s="92" t="str">
        <f aca="true">IF(R944="","",TODAY()-INT(R944))</f>
        <v/>
      </c>
      <c r="T944" s="86"/>
      <c r="U944" s="86"/>
      <c r="V944" s="86"/>
      <c r="W944" s="88"/>
      <c r="X944" s="92" t="str">
        <f aca="true">IF(W944="","",IF(OR(O944="28 - Encerrado",O944="27 - Instalação concluída"),"Concluído",TODAY()-INT(W944)))</f>
        <v/>
      </c>
      <c r="Y944" s="91" t="str">
        <f aca="false">IF(OR(O944="28 - Encerrado",O944="27 - Instalação concluída"),"OK",IF(AND(B944&lt;&gt;"",S944=""),"ATENÇÃO (Sem data de atualização)",IF(S944="","",IF(S944&gt;30,"CRÍTICO (Sem Atualização &gt;30 dias)",IF(S944&gt;15,"ATENÇÃO (Sem Atualização &gt;15 dias)",IF(X944&gt;90,"CRÍTICO (Aberto &gt;90 dias)","OK"))))))</f>
        <v/>
      </c>
      <c r="Z944" s="90" t="str">
        <f aca="false">IF(B944="","",IF(OR(O944="27 - Instalação concluída",O944="28 - Encerrado"),"OK",IF(NOT(ISNUMBER(X944)),"",IF(X944&gt;365,"MUITO ANTIGO (&gt;1 ano)",IF(X944&gt;180,"ANTIGO (&gt;6 meses)",IF(X944&gt;90,"ATENÇÃO ANTIG. (&gt;3 meses)","OK"))))))</f>
        <v/>
      </c>
      <c r="AA944" s="91"/>
    </row>
    <row r="945" customFormat="false" ht="16.5" hidden="false" customHeight="true" outlineLevel="0" collapsed="false">
      <c r="A945" s="86"/>
      <c r="B945" s="91"/>
      <c r="C945" s="91" t="str">
        <f aca="false">IF(D945="","",IFERROR(INDEX(CADASTRO_VIVO_3CRE!$B$2:$B$150,MATCH(D945,CADASTRO_VIVO_3CRE!$E$2:$E$150,0)),""))</f>
        <v/>
      </c>
      <c r="D945" s="91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8"/>
      <c r="S945" s="92" t="str">
        <f aca="true">IF(R945="","",TODAY()-INT(R945))</f>
        <v/>
      </c>
      <c r="T945" s="86"/>
      <c r="U945" s="86"/>
      <c r="V945" s="86"/>
      <c r="W945" s="88"/>
      <c r="X945" s="92" t="str">
        <f aca="true">IF(W945="","",IF(OR(O945="28 - Encerrado",O945="27 - Instalação concluída"),"Concluído",TODAY()-INT(W945)))</f>
        <v/>
      </c>
      <c r="Y945" s="91" t="str">
        <f aca="false">IF(OR(O945="28 - Encerrado",O945="27 - Instalação concluída"),"OK",IF(AND(B945&lt;&gt;"",S945=""),"ATENÇÃO (Sem data de atualização)",IF(S945="","",IF(S945&gt;30,"CRÍTICO (Sem Atualização &gt;30 dias)",IF(S945&gt;15,"ATENÇÃO (Sem Atualização &gt;15 dias)",IF(X945&gt;90,"CRÍTICO (Aberto &gt;90 dias)","OK"))))))</f>
        <v/>
      </c>
      <c r="Z945" s="90" t="str">
        <f aca="false">IF(B945="","",IF(OR(O945="27 - Instalação concluída",O945="28 - Encerrado"),"OK",IF(NOT(ISNUMBER(X945)),"",IF(X945&gt;365,"MUITO ANTIGO (&gt;1 ano)",IF(X945&gt;180,"ANTIGO (&gt;6 meses)",IF(X945&gt;90,"ATENÇÃO ANTIG. (&gt;3 meses)","OK"))))))</f>
        <v/>
      </c>
      <c r="AA945" s="91"/>
    </row>
    <row r="946" customFormat="false" ht="16.5" hidden="false" customHeight="true" outlineLevel="0" collapsed="false">
      <c r="A946" s="86"/>
      <c r="B946" s="91"/>
      <c r="C946" s="91" t="str">
        <f aca="false">IF(D946="","",IFERROR(INDEX(CADASTRO_VIVO_3CRE!$B$2:$B$150,MATCH(D946,CADASTRO_VIVO_3CRE!$E$2:$E$150,0)),""))</f>
        <v/>
      </c>
      <c r="D946" s="91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8"/>
      <c r="S946" s="92" t="str">
        <f aca="true">IF(R946="","",TODAY()-INT(R946))</f>
        <v/>
      </c>
      <c r="T946" s="86"/>
      <c r="U946" s="86"/>
      <c r="V946" s="86"/>
      <c r="W946" s="88"/>
      <c r="X946" s="92" t="str">
        <f aca="true">IF(W946="","",IF(OR(O946="28 - Encerrado",O946="27 - Instalação concluída"),"Concluído",TODAY()-INT(W946)))</f>
        <v/>
      </c>
      <c r="Y946" s="91" t="str">
        <f aca="false">IF(OR(O946="28 - Encerrado",O946="27 - Instalação concluída"),"OK",IF(AND(B946&lt;&gt;"",S946=""),"ATENÇÃO (Sem data de atualização)",IF(S946="","",IF(S946&gt;30,"CRÍTICO (Sem Atualização &gt;30 dias)",IF(S946&gt;15,"ATENÇÃO (Sem Atualização &gt;15 dias)",IF(X946&gt;90,"CRÍTICO (Aberto &gt;90 dias)","OK"))))))</f>
        <v/>
      </c>
      <c r="Z946" s="90" t="str">
        <f aca="false">IF(B946="","",IF(OR(O946="27 - Instalação concluída",O946="28 - Encerrado"),"OK",IF(NOT(ISNUMBER(X946)),"",IF(X946&gt;365,"MUITO ANTIGO (&gt;1 ano)",IF(X946&gt;180,"ANTIGO (&gt;6 meses)",IF(X946&gt;90,"ATENÇÃO ANTIG. (&gt;3 meses)","OK"))))))</f>
        <v/>
      </c>
      <c r="AA946" s="91"/>
    </row>
    <row r="947" customFormat="false" ht="16.5" hidden="false" customHeight="true" outlineLevel="0" collapsed="false">
      <c r="A947" s="86"/>
      <c r="B947" s="91"/>
      <c r="C947" s="91" t="str">
        <f aca="false">IF(D947="","",IFERROR(INDEX(CADASTRO_VIVO_3CRE!$B$2:$B$150,MATCH(D947,CADASTRO_VIVO_3CRE!$E$2:$E$150,0)),""))</f>
        <v/>
      </c>
      <c r="D947" s="91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8"/>
      <c r="S947" s="92" t="str">
        <f aca="true">IF(R947="","",TODAY()-INT(R947))</f>
        <v/>
      </c>
      <c r="T947" s="86"/>
      <c r="U947" s="86"/>
      <c r="V947" s="86"/>
      <c r="W947" s="88"/>
      <c r="X947" s="92" t="str">
        <f aca="true">IF(W947="","",IF(OR(O947="28 - Encerrado",O947="27 - Instalação concluída"),"Concluído",TODAY()-INT(W947)))</f>
        <v/>
      </c>
      <c r="Y947" s="91" t="str">
        <f aca="false">IF(OR(O947="28 - Encerrado",O947="27 - Instalação concluída"),"OK",IF(AND(B947&lt;&gt;"",S947=""),"ATENÇÃO (Sem data de atualização)",IF(S947="","",IF(S947&gt;30,"CRÍTICO (Sem Atualização &gt;30 dias)",IF(S947&gt;15,"ATENÇÃO (Sem Atualização &gt;15 dias)",IF(X947&gt;90,"CRÍTICO (Aberto &gt;90 dias)","OK"))))))</f>
        <v/>
      </c>
      <c r="Z947" s="90" t="str">
        <f aca="false">IF(B947="","",IF(OR(O947="27 - Instalação concluída",O947="28 - Encerrado"),"OK",IF(NOT(ISNUMBER(X947)),"",IF(X947&gt;365,"MUITO ANTIGO (&gt;1 ano)",IF(X947&gt;180,"ANTIGO (&gt;6 meses)",IF(X947&gt;90,"ATENÇÃO ANTIG. (&gt;3 meses)","OK"))))))</f>
        <v/>
      </c>
      <c r="AA947" s="91"/>
    </row>
    <row r="948" customFormat="false" ht="16.5" hidden="false" customHeight="true" outlineLevel="0" collapsed="false">
      <c r="A948" s="86"/>
      <c r="B948" s="91"/>
      <c r="C948" s="91" t="str">
        <f aca="false">IF(D948="","",IFERROR(INDEX(CADASTRO_VIVO_3CRE!$B$2:$B$150,MATCH(D948,CADASTRO_VIVO_3CRE!$E$2:$E$150,0)),""))</f>
        <v/>
      </c>
      <c r="D948" s="91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8"/>
      <c r="S948" s="92" t="str">
        <f aca="true">IF(R948="","",TODAY()-INT(R948))</f>
        <v/>
      </c>
      <c r="T948" s="86"/>
      <c r="U948" s="86"/>
      <c r="V948" s="86"/>
      <c r="W948" s="88"/>
      <c r="X948" s="92" t="str">
        <f aca="true">IF(W948="","",IF(OR(O948="28 - Encerrado",O948="27 - Instalação concluída"),"Concluído",TODAY()-INT(W948)))</f>
        <v/>
      </c>
      <c r="Y948" s="91" t="str">
        <f aca="false">IF(OR(O948="28 - Encerrado",O948="27 - Instalação concluída"),"OK",IF(AND(B948&lt;&gt;"",S948=""),"ATENÇÃO (Sem data de atualização)",IF(S948="","",IF(S948&gt;30,"CRÍTICO (Sem Atualização &gt;30 dias)",IF(S948&gt;15,"ATENÇÃO (Sem Atualização &gt;15 dias)",IF(X948&gt;90,"CRÍTICO (Aberto &gt;90 dias)","OK"))))))</f>
        <v/>
      </c>
      <c r="Z948" s="90" t="str">
        <f aca="false">IF(B948="","",IF(OR(O948="27 - Instalação concluída",O948="28 - Encerrado"),"OK",IF(NOT(ISNUMBER(X948)),"",IF(X948&gt;365,"MUITO ANTIGO (&gt;1 ano)",IF(X948&gt;180,"ANTIGO (&gt;6 meses)",IF(X948&gt;90,"ATENÇÃO ANTIG. (&gt;3 meses)","OK"))))))</f>
        <v/>
      </c>
      <c r="AA948" s="91"/>
    </row>
    <row r="949" customFormat="false" ht="16.5" hidden="false" customHeight="true" outlineLevel="0" collapsed="false">
      <c r="A949" s="86"/>
      <c r="B949" s="91"/>
      <c r="C949" s="91" t="str">
        <f aca="false">IF(D949="","",IFERROR(INDEX(CADASTRO_VIVO_3CRE!$B$2:$B$150,MATCH(D949,CADASTRO_VIVO_3CRE!$E$2:$E$150,0)),""))</f>
        <v/>
      </c>
      <c r="D949" s="91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8"/>
      <c r="S949" s="92" t="str">
        <f aca="true">IF(R949="","",TODAY()-INT(R949))</f>
        <v/>
      </c>
      <c r="T949" s="86"/>
      <c r="U949" s="86"/>
      <c r="V949" s="86"/>
      <c r="W949" s="88"/>
      <c r="X949" s="92" t="str">
        <f aca="true">IF(W949="","",IF(OR(O949="28 - Encerrado",O949="27 - Instalação concluída"),"Concluído",TODAY()-INT(W949)))</f>
        <v/>
      </c>
      <c r="Y949" s="91" t="str">
        <f aca="false">IF(OR(O949="28 - Encerrado",O949="27 - Instalação concluída"),"OK",IF(AND(B949&lt;&gt;"",S949=""),"ATENÇÃO (Sem data de atualização)",IF(S949="","",IF(S949&gt;30,"CRÍTICO (Sem Atualização &gt;30 dias)",IF(S949&gt;15,"ATENÇÃO (Sem Atualização &gt;15 dias)",IF(X949&gt;90,"CRÍTICO (Aberto &gt;90 dias)","OK"))))))</f>
        <v/>
      </c>
      <c r="Z949" s="90" t="str">
        <f aca="false">IF(B949="","",IF(OR(O949="27 - Instalação concluída",O949="28 - Encerrado"),"OK",IF(NOT(ISNUMBER(X949)),"",IF(X949&gt;365,"MUITO ANTIGO (&gt;1 ano)",IF(X949&gt;180,"ANTIGO (&gt;6 meses)",IF(X949&gt;90,"ATENÇÃO ANTIG. (&gt;3 meses)","OK"))))))</f>
        <v/>
      </c>
      <c r="AA949" s="91"/>
    </row>
    <row r="950" customFormat="false" ht="16.5" hidden="false" customHeight="true" outlineLevel="0" collapsed="false">
      <c r="A950" s="86"/>
      <c r="B950" s="91"/>
      <c r="C950" s="91" t="str">
        <f aca="false">IF(D950="","",IFERROR(INDEX(CADASTRO_VIVO_3CRE!$B$2:$B$150,MATCH(D950,CADASTRO_VIVO_3CRE!$E$2:$E$150,0)),""))</f>
        <v/>
      </c>
      <c r="D950" s="91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8"/>
      <c r="S950" s="92" t="str">
        <f aca="true">IF(R950="","",TODAY()-INT(R950))</f>
        <v/>
      </c>
      <c r="T950" s="86"/>
      <c r="U950" s="86"/>
      <c r="V950" s="86"/>
      <c r="W950" s="88"/>
      <c r="X950" s="92" t="str">
        <f aca="true">IF(W950="","",IF(OR(O950="28 - Encerrado",O950="27 - Instalação concluída"),"Concluído",TODAY()-INT(W950)))</f>
        <v/>
      </c>
      <c r="Y950" s="91" t="str">
        <f aca="false">IF(OR(O950="28 - Encerrado",O950="27 - Instalação concluída"),"OK",IF(AND(B950&lt;&gt;"",S950=""),"ATENÇÃO (Sem data de atualização)",IF(S950="","",IF(S950&gt;30,"CRÍTICO (Sem Atualização &gt;30 dias)",IF(S950&gt;15,"ATENÇÃO (Sem Atualização &gt;15 dias)",IF(X950&gt;90,"CRÍTICO (Aberto &gt;90 dias)","OK"))))))</f>
        <v/>
      </c>
      <c r="Z950" s="90" t="str">
        <f aca="false">IF(B950="","",IF(OR(O950="27 - Instalação concluída",O950="28 - Encerrado"),"OK",IF(NOT(ISNUMBER(X950)),"",IF(X950&gt;365,"MUITO ANTIGO (&gt;1 ano)",IF(X950&gt;180,"ANTIGO (&gt;6 meses)",IF(X950&gt;90,"ATENÇÃO ANTIG. (&gt;3 meses)","OK"))))))</f>
        <v/>
      </c>
      <c r="AA950" s="91"/>
    </row>
    <row r="951" customFormat="false" ht="16.5" hidden="false" customHeight="true" outlineLevel="0" collapsed="false">
      <c r="A951" s="86"/>
      <c r="B951" s="91"/>
      <c r="C951" s="91" t="str">
        <f aca="false">IF(D951="","",IFERROR(INDEX(CADASTRO_VIVO_3CRE!$B$2:$B$150,MATCH(D951,CADASTRO_VIVO_3CRE!$E$2:$E$150,0)),""))</f>
        <v/>
      </c>
      <c r="D951" s="91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8"/>
      <c r="S951" s="92" t="str">
        <f aca="true">IF(R951="","",TODAY()-INT(R951))</f>
        <v/>
      </c>
      <c r="T951" s="86"/>
      <c r="U951" s="86"/>
      <c r="V951" s="86"/>
      <c r="W951" s="88"/>
      <c r="X951" s="92" t="str">
        <f aca="true">IF(W951="","",IF(OR(O951="28 - Encerrado",O951="27 - Instalação concluída"),"Concluído",TODAY()-INT(W951)))</f>
        <v/>
      </c>
      <c r="Y951" s="91" t="str">
        <f aca="false">IF(OR(O951="28 - Encerrado",O951="27 - Instalação concluída"),"OK",IF(AND(B951&lt;&gt;"",S951=""),"ATENÇÃO (Sem data de atualização)",IF(S951="","",IF(S951&gt;30,"CRÍTICO (Sem Atualização &gt;30 dias)",IF(S951&gt;15,"ATENÇÃO (Sem Atualização &gt;15 dias)",IF(X951&gt;90,"CRÍTICO (Aberto &gt;90 dias)","OK"))))))</f>
        <v/>
      </c>
      <c r="Z951" s="90" t="str">
        <f aca="false">IF(B951="","",IF(OR(O951="27 - Instalação concluída",O951="28 - Encerrado"),"OK",IF(NOT(ISNUMBER(X951)),"",IF(X951&gt;365,"MUITO ANTIGO (&gt;1 ano)",IF(X951&gt;180,"ANTIGO (&gt;6 meses)",IF(X951&gt;90,"ATENÇÃO ANTIG. (&gt;3 meses)","OK"))))))</f>
        <v/>
      </c>
      <c r="AA951" s="91"/>
    </row>
    <row r="952" customFormat="false" ht="16.5" hidden="false" customHeight="true" outlineLevel="0" collapsed="false">
      <c r="A952" s="86"/>
      <c r="B952" s="91"/>
      <c r="C952" s="91" t="str">
        <f aca="false">IF(D952="","",IFERROR(INDEX(CADASTRO_VIVO_3CRE!$B$2:$B$150,MATCH(D952,CADASTRO_VIVO_3CRE!$E$2:$E$150,0)),""))</f>
        <v/>
      </c>
      <c r="D952" s="91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8"/>
      <c r="S952" s="92" t="str">
        <f aca="true">IF(R952="","",TODAY()-INT(R952))</f>
        <v/>
      </c>
      <c r="T952" s="86"/>
      <c r="U952" s="86"/>
      <c r="V952" s="86"/>
      <c r="W952" s="88"/>
      <c r="X952" s="92" t="str">
        <f aca="true">IF(W952="","",IF(OR(O952="28 - Encerrado",O952="27 - Instalação concluída"),"Concluído",TODAY()-INT(W952)))</f>
        <v/>
      </c>
      <c r="Y952" s="91" t="str">
        <f aca="false">IF(OR(O952="28 - Encerrado",O952="27 - Instalação concluída"),"OK",IF(AND(B952&lt;&gt;"",S952=""),"ATENÇÃO (Sem data de atualização)",IF(S952="","",IF(S952&gt;30,"CRÍTICO (Sem Atualização &gt;30 dias)",IF(S952&gt;15,"ATENÇÃO (Sem Atualização &gt;15 dias)",IF(X952&gt;90,"CRÍTICO (Aberto &gt;90 dias)","OK"))))))</f>
        <v/>
      </c>
      <c r="Z952" s="90" t="str">
        <f aca="false">IF(B952="","",IF(OR(O952="27 - Instalação concluída",O952="28 - Encerrado"),"OK",IF(NOT(ISNUMBER(X952)),"",IF(X952&gt;365,"MUITO ANTIGO (&gt;1 ano)",IF(X952&gt;180,"ANTIGO (&gt;6 meses)",IF(X952&gt;90,"ATENÇÃO ANTIG. (&gt;3 meses)","OK"))))))</f>
        <v/>
      </c>
      <c r="AA952" s="91"/>
    </row>
    <row r="953" customFormat="false" ht="16.5" hidden="false" customHeight="true" outlineLevel="0" collapsed="false">
      <c r="A953" s="86"/>
      <c r="B953" s="91"/>
      <c r="C953" s="91" t="str">
        <f aca="false">IF(D953="","",IFERROR(INDEX(CADASTRO_VIVO_3CRE!$B$2:$B$150,MATCH(D953,CADASTRO_VIVO_3CRE!$E$2:$E$150,0)),""))</f>
        <v/>
      </c>
      <c r="D953" s="91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8"/>
      <c r="S953" s="92" t="str">
        <f aca="true">IF(R953="","",TODAY()-INT(R953))</f>
        <v/>
      </c>
      <c r="T953" s="86"/>
      <c r="U953" s="86"/>
      <c r="V953" s="86"/>
      <c r="W953" s="88"/>
      <c r="X953" s="92" t="str">
        <f aca="true">IF(W953="","",IF(OR(O953="28 - Encerrado",O953="27 - Instalação concluída"),"Concluído",TODAY()-INT(W953)))</f>
        <v/>
      </c>
      <c r="Y953" s="91" t="str">
        <f aca="false">IF(OR(O953="28 - Encerrado",O953="27 - Instalação concluída"),"OK",IF(AND(B953&lt;&gt;"",S953=""),"ATENÇÃO (Sem data de atualização)",IF(S953="","",IF(S953&gt;30,"CRÍTICO (Sem Atualização &gt;30 dias)",IF(S953&gt;15,"ATENÇÃO (Sem Atualização &gt;15 dias)",IF(X953&gt;90,"CRÍTICO (Aberto &gt;90 dias)","OK"))))))</f>
        <v/>
      </c>
      <c r="Z953" s="90" t="str">
        <f aca="false">IF(B953="","",IF(OR(O953="27 - Instalação concluída",O953="28 - Encerrado"),"OK",IF(NOT(ISNUMBER(X953)),"",IF(X953&gt;365,"MUITO ANTIGO (&gt;1 ano)",IF(X953&gt;180,"ANTIGO (&gt;6 meses)",IF(X953&gt;90,"ATENÇÃO ANTIG. (&gt;3 meses)","OK"))))))</f>
        <v/>
      </c>
      <c r="AA953" s="91"/>
    </row>
    <row r="954" customFormat="false" ht="16.5" hidden="false" customHeight="true" outlineLevel="0" collapsed="false">
      <c r="A954" s="86"/>
      <c r="B954" s="91"/>
      <c r="C954" s="91" t="str">
        <f aca="false">IF(D954="","",IFERROR(INDEX(CADASTRO_VIVO_3CRE!$B$2:$B$150,MATCH(D954,CADASTRO_VIVO_3CRE!$E$2:$E$150,0)),""))</f>
        <v/>
      </c>
      <c r="D954" s="91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8"/>
      <c r="S954" s="92" t="str">
        <f aca="true">IF(R954="","",TODAY()-INT(R954))</f>
        <v/>
      </c>
      <c r="T954" s="86"/>
      <c r="U954" s="86"/>
      <c r="V954" s="86"/>
      <c r="W954" s="88"/>
      <c r="X954" s="92" t="str">
        <f aca="true">IF(W954="","",IF(OR(O954="28 - Encerrado",O954="27 - Instalação concluída"),"Concluído",TODAY()-INT(W954)))</f>
        <v/>
      </c>
      <c r="Y954" s="91" t="str">
        <f aca="false">IF(OR(O954="28 - Encerrado",O954="27 - Instalação concluída"),"OK",IF(AND(B954&lt;&gt;"",S954=""),"ATENÇÃO (Sem data de atualização)",IF(S954="","",IF(S954&gt;30,"CRÍTICO (Sem Atualização &gt;30 dias)",IF(S954&gt;15,"ATENÇÃO (Sem Atualização &gt;15 dias)",IF(X954&gt;90,"CRÍTICO (Aberto &gt;90 dias)","OK"))))))</f>
        <v/>
      </c>
      <c r="Z954" s="90" t="str">
        <f aca="false">IF(B954="","",IF(OR(O954="27 - Instalação concluída",O954="28 - Encerrado"),"OK",IF(NOT(ISNUMBER(X954)),"",IF(X954&gt;365,"MUITO ANTIGO (&gt;1 ano)",IF(X954&gt;180,"ANTIGO (&gt;6 meses)",IF(X954&gt;90,"ATENÇÃO ANTIG. (&gt;3 meses)","OK"))))))</f>
        <v/>
      </c>
      <c r="AA954" s="91"/>
    </row>
    <row r="955" customFormat="false" ht="16.5" hidden="false" customHeight="true" outlineLevel="0" collapsed="false">
      <c r="A955" s="86"/>
      <c r="B955" s="91"/>
      <c r="C955" s="91" t="str">
        <f aca="false">IF(D955="","",IFERROR(INDEX(CADASTRO_VIVO_3CRE!$B$2:$B$150,MATCH(D955,CADASTRO_VIVO_3CRE!$E$2:$E$150,0)),""))</f>
        <v/>
      </c>
      <c r="D955" s="91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8"/>
      <c r="S955" s="92" t="str">
        <f aca="true">IF(R955="","",TODAY()-INT(R955))</f>
        <v/>
      </c>
      <c r="T955" s="86"/>
      <c r="U955" s="86"/>
      <c r="V955" s="86"/>
      <c r="W955" s="88"/>
      <c r="X955" s="92" t="str">
        <f aca="true">IF(W955="","",IF(OR(O955="28 - Encerrado",O955="27 - Instalação concluída"),"Concluído",TODAY()-INT(W955)))</f>
        <v/>
      </c>
      <c r="Y955" s="91" t="str">
        <f aca="false">IF(OR(O955="28 - Encerrado",O955="27 - Instalação concluída"),"OK",IF(AND(B955&lt;&gt;"",S955=""),"ATENÇÃO (Sem data de atualização)",IF(S955="","",IF(S955&gt;30,"CRÍTICO (Sem Atualização &gt;30 dias)",IF(S955&gt;15,"ATENÇÃO (Sem Atualização &gt;15 dias)",IF(X955&gt;90,"CRÍTICO (Aberto &gt;90 dias)","OK"))))))</f>
        <v/>
      </c>
      <c r="Z955" s="90" t="str">
        <f aca="false">IF(B955="","",IF(OR(O955="27 - Instalação concluída",O955="28 - Encerrado"),"OK",IF(NOT(ISNUMBER(X955)),"",IF(X955&gt;365,"MUITO ANTIGO (&gt;1 ano)",IF(X955&gt;180,"ANTIGO (&gt;6 meses)",IF(X955&gt;90,"ATENÇÃO ANTIG. (&gt;3 meses)","OK"))))))</f>
        <v/>
      </c>
      <c r="AA955" s="91"/>
    </row>
    <row r="956" customFormat="false" ht="16.5" hidden="false" customHeight="true" outlineLevel="0" collapsed="false">
      <c r="A956" s="86"/>
      <c r="B956" s="91"/>
      <c r="C956" s="91" t="str">
        <f aca="false">IF(D956="","",IFERROR(INDEX(CADASTRO_VIVO_3CRE!$B$2:$B$150,MATCH(D956,CADASTRO_VIVO_3CRE!$E$2:$E$150,0)),""))</f>
        <v/>
      </c>
      <c r="D956" s="91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8"/>
      <c r="S956" s="92" t="str">
        <f aca="true">IF(R956="","",TODAY()-INT(R956))</f>
        <v/>
      </c>
      <c r="T956" s="86"/>
      <c r="U956" s="86"/>
      <c r="V956" s="86"/>
      <c r="W956" s="88"/>
      <c r="X956" s="92" t="str">
        <f aca="true">IF(W956="","",IF(OR(O956="28 - Encerrado",O956="27 - Instalação concluída"),"Concluído",TODAY()-INT(W956)))</f>
        <v/>
      </c>
      <c r="Y956" s="91" t="str">
        <f aca="false">IF(OR(O956="28 - Encerrado",O956="27 - Instalação concluída"),"OK",IF(AND(B956&lt;&gt;"",S956=""),"ATENÇÃO (Sem data de atualização)",IF(S956="","",IF(S956&gt;30,"CRÍTICO (Sem Atualização &gt;30 dias)",IF(S956&gt;15,"ATENÇÃO (Sem Atualização &gt;15 dias)",IF(X956&gt;90,"CRÍTICO (Aberto &gt;90 dias)","OK"))))))</f>
        <v/>
      </c>
      <c r="Z956" s="90" t="str">
        <f aca="false">IF(B956="","",IF(OR(O956="27 - Instalação concluída",O956="28 - Encerrado"),"OK",IF(NOT(ISNUMBER(X956)),"",IF(X956&gt;365,"MUITO ANTIGO (&gt;1 ano)",IF(X956&gt;180,"ANTIGO (&gt;6 meses)",IF(X956&gt;90,"ATENÇÃO ANTIG. (&gt;3 meses)","OK"))))))</f>
        <v/>
      </c>
      <c r="AA956" s="91"/>
    </row>
    <row r="957" customFormat="false" ht="16.5" hidden="false" customHeight="true" outlineLevel="0" collapsed="false">
      <c r="A957" s="86"/>
      <c r="B957" s="91"/>
      <c r="C957" s="91" t="str">
        <f aca="false">IF(D957="","",IFERROR(INDEX(CADASTRO_VIVO_3CRE!$B$2:$B$150,MATCH(D957,CADASTRO_VIVO_3CRE!$E$2:$E$150,0)),""))</f>
        <v/>
      </c>
      <c r="D957" s="91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8"/>
      <c r="S957" s="92" t="str">
        <f aca="true">IF(R957="","",TODAY()-INT(R957))</f>
        <v/>
      </c>
      <c r="T957" s="86"/>
      <c r="U957" s="86"/>
      <c r="V957" s="86"/>
      <c r="W957" s="88"/>
      <c r="X957" s="92" t="str">
        <f aca="true">IF(W957="","",IF(OR(O957="28 - Encerrado",O957="27 - Instalação concluída"),"Concluído",TODAY()-INT(W957)))</f>
        <v/>
      </c>
      <c r="Y957" s="91" t="str">
        <f aca="false">IF(OR(O957="28 - Encerrado",O957="27 - Instalação concluída"),"OK",IF(AND(B957&lt;&gt;"",S957=""),"ATENÇÃO (Sem data de atualização)",IF(S957="","",IF(S957&gt;30,"CRÍTICO (Sem Atualização &gt;30 dias)",IF(S957&gt;15,"ATENÇÃO (Sem Atualização &gt;15 dias)",IF(X957&gt;90,"CRÍTICO (Aberto &gt;90 dias)","OK"))))))</f>
        <v/>
      </c>
      <c r="Z957" s="90" t="str">
        <f aca="false">IF(B957="","",IF(OR(O957="27 - Instalação concluída",O957="28 - Encerrado"),"OK",IF(NOT(ISNUMBER(X957)),"",IF(X957&gt;365,"MUITO ANTIGO (&gt;1 ano)",IF(X957&gt;180,"ANTIGO (&gt;6 meses)",IF(X957&gt;90,"ATENÇÃO ANTIG. (&gt;3 meses)","OK"))))))</f>
        <v/>
      </c>
      <c r="AA957" s="91"/>
    </row>
    <row r="958" customFormat="false" ht="16.5" hidden="false" customHeight="true" outlineLevel="0" collapsed="false">
      <c r="A958" s="86"/>
      <c r="B958" s="91"/>
      <c r="C958" s="91" t="str">
        <f aca="false">IF(D958="","",IFERROR(INDEX(CADASTRO_VIVO_3CRE!$B$2:$B$150,MATCH(D958,CADASTRO_VIVO_3CRE!$E$2:$E$150,0)),""))</f>
        <v/>
      </c>
      <c r="D958" s="91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8"/>
      <c r="S958" s="92" t="str">
        <f aca="true">IF(R958="","",TODAY()-INT(R958))</f>
        <v/>
      </c>
      <c r="T958" s="86"/>
      <c r="U958" s="86"/>
      <c r="V958" s="86"/>
      <c r="W958" s="88"/>
      <c r="X958" s="92" t="str">
        <f aca="true">IF(W958="","",IF(OR(O958="28 - Encerrado",O958="27 - Instalação concluída"),"Concluído",TODAY()-INT(W958)))</f>
        <v/>
      </c>
      <c r="Y958" s="91" t="str">
        <f aca="false">IF(OR(O958="28 - Encerrado",O958="27 - Instalação concluída"),"OK",IF(AND(B958&lt;&gt;"",S958=""),"ATENÇÃO (Sem data de atualização)",IF(S958="","",IF(S958&gt;30,"CRÍTICO (Sem Atualização &gt;30 dias)",IF(S958&gt;15,"ATENÇÃO (Sem Atualização &gt;15 dias)",IF(X958&gt;90,"CRÍTICO (Aberto &gt;90 dias)","OK"))))))</f>
        <v/>
      </c>
      <c r="Z958" s="90" t="str">
        <f aca="false">IF(B958="","",IF(OR(O958="27 - Instalação concluída",O958="28 - Encerrado"),"OK",IF(NOT(ISNUMBER(X958)),"",IF(X958&gt;365,"MUITO ANTIGO (&gt;1 ano)",IF(X958&gt;180,"ANTIGO (&gt;6 meses)",IF(X958&gt;90,"ATENÇÃO ANTIG. (&gt;3 meses)","OK"))))))</f>
        <v/>
      </c>
      <c r="AA958" s="91"/>
    </row>
    <row r="959" customFormat="false" ht="16.5" hidden="false" customHeight="true" outlineLevel="0" collapsed="false">
      <c r="A959" s="86"/>
      <c r="B959" s="91"/>
      <c r="C959" s="91" t="str">
        <f aca="false">IF(D959="","",IFERROR(INDEX(CADASTRO_VIVO_3CRE!$B$2:$B$150,MATCH(D959,CADASTRO_VIVO_3CRE!$E$2:$E$150,0)),""))</f>
        <v/>
      </c>
      <c r="D959" s="91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8"/>
      <c r="S959" s="92" t="str">
        <f aca="true">IF(R959="","",TODAY()-INT(R959))</f>
        <v/>
      </c>
      <c r="T959" s="86"/>
      <c r="U959" s="86"/>
      <c r="V959" s="86"/>
      <c r="W959" s="88"/>
      <c r="X959" s="92" t="str">
        <f aca="true">IF(W959="","",IF(OR(O959="28 - Encerrado",O959="27 - Instalação concluída"),"Concluído",TODAY()-INT(W959)))</f>
        <v/>
      </c>
      <c r="Y959" s="91" t="str">
        <f aca="false">IF(OR(O959="28 - Encerrado",O959="27 - Instalação concluída"),"OK",IF(AND(B959&lt;&gt;"",S959=""),"ATENÇÃO (Sem data de atualização)",IF(S959="","",IF(S959&gt;30,"CRÍTICO (Sem Atualização &gt;30 dias)",IF(S959&gt;15,"ATENÇÃO (Sem Atualização &gt;15 dias)",IF(X959&gt;90,"CRÍTICO (Aberto &gt;90 dias)","OK"))))))</f>
        <v/>
      </c>
      <c r="Z959" s="90" t="str">
        <f aca="false">IF(B959="","",IF(OR(O959="27 - Instalação concluída",O959="28 - Encerrado"),"OK",IF(NOT(ISNUMBER(X959)),"",IF(X959&gt;365,"MUITO ANTIGO (&gt;1 ano)",IF(X959&gt;180,"ANTIGO (&gt;6 meses)",IF(X959&gt;90,"ATENÇÃO ANTIG. (&gt;3 meses)","OK"))))))</f>
        <v/>
      </c>
      <c r="AA959" s="91"/>
    </row>
    <row r="960" customFormat="false" ht="16.5" hidden="false" customHeight="true" outlineLevel="0" collapsed="false">
      <c r="A960" s="86"/>
      <c r="B960" s="91"/>
      <c r="C960" s="91" t="str">
        <f aca="false">IF(D960="","",IFERROR(INDEX(CADASTRO_VIVO_3CRE!$B$2:$B$150,MATCH(D960,CADASTRO_VIVO_3CRE!$E$2:$E$150,0)),""))</f>
        <v/>
      </c>
      <c r="D960" s="91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8"/>
      <c r="S960" s="92" t="str">
        <f aca="true">IF(R960="","",TODAY()-INT(R960))</f>
        <v/>
      </c>
      <c r="T960" s="86"/>
      <c r="U960" s="86"/>
      <c r="V960" s="86"/>
      <c r="W960" s="88"/>
      <c r="X960" s="92" t="str">
        <f aca="true">IF(W960="","",IF(OR(O960="28 - Encerrado",O960="27 - Instalação concluída"),"Concluído",TODAY()-INT(W960)))</f>
        <v/>
      </c>
      <c r="Y960" s="91" t="str">
        <f aca="false">IF(OR(O960="28 - Encerrado",O960="27 - Instalação concluída"),"OK",IF(AND(B960&lt;&gt;"",S960=""),"ATENÇÃO (Sem data de atualização)",IF(S960="","",IF(S960&gt;30,"CRÍTICO (Sem Atualização &gt;30 dias)",IF(S960&gt;15,"ATENÇÃO (Sem Atualização &gt;15 dias)",IF(X960&gt;90,"CRÍTICO (Aberto &gt;90 dias)","OK"))))))</f>
        <v/>
      </c>
      <c r="Z960" s="90" t="str">
        <f aca="false">IF(B960="","",IF(OR(O960="27 - Instalação concluída",O960="28 - Encerrado"),"OK",IF(NOT(ISNUMBER(X960)),"",IF(X960&gt;365,"MUITO ANTIGO (&gt;1 ano)",IF(X960&gt;180,"ANTIGO (&gt;6 meses)",IF(X960&gt;90,"ATENÇÃO ANTIG. (&gt;3 meses)","OK"))))))</f>
        <v/>
      </c>
      <c r="AA960" s="91"/>
    </row>
    <row r="961" customFormat="false" ht="16.5" hidden="false" customHeight="true" outlineLevel="0" collapsed="false">
      <c r="A961" s="86"/>
      <c r="B961" s="91"/>
      <c r="C961" s="91" t="str">
        <f aca="false">IF(D961="","",IFERROR(INDEX(CADASTRO_VIVO_3CRE!$B$2:$B$150,MATCH(D961,CADASTRO_VIVO_3CRE!$E$2:$E$150,0)),""))</f>
        <v/>
      </c>
      <c r="D961" s="91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8"/>
      <c r="S961" s="92" t="str">
        <f aca="true">IF(R961="","",TODAY()-INT(R961))</f>
        <v/>
      </c>
      <c r="T961" s="86"/>
      <c r="U961" s="86"/>
      <c r="V961" s="86"/>
      <c r="W961" s="88"/>
      <c r="X961" s="92" t="str">
        <f aca="true">IF(W961="","",IF(OR(O961="28 - Encerrado",O961="27 - Instalação concluída"),"Concluído",TODAY()-INT(W961)))</f>
        <v/>
      </c>
      <c r="Y961" s="91" t="str">
        <f aca="false">IF(OR(O961="28 - Encerrado",O961="27 - Instalação concluída"),"OK",IF(AND(B961&lt;&gt;"",S961=""),"ATENÇÃO (Sem data de atualização)",IF(S961="","",IF(S961&gt;30,"CRÍTICO (Sem Atualização &gt;30 dias)",IF(S961&gt;15,"ATENÇÃO (Sem Atualização &gt;15 dias)",IF(X961&gt;90,"CRÍTICO (Aberto &gt;90 dias)","OK"))))))</f>
        <v/>
      </c>
      <c r="Z961" s="90" t="str">
        <f aca="false">IF(B961="","",IF(OR(O961="27 - Instalação concluída",O961="28 - Encerrado"),"OK",IF(NOT(ISNUMBER(X961)),"",IF(X961&gt;365,"MUITO ANTIGO (&gt;1 ano)",IF(X961&gt;180,"ANTIGO (&gt;6 meses)",IF(X961&gt;90,"ATENÇÃO ANTIG. (&gt;3 meses)","OK"))))))</f>
        <v/>
      </c>
      <c r="AA961" s="91"/>
    </row>
    <row r="962" customFormat="false" ht="16.5" hidden="false" customHeight="true" outlineLevel="0" collapsed="false">
      <c r="A962" s="86"/>
      <c r="B962" s="91"/>
      <c r="C962" s="91" t="str">
        <f aca="false">IF(D962="","",IFERROR(INDEX(CADASTRO_VIVO_3CRE!$B$2:$B$150,MATCH(D962,CADASTRO_VIVO_3CRE!$E$2:$E$150,0)),""))</f>
        <v/>
      </c>
      <c r="D962" s="91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8"/>
      <c r="S962" s="92" t="str">
        <f aca="true">IF(R962="","",TODAY()-INT(R962))</f>
        <v/>
      </c>
      <c r="T962" s="86"/>
      <c r="U962" s="86"/>
      <c r="V962" s="86"/>
      <c r="W962" s="88"/>
      <c r="X962" s="92" t="str">
        <f aca="true">IF(W962="","",IF(OR(O962="28 - Encerrado",O962="27 - Instalação concluída"),"Concluído",TODAY()-INT(W962)))</f>
        <v/>
      </c>
      <c r="Y962" s="91" t="str">
        <f aca="false">IF(OR(O962="28 - Encerrado",O962="27 - Instalação concluída"),"OK",IF(AND(B962&lt;&gt;"",S962=""),"ATENÇÃO (Sem data de atualização)",IF(S962="","",IF(S962&gt;30,"CRÍTICO (Sem Atualização &gt;30 dias)",IF(S962&gt;15,"ATENÇÃO (Sem Atualização &gt;15 dias)",IF(X962&gt;90,"CRÍTICO (Aberto &gt;90 dias)","OK"))))))</f>
        <v/>
      </c>
      <c r="Z962" s="90" t="str">
        <f aca="false">IF(B962="","",IF(OR(O962="27 - Instalação concluída",O962="28 - Encerrado"),"OK",IF(NOT(ISNUMBER(X962)),"",IF(X962&gt;365,"MUITO ANTIGO (&gt;1 ano)",IF(X962&gt;180,"ANTIGO (&gt;6 meses)",IF(X962&gt;90,"ATENÇÃO ANTIG. (&gt;3 meses)","OK"))))))</f>
        <v/>
      </c>
      <c r="AA962" s="91"/>
    </row>
    <row r="963" customFormat="false" ht="16.5" hidden="false" customHeight="true" outlineLevel="0" collapsed="false">
      <c r="A963" s="86"/>
      <c r="B963" s="91"/>
      <c r="C963" s="91" t="str">
        <f aca="false">IF(D963="","",IFERROR(INDEX(CADASTRO_VIVO_3CRE!$B$2:$B$150,MATCH(D963,CADASTRO_VIVO_3CRE!$E$2:$E$150,0)),""))</f>
        <v/>
      </c>
      <c r="D963" s="91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8"/>
      <c r="S963" s="92" t="str">
        <f aca="true">IF(R963="","",TODAY()-INT(R963))</f>
        <v/>
      </c>
      <c r="T963" s="86"/>
      <c r="U963" s="86"/>
      <c r="V963" s="86"/>
      <c r="W963" s="88"/>
      <c r="X963" s="92" t="str">
        <f aca="true">IF(W963="","",IF(OR(O963="28 - Encerrado",O963="27 - Instalação concluída"),"Concluído",TODAY()-INT(W963)))</f>
        <v/>
      </c>
      <c r="Y963" s="91" t="str">
        <f aca="false">IF(OR(O963="28 - Encerrado",O963="27 - Instalação concluída"),"OK",IF(AND(B963&lt;&gt;"",S963=""),"ATENÇÃO (Sem data de atualização)",IF(S963="","",IF(S963&gt;30,"CRÍTICO (Sem Atualização &gt;30 dias)",IF(S963&gt;15,"ATENÇÃO (Sem Atualização &gt;15 dias)",IF(X963&gt;90,"CRÍTICO (Aberto &gt;90 dias)","OK"))))))</f>
        <v/>
      </c>
      <c r="Z963" s="90" t="str">
        <f aca="false">IF(B963="","",IF(OR(O963="27 - Instalação concluída",O963="28 - Encerrado"),"OK",IF(NOT(ISNUMBER(X963)),"",IF(X963&gt;365,"MUITO ANTIGO (&gt;1 ano)",IF(X963&gt;180,"ANTIGO (&gt;6 meses)",IF(X963&gt;90,"ATENÇÃO ANTIG. (&gt;3 meses)","OK"))))))</f>
        <v/>
      </c>
      <c r="AA963" s="91"/>
    </row>
    <row r="964" customFormat="false" ht="16.5" hidden="false" customHeight="true" outlineLevel="0" collapsed="false">
      <c r="A964" s="86"/>
      <c r="B964" s="91"/>
      <c r="C964" s="91" t="str">
        <f aca="false">IF(D964="","",IFERROR(INDEX(CADASTRO_VIVO_3CRE!$B$2:$B$150,MATCH(D964,CADASTRO_VIVO_3CRE!$E$2:$E$150,0)),""))</f>
        <v/>
      </c>
      <c r="D964" s="91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8"/>
      <c r="S964" s="92" t="str">
        <f aca="true">IF(R964="","",TODAY()-INT(R964))</f>
        <v/>
      </c>
      <c r="T964" s="86"/>
      <c r="U964" s="86"/>
      <c r="V964" s="86"/>
      <c r="W964" s="88"/>
      <c r="X964" s="92" t="str">
        <f aca="true">IF(W964="","",IF(OR(O964="28 - Encerrado",O964="27 - Instalação concluída"),"Concluído",TODAY()-INT(W964)))</f>
        <v/>
      </c>
      <c r="Y964" s="91" t="str">
        <f aca="false">IF(OR(O964="28 - Encerrado",O964="27 - Instalação concluída"),"OK",IF(AND(B964&lt;&gt;"",S964=""),"ATENÇÃO (Sem data de atualização)",IF(S964="","",IF(S964&gt;30,"CRÍTICO (Sem Atualização &gt;30 dias)",IF(S964&gt;15,"ATENÇÃO (Sem Atualização &gt;15 dias)",IF(X964&gt;90,"CRÍTICO (Aberto &gt;90 dias)","OK"))))))</f>
        <v/>
      </c>
      <c r="Z964" s="90" t="str">
        <f aca="false">IF(B964="","",IF(OR(O964="27 - Instalação concluída",O964="28 - Encerrado"),"OK",IF(NOT(ISNUMBER(X964)),"",IF(X964&gt;365,"MUITO ANTIGO (&gt;1 ano)",IF(X964&gt;180,"ANTIGO (&gt;6 meses)",IF(X964&gt;90,"ATENÇÃO ANTIG. (&gt;3 meses)","OK"))))))</f>
        <v/>
      </c>
      <c r="AA964" s="91"/>
    </row>
    <row r="965" customFormat="false" ht="16.5" hidden="false" customHeight="true" outlineLevel="0" collapsed="false">
      <c r="A965" s="86"/>
      <c r="B965" s="91"/>
      <c r="C965" s="91" t="str">
        <f aca="false">IF(D965="","",IFERROR(INDEX(CADASTRO_VIVO_3CRE!$B$2:$B$150,MATCH(D965,CADASTRO_VIVO_3CRE!$E$2:$E$150,0)),""))</f>
        <v/>
      </c>
      <c r="D965" s="91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8"/>
      <c r="S965" s="92" t="str">
        <f aca="true">IF(R965="","",TODAY()-INT(R965))</f>
        <v/>
      </c>
      <c r="T965" s="86"/>
      <c r="U965" s="86"/>
      <c r="V965" s="86"/>
      <c r="W965" s="88"/>
      <c r="X965" s="92" t="str">
        <f aca="true">IF(W965="","",IF(OR(O965="28 - Encerrado",O965="27 - Instalação concluída"),"Concluído",TODAY()-INT(W965)))</f>
        <v/>
      </c>
      <c r="Y965" s="91" t="str">
        <f aca="false">IF(OR(O965="28 - Encerrado",O965="27 - Instalação concluída"),"OK",IF(AND(B965&lt;&gt;"",S965=""),"ATENÇÃO (Sem data de atualização)",IF(S965="","",IF(S965&gt;30,"CRÍTICO (Sem Atualização &gt;30 dias)",IF(S965&gt;15,"ATENÇÃO (Sem Atualização &gt;15 dias)",IF(X965&gt;90,"CRÍTICO (Aberto &gt;90 dias)","OK"))))))</f>
        <v/>
      </c>
      <c r="Z965" s="90" t="str">
        <f aca="false">IF(B965="","",IF(OR(O965="27 - Instalação concluída",O965="28 - Encerrado"),"OK",IF(NOT(ISNUMBER(X965)),"",IF(X965&gt;365,"MUITO ANTIGO (&gt;1 ano)",IF(X965&gt;180,"ANTIGO (&gt;6 meses)",IF(X965&gt;90,"ATENÇÃO ANTIG. (&gt;3 meses)","OK"))))))</f>
        <v/>
      </c>
      <c r="AA965" s="91"/>
    </row>
    <row r="966" customFormat="false" ht="16.5" hidden="false" customHeight="true" outlineLevel="0" collapsed="false">
      <c r="A966" s="86"/>
      <c r="B966" s="91"/>
      <c r="C966" s="91" t="str">
        <f aca="false">IF(D966="","",IFERROR(INDEX(CADASTRO_VIVO_3CRE!$B$2:$B$150,MATCH(D966,CADASTRO_VIVO_3CRE!$E$2:$E$150,0)),""))</f>
        <v/>
      </c>
      <c r="D966" s="91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8"/>
      <c r="S966" s="92" t="str">
        <f aca="true">IF(R966="","",TODAY()-INT(R966))</f>
        <v/>
      </c>
      <c r="T966" s="86"/>
      <c r="U966" s="86"/>
      <c r="V966" s="86"/>
      <c r="W966" s="88"/>
      <c r="X966" s="92" t="str">
        <f aca="true">IF(W966="","",IF(OR(O966="28 - Encerrado",O966="27 - Instalação concluída"),"Concluído",TODAY()-INT(W966)))</f>
        <v/>
      </c>
      <c r="Y966" s="91" t="str">
        <f aca="false">IF(OR(O966="28 - Encerrado",O966="27 - Instalação concluída"),"OK",IF(AND(B966&lt;&gt;"",S966=""),"ATENÇÃO (Sem data de atualização)",IF(S966="","",IF(S966&gt;30,"CRÍTICO (Sem Atualização &gt;30 dias)",IF(S966&gt;15,"ATENÇÃO (Sem Atualização &gt;15 dias)",IF(X966&gt;90,"CRÍTICO (Aberto &gt;90 dias)","OK"))))))</f>
        <v/>
      </c>
      <c r="Z966" s="90" t="str">
        <f aca="false">IF(B966="","",IF(OR(O966="27 - Instalação concluída",O966="28 - Encerrado"),"OK",IF(NOT(ISNUMBER(X966)),"",IF(X966&gt;365,"MUITO ANTIGO (&gt;1 ano)",IF(X966&gt;180,"ANTIGO (&gt;6 meses)",IF(X966&gt;90,"ATENÇÃO ANTIG. (&gt;3 meses)","OK"))))))</f>
        <v/>
      </c>
      <c r="AA966" s="91"/>
    </row>
    <row r="967" customFormat="false" ht="16.5" hidden="false" customHeight="true" outlineLevel="0" collapsed="false">
      <c r="A967" s="86"/>
      <c r="B967" s="91"/>
      <c r="C967" s="91" t="str">
        <f aca="false">IF(D967="","",IFERROR(INDEX(CADASTRO_VIVO_3CRE!$B$2:$B$150,MATCH(D967,CADASTRO_VIVO_3CRE!$E$2:$E$150,0)),""))</f>
        <v/>
      </c>
      <c r="D967" s="91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8"/>
      <c r="S967" s="92" t="str">
        <f aca="true">IF(R967="","",TODAY()-INT(R967))</f>
        <v/>
      </c>
      <c r="T967" s="86"/>
      <c r="U967" s="86"/>
      <c r="V967" s="86"/>
      <c r="W967" s="88"/>
      <c r="X967" s="92" t="str">
        <f aca="true">IF(W967="","",IF(OR(O967="28 - Encerrado",O967="27 - Instalação concluída"),"Concluído",TODAY()-INT(W967)))</f>
        <v/>
      </c>
      <c r="Y967" s="91" t="str">
        <f aca="false">IF(OR(O967="28 - Encerrado",O967="27 - Instalação concluída"),"OK",IF(AND(B967&lt;&gt;"",S967=""),"ATENÇÃO (Sem data de atualização)",IF(S967="","",IF(S967&gt;30,"CRÍTICO (Sem Atualização &gt;30 dias)",IF(S967&gt;15,"ATENÇÃO (Sem Atualização &gt;15 dias)",IF(X967&gt;90,"CRÍTICO (Aberto &gt;90 dias)","OK"))))))</f>
        <v/>
      </c>
      <c r="Z967" s="90" t="str">
        <f aca="false">IF(B967="","",IF(OR(O967="27 - Instalação concluída",O967="28 - Encerrado"),"OK",IF(NOT(ISNUMBER(X967)),"",IF(X967&gt;365,"MUITO ANTIGO (&gt;1 ano)",IF(X967&gt;180,"ANTIGO (&gt;6 meses)",IF(X967&gt;90,"ATENÇÃO ANTIG. (&gt;3 meses)","OK"))))))</f>
        <v/>
      </c>
      <c r="AA967" s="91"/>
    </row>
    <row r="968" customFormat="false" ht="16.5" hidden="false" customHeight="true" outlineLevel="0" collapsed="false">
      <c r="A968" s="86"/>
      <c r="B968" s="91"/>
      <c r="C968" s="91" t="str">
        <f aca="false">IF(D968="","",IFERROR(INDEX(CADASTRO_VIVO_3CRE!$B$2:$B$150,MATCH(D968,CADASTRO_VIVO_3CRE!$E$2:$E$150,0)),""))</f>
        <v/>
      </c>
      <c r="D968" s="91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8"/>
      <c r="S968" s="92" t="str">
        <f aca="true">IF(R968="","",TODAY()-INT(R968))</f>
        <v/>
      </c>
      <c r="T968" s="86"/>
      <c r="U968" s="86"/>
      <c r="V968" s="86"/>
      <c r="W968" s="88"/>
      <c r="X968" s="92" t="str">
        <f aca="true">IF(W968="","",IF(OR(O968="28 - Encerrado",O968="27 - Instalação concluída"),"Concluído",TODAY()-INT(W968)))</f>
        <v/>
      </c>
      <c r="Y968" s="91" t="str">
        <f aca="false">IF(OR(O968="28 - Encerrado",O968="27 - Instalação concluída"),"OK",IF(AND(B968&lt;&gt;"",S968=""),"ATENÇÃO (Sem data de atualização)",IF(S968="","",IF(S968&gt;30,"CRÍTICO (Sem Atualização &gt;30 dias)",IF(S968&gt;15,"ATENÇÃO (Sem Atualização &gt;15 dias)",IF(X968&gt;90,"CRÍTICO (Aberto &gt;90 dias)","OK"))))))</f>
        <v/>
      </c>
      <c r="Z968" s="90" t="str">
        <f aca="false">IF(B968="","",IF(OR(O968="27 - Instalação concluída",O968="28 - Encerrado"),"OK",IF(NOT(ISNUMBER(X968)),"",IF(X968&gt;365,"MUITO ANTIGO (&gt;1 ano)",IF(X968&gt;180,"ANTIGO (&gt;6 meses)",IF(X968&gt;90,"ATENÇÃO ANTIG. (&gt;3 meses)","OK"))))))</f>
        <v/>
      </c>
      <c r="AA968" s="91"/>
    </row>
    <row r="969" customFormat="false" ht="16.5" hidden="false" customHeight="true" outlineLevel="0" collapsed="false">
      <c r="A969" s="86"/>
      <c r="B969" s="91"/>
      <c r="C969" s="91" t="str">
        <f aca="false">IF(D969="","",IFERROR(INDEX(CADASTRO_VIVO_3CRE!$B$2:$B$150,MATCH(D969,CADASTRO_VIVO_3CRE!$E$2:$E$150,0)),""))</f>
        <v/>
      </c>
      <c r="D969" s="91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8"/>
      <c r="S969" s="92" t="str">
        <f aca="true">IF(R969="","",TODAY()-INT(R969))</f>
        <v/>
      </c>
      <c r="T969" s="86"/>
      <c r="U969" s="86"/>
      <c r="V969" s="86"/>
      <c r="W969" s="88"/>
      <c r="X969" s="92" t="str">
        <f aca="true">IF(W969="","",IF(OR(O969="28 - Encerrado",O969="27 - Instalação concluída"),"Concluído",TODAY()-INT(W969)))</f>
        <v/>
      </c>
      <c r="Y969" s="91" t="str">
        <f aca="false">IF(OR(O969="28 - Encerrado",O969="27 - Instalação concluída"),"OK",IF(AND(B969&lt;&gt;"",S969=""),"ATENÇÃO (Sem data de atualização)",IF(S969="","",IF(S969&gt;30,"CRÍTICO (Sem Atualização &gt;30 dias)",IF(S969&gt;15,"ATENÇÃO (Sem Atualização &gt;15 dias)",IF(X969&gt;90,"CRÍTICO (Aberto &gt;90 dias)","OK"))))))</f>
        <v/>
      </c>
      <c r="Z969" s="90" t="str">
        <f aca="false">IF(B969="","",IF(OR(O969="27 - Instalação concluída",O969="28 - Encerrado"),"OK",IF(NOT(ISNUMBER(X969)),"",IF(X969&gt;365,"MUITO ANTIGO (&gt;1 ano)",IF(X969&gt;180,"ANTIGO (&gt;6 meses)",IF(X969&gt;90,"ATENÇÃO ANTIG. (&gt;3 meses)","OK"))))))</f>
        <v/>
      </c>
      <c r="AA969" s="91"/>
    </row>
    <row r="970" customFormat="false" ht="16.5" hidden="false" customHeight="true" outlineLevel="0" collapsed="false">
      <c r="A970" s="86"/>
      <c r="B970" s="91"/>
      <c r="C970" s="91" t="str">
        <f aca="false">IF(D970="","",IFERROR(INDEX(CADASTRO_VIVO_3CRE!$B$2:$B$150,MATCH(D970,CADASTRO_VIVO_3CRE!$E$2:$E$150,0)),""))</f>
        <v/>
      </c>
      <c r="D970" s="91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8"/>
      <c r="S970" s="92" t="str">
        <f aca="true">IF(R970="","",TODAY()-INT(R970))</f>
        <v/>
      </c>
      <c r="T970" s="86"/>
      <c r="U970" s="86"/>
      <c r="V970" s="86"/>
      <c r="W970" s="88"/>
      <c r="X970" s="92" t="str">
        <f aca="true">IF(W970="","",IF(OR(O970="28 - Encerrado",O970="27 - Instalação concluída"),"Concluído",TODAY()-INT(W970)))</f>
        <v/>
      </c>
      <c r="Y970" s="91" t="str">
        <f aca="false">IF(OR(O970="28 - Encerrado",O970="27 - Instalação concluída"),"OK",IF(AND(B970&lt;&gt;"",S970=""),"ATENÇÃO (Sem data de atualização)",IF(S970="","",IF(S970&gt;30,"CRÍTICO (Sem Atualização &gt;30 dias)",IF(S970&gt;15,"ATENÇÃO (Sem Atualização &gt;15 dias)",IF(X970&gt;90,"CRÍTICO (Aberto &gt;90 dias)","OK"))))))</f>
        <v/>
      </c>
      <c r="Z970" s="90" t="str">
        <f aca="false">IF(B970="","",IF(OR(O970="27 - Instalação concluída",O970="28 - Encerrado"),"OK",IF(NOT(ISNUMBER(X970)),"",IF(X970&gt;365,"MUITO ANTIGO (&gt;1 ano)",IF(X970&gt;180,"ANTIGO (&gt;6 meses)",IF(X970&gt;90,"ATENÇÃO ANTIG. (&gt;3 meses)","OK"))))))</f>
        <v/>
      </c>
      <c r="AA970" s="91"/>
    </row>
    <row r="971" customFormat="false" ht="16.5" hidden="false" customHeight="true" outlineLevel="0" collapsed="false">
      <c r="A971" s="86"/>
      <c r="B971" s="91"/>
      <c r="C971" s="91" t="str">
        <f aca="false">IF(D971="","",IFERROR(INDEX(CADASTRO_VIVO_3CRE!$B$2:$B$150,MATCH(D971,CADASTRO_VIVO_3CRE!$E$2:$E$150,0)),""))</f>
        <v/>
      </c>
      <c r="D971" s="91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8"/>
      <c r="S971" s="92" t="str">
        <f aca="true">IF(R971="","",TODAY()-INT(R971))</f>
        <v/>
      </c>
      <c r="T971" s="86"/>
      <c r="U971" s="86"/>
      <c r="V971" s="86"/>
      <c r="W971" s="88"/>
      <c r="X971" s="92" t="str">
        <f aca="true">IF(W971="","",IF(OR(O971="28 - Encerrado",O971="27 - Instalação concluída"),"Concluído",TODAY()-INT(W971)))</f>
        <v/>
      </c>
      <c r="Y971" s="91" t="str">
        <f aca="false">IF(OR(O971="28 - Encerrado",O971="27 - Instalação concluída"),"OK",IF(AND(B971&lt;&gt;"",S971=""),"ATENÇÃO (Sem data de atualização)",IF(S971="","",IF(S971&gt;30,"CRÍTICO (Sem Atualização &gt;30 dias)",IF(S971&gt;15,"ATENÇÃO (Sem Atualização &gt;15 dias)",IF(X971&gt;90,"CRÍTICO (Aberto &gt;90 dias)","OK"))))))</f>
        <v/>
      </c>
      <c r="Z971" s="90" t="str">
        <f aca="false">IF(B971="","",IF(OR(O971="27 - Instalação concluída",O971="28 - Encerrado"),"OK",IF(NOT(ISNUMBER(X971)),"",IF(X971&gt;365,"MUITO ANTIGO (&gt;1 ano)",IF(X971&gt;180,"ANTIGO (&gt;6 meses)",IF(X971&gt;90,"ATENÇÃO ANTIG. (&gt;3 meses)","OK"))))))</f>
        <v/>
      </c>
      <c r="AA971" s="91"/>
    </row>
    <row r="972" customFormat="false" ht="16.5" hidden="false" customHeight="true" outlineLevel="0" collapsed="false">
      <c r="A972" s="86"/>
      <c r="B972" s="91"/>
      <c r="C972" s="91" t="str">
        <f aca="false">IF(D972="","",IFERROR(INDEX(CADASTRO_VIVO_3CRE!$B$2:$B$150,MATCH(D972,CADASTRO_VIVO_3CRE!$E$2:$E$150,0)),""))</f>
        <v/>
      </c>
      <c r="D972" s="91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8"/>
      <c r="S972" s="92" t="str">
        <f aca="true">IF(R972="","",TODAY()-INT(R972))</f>
        <v/>
      </c>
      <c r="T972" s="86"/>
      <c r="U972" s="86"/>
      <c r="V972" s="86"/>
      <c r="W972" s="88"/>
      <c r="X972" s="92" t="str">
        <f aca="true">IF(W972="","",IF(OR(O972="28 - Encerrado",O972="27 - Instalação concluída"),"Concluído",TODAY()-INT(W972)))</f>
        <v/>
      </c>
      <c r="Y972" s="91" t="str">
        <f aca="false">IF(OR(O972="28 - Encerrado",O972="27 - Instalação concluída"),"OK",IF(AND(B972&lt;&gt;"",S972=""),"ATENÇÃO (Sem data de atualização)",IF(S972="","",IF(S972&gt;30,"CRÍTICO (Sem Atualização &gt;30 dias)",IF(S972&gt;15,"ATENÇÃO (Sem Atualização &gt;15 dias)",IF(X972&gt;90,"CRÍTICO (Aberto &gt;90 dias)","OK"))))))</f>
        <v/>
      </c>
      <c r="Z972" s="90" t="str">
        <f aca="false">IF(B972="","",IF(OR(O972="27 - Instalação concluída",O972="28 - Encerrado"),"OK",IF(NOT(ISNUMBER(X972)),"",IF(X972&gt;365,"MUITO ANTIGO (&gt;1 ano)",IF(X972&gt;180,"ANTIGO (&gt;6 meses)",IF(X972&gt;90,"ATENÇÃO ANTIG. (&gt;3 meses)","OK"))))))</f>
        <v/>
      </c>
      <c r="AA972" s="91"/>
    </row>
    <row r="973" customFormat="false" ht="16.5" hidden="false" customHeight="true" outlineLevel="0" collapsed="false">
      <c r="A973" s="86"/>
      <c r="B973" s="91"/>
      <c r="C973" s="91" t="str">
        <f aca="false">IF(D973="","",IFERROR(INDEX(CADASTRO_VIVO_3CRE!$B$2:$B$150,MATCH(D973,CADASTRO_VIVO_3CRE!$E$2:$E$150,0)),""))</f>
        <v/>
      </c>
      <c r="D973" s="91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8"/>
      <c r="S973" s="92" t="str">
        <f aca="true">IF(R973="","",TODAY()-INT(R973))</f>
        <v/>
      </c>
      <c r="T973" s="86"/>
      <c r="U973" s="86"/>
      <c r="V973" s="86"/>
      <c r="W973" s="88"/>
      <c r="X973" s="92" t="str">
        <f aca="true">IF(W973="","",IF(OR(O973="28 - Encerrado",O973="27 - Instalação concluída"),"Concluído",TODAY()-INT(W973)))</f>
        <v/>
      </c>
      <c r="Y973" s="91" t="str">
        <f aca="false">IF(OR(O973="28 - Encerrado",O973="27 - Instalação concluída"),"OK",IF(AND(B973&lt;&gt;"",S973=""),"ATENÇÃO (Sem data de atualização)",IF(S973="","",IF(S973&gt;30,"CRÍTICO (Sem Atualização &gt;30 dias)",IF(S973&gt;15,"ATENÇÃO (Sem Atualização &gt;15 dias)",IF(X973&gt;90,"CRÍTICO (Aberto &gt;90 dias)","OK"))))))</f>
        <v/>
      </c>
      <c r="Z973" s="90" t="str">
        <f aca="false">IF(B973="","",IF(OR(O973="27 - Instalação concluída",O973="28 - Encerrado"),"OK",IF(NOT(ISNUMBER(X973)),"",IF(X973&gt;365,"MUITO ANTIGO (&gt;1 ano)",IF(X973&gt;180,"ANTIGO (&gt;6 meses)",IF(X973&gt;90,"ATENÇÃO ANTIG. (&gt;3 meses)","OK"))))))</f>
        <v/>
      </c>
      <c r="AA973" s="91"/>
    </row>
    <row r="974" customFormat="false" ht="16.5" hidden="false" customHeight="true" outlineLevel="0" collapsed="false">
      <c r="A974" s="86"/>
      <c r="B974" s="91"/>
      <c r="C974" s="91" t="str">
        <f aca="false">IF(D974="","",IFERROR(INDEX(CADASTRO_VIVO_3CRE!$B$2:$B$150,MATCH(D974,CADASTRO_VIVO_3CRE!$E$2:$E$150,0)),""))</f>
        <v/>
      </c>
      <c r="D974" s="91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8"/>
      <c r="S974" s="92" t="str">
        <f aca="true">IF(R974="","",TODAY()-INT(R974))</f>
        <v/>
      </c>
      <c r="T974" s="86"/>
      <c r="U974" s="86"/>
      <c r="V974" s="86"/>
      <c r="W974" s="88"/>
      <c r="X974" s="92" t="str">
        <f aca="true">IF(W974="","",IF(OR(O974="28 - Encerrado",O974="27 - Instalação concluída"),"Concluído",TODAY()-INT(W974)))</f>
        <v/>
      </c>
      <c r="Y974" s="91" t="str">
        <f aca="false">IF(OR(O974="28 - Encerrado",O974="27 - Instalação concluída"),"OK",IF(AND(B974&lt;&gt;"",S974=""),"ATENÇÃO (Sem data de atualização)",IF(S974="","",IF(S974&gt;30,"CRÍTICO (Sem Atualização &gt;30 dias)",IF(S974&gt;15,"ATENÇÃO (Sem Atualização &gt;15 dias)",IF(X974&gt;90,"CRÍTICO (Aberto &gt;90 dias)","OK"))))))</f>
        <v/>
      </c>
      <c r="Z974" s="90" t="str">
        <f aca="false">IF(B974="","",IF(OR(O974="27 - Instalação concluída",O974="28 - Encerrado"),"OK",IF(NOT(ISNUMBER(X974)),"",IF(X974&gt;365,"MUITO ANTIGO (&gt;1 ano)",IF(X974&gt;180,"ANTIGO (&gt;6 meses)",IF(X974&gt;90,"ATENÇÃO ANTIG. (&gt;3 meses)","OK"))))))</f>
        <v/>
      </c>
      <c r="AA974" s="91"/>
    </row>
    <row r="975" customFormat="false" ht="16.5" hidden="false" customHeight="true" outlineLevel="0" collapsed="false">
      <c r="A975" s="86"/>
      <c r="B975" s="91"/>
      <c r="C975" s="91" t="str">
        <f aca="false">IF(D975="","",IFERROR(INDEX(CADASTRO_VIVO_3CRE!$B$2:$B$150,MATCH(D975,CADASTRO_VIVO_3CRE!$E$2:$E$150,0)),""))</f>
        <v/>
      </c>
      <c r="D975" s="91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8"/>
      <c r="S975" s="92" t="str">
        <f aca="true">IF(R975="","",TODAY()-INT(R975))</f>
        <v/>
      </c>
      <c r="T975" s="86"/>
      <c r="U975" s="86"/>
      <c r="V975" s="86"/>
      <c r="W975" s="88"/>
      <c r="X975" s="92" t="str">
        <f aca="true">IF(W975="","",IF(OR(O975="28 - Encerrado",O975="27 - Instalação concluída"),"Concluído",TODAY()-INT(W975)))</f>
        <v/>
      </c>
      <c r="Y975" s="91" t="str">
        <f aca="false">IF(OR(O975="28 - Encerrado",O975="27 - Instalação concluída"),"OK",IF(AND(B975&lt;&gt;"",S975=""),"ATENÇÃO (Sem data de atualização)",IF(S975="","",IF(S975&gt;30,"CRÍTICO (Sem Atualização &gt;30 dias)",IF(S975&gt;15,"ATENÇÃO (Sem Atualização &gt;15 dias)",IF(X975&gt;90,"CRÍTICO (Aberto &gt;90 dias)","OK"))))))</f>
        <v/>
      </c>
      <c r="Z975" s="90" t="str">
        <f aca="false">IF(B975="","",IF(OR(O975="27 - Instalação concluída",O975="28 - Encerrado"),"OK",IF(NOT(ISNUMBER(X975)),"",IF(X975&gt;365,"MUITO ANTIGO (&gt;1 ano)",IF(X975&gt;180,"ANTIGO (&gt;6 meses)",IF(X975&gt;90,"ATENÇÃO ANTIG. (&gt;3 meses)","OK"))))))</f>
        <v/>
      </c>
      <c r="AA975" s="91"/>
    </row>
    <row r="976" customFormat="false" ht="16.5" hidden="false" customHeight="true" outlineLevel="0" collapsed="false">
      <c r="A976" s="86"/>
      <c r="B976" s="91"/>
      <c r="C976" s="91" t="str">
        <f aca="false">IF(D976="","",IFERROR(INDEX(CADASTRO_VIVO_3CRE!$B$2:$B$150,MATCH(D976,CADASTRO_VIVO_3CRE!$E$2:$E$150,0)),""))</f>
        <v/>
      </c>
      <c r="D976" s="91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8"/>
      <c r="S976" s="92" t="str">
        <f aca="true">IF(R976="","",TODAY()-INT(R976))</f>
        <v/>
      </c>
      <c r="T976" s="86"/>
      <c r="U976" s="86"/>
      <c r="V976" s="86"/>
      <c r="W976" s="88"/>
      <c r="X976" s="92" t="str">
        <f aca="true">IF(W976="","",IF(OR(O976="28 - Encerrado",O976="27 - Instalação concluída"),"Concluído",TODAY()-INT(W976)))</f>
        <v/>
      </c>
      <c r="Y976" s="91" t="str">
        <f aca="false">IF(OR(O976="28 - Encerrado",O976="27 - Instalação concluída"),"OK",IF(AND(B976&lt;&gt;"",S976=""),"ATENÇÃO (Sem data de atualização)",IF(S976="","",IF(S976&gt;30,"CRÍTICO (Sem Atualização &gt;30 dias)",IF(S976&gt;15,"ATENÇÃO (Sem Atualização &gt;15 dias)",IF(X976&gt;90,"CRÍTICO (Aberto &gt;90 dias)","OK"))))))</f>
        <v/>
      </c>
      <c r="Z976" s="90" t="str">
        <f aca="false">IF(B976="","",IF(OR(O976="27 - Instalação concluída",O976="28 - Encerrado"),"OK",IF(NOT(ISNUMBER(X976)),"",IF(X976&gt;365,"MUITO ANTIGO (&gt;1 ano)",IF(X976&gt;180,"ANTIGO (&gt;6 meses)",IF(X976&gt;90,"ATENÇÃO ANTIG. (&gt;3 meses)","OK"))))))</f>
        <v/>
      </c>
      <c r="AA976" s="91"/>
    </row>
    <row r="977" customFormat="false" ht="16.5" hidden="false" customHeight="true" outlineLevel="0" collapsed="false">
      <c r="A977" s="86"/>
      <c r="B977" s="91"/>
      <c r="C977" s="91" t="str">
        <f aca="false">IF(D977="","",IFERROR(INDEX(CADASTRO_VIVO_3CRE!$B$2:$B$150,MATCH(D977,CADASTRO_VIVO_3CRE!$E$2:$E$150,0)),""))</f>
        <v/>
      </c>
      <c r="D977" s="91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8"/>
      <c r="S977" s="92" t="str">
        <f aca="true">IF(R977="","",TODAY()-INT(R977))</f>
        <v/>
      </c>
      <c r="T977" s="86"/>
      <c r="U977" s="86"/>
      <c r="V977" s="86"/>
      <c r="W977" s="88"/>
      <c r="X977" s="92" t="str">
        <f aca="true">IF(W977="","",IF(OR(O977="28 - Encerrado",O977="27 - Instalação concluída"),"Concluído",TODAY()-INT(W977)))</f>
        <v/>
      </c>
      <c r="Y977" s="91" t="str">
        <f aca="false">IF(OR(O977="28 - Encerrado",O977="27 - Instalação concluída"),"OK",IF(AND(B977&lt;&gt;"",S977=""),"ATENÇÃO (Sem data de atualização)",IF(S977="","",IF(S977&gt;30,"CRÍTICO (Sem Atualização &gt;30 dias)",IF(S977&gt;15,"ATENÇÃO (Sem Atualização &gt;15 dias)",IF(X977&gt;90,"CRÍTICO (Aberto &gt;90 dias)","OK"))))))</f>
        <v/>
      </c>
      <c r="Z977" s="90" t="str">
        <f aca="false">IF(B977="","",IF(OR(O977="27 - Instalação concluída",O977="28 - Encerrado"),"OK",IF(NOT(ISNUMBER(X977)),"",IF(X977&gt;365,"MUITO ANTIGO (&gt;1 ano)",IF(X977&gt;180,"ANTIGO (&gt;6 meses)",IF(X977&gt;90,"ATENÇÃO ANTIG. (&gt;3 meses)","OK"))))))</f>
        <v/>
      </c>
      <c r="AA977" s="91"/>
    </row>
    <row r="978" customFormat="false" ht="16.5" hidden="false" customHeight="true" outlineLevel="0" collapsed="false">
      <c r="A978" s="86"/>
      <c r="B978" s="91"/>
      <c r="C978" s="91" t="str">
        <f aca="false">IF(D978="","",IFERROR(INDEX(CADASTRO_VIVO_3CRE!$B$2:$B$150,MATCH(D978,CADASTRO_VIVO_3CRE!$E$2:$E$150,0)),""))</f>
        <v/>
      </c>
      <c r="D978" s="91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8"/>
      <c r="S978" s="92" t="str">
        <f aca="true">IF(R978="","",TODAY()-INT(R978))</f>
        <v/>
      </c>
      <c r="T978" s="86"/>
      <c r="U978" s="86"/>
      <c r="V978" s="86"/>
      <c r="W978" s="88"/>
      <c r="X978" s="92" t="str">
        <f aca="true">IF(W978="","",IF(OR(O978="28 - Encerrado",O978="27 - Instalação concluída"),"Concluído",TODAY()-INT(W978)))</f>
        <v/>
      </c>
      <c r="Y978" s="91" t="str">
        <f aca="false">IF(OR(O978="28 - Encerrado",O978="27 - Instalação concluída"),"OK",IF(AND(B978&lt;&gt;"",S978=""),"ATENÇÃO (Sem data de atualização)",IF(S978="","",IF(S978&gt;30,"CRÍTICO (Sem Atualização &gt;30 dias)",IF(S978&gt;15,"ATENÇÃO (Sem Atualização &gt;15 dias)",IF(X978&gt;90,"CRÍTICO (Aberto &gt;90 dias)","OK"))))))</f>
        <v/>
      </c>
      <c r="Z978" s="90" t="str">
        <f aca="false">IF(B978="","",IF(OR(O978="27 - Instalação concluída",O978="28 - Encerrado"),"OK",IF(NOT(ISNUMBER(X978)),"",IF(X978&gt;365,"MUITO ANTIGO (&gt;1 ano)",IF(X978&gt;180,"ANTIGO (&gt;6 meses)",IF(X978&gt;90,"ATENÇÃO ANTIG. (&gt;3 meses)","OK"))))))</f>
        <v/>
      </c>
      <c r="AA978" s="91"/>
    </row>
    <row r="979" customFormat="false" ht="16.5" hidden="false" customHeight="true" outlineLevel="0" collapsed="false">
      <c r="A979" s="86"/>
      <c r="B979" s="91"/>
      <c r="C979" s="91" t="str">
        <f aca="false">IF(D979="","",IFERROR(INDEX(CADASTRO_VIVO_3CRE!$B$2:$B$150,MATCH(D979,CADASTRO_VIVO_3CRE!$E$2:$E$150,0)),""))</f>
        <v/>
      </c>
      <c r="D979" s="91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8"/>
      <c r="S979" s="92" t="str">
        <f aca="true">IF(R979="","",TODAY()-INT(R979))</f>
        <v/>
      </c>
      <c r="T979" s="86"/>
      <c r="U979" s="86"/>
      <c r="V979" s="86"/>
      <c r="W979" s="88"/>
      <c r="X979" s="92" t="str">
        <f aca="true">IF(W979="","",IF(OR(O979="28 - Encerrado",O979="27 - Instalação concluída"),"Concluído",TODAY()-INT(W979)))</f>
        <v/>
      </c>
      <c r="Y979" s="91" t="str">
        <f aca="false">IF(OR(O979="28 - Encerrado",O979="27 - Instalação concluída"),"OK",IF(AND(B979&lt;&gt;"",S979=""),"ATENÇÃO (Sem data de atualização)",IF(S979="","",IF(S979&gt;30,"CRÍTICO (Sem Atualização &gt;30 dias)",IF(S979&gt;15,"ATENÇÃO (Sem Atualização &gt;15 dias)",IF(X979&gt;90,"CRÍTICO (Aberto &gt;90 dias)","OK"))))))</f>
        <v/>
      </c>
      <c r="Z979" s="90" t="str">
        <f aca="false">IF(B979="","",IF(OR(O979="27 - Instalação concluída",O979="28 - Encerrado"),"OK",IF(NOT(ISNUMBER(X979)),"",IF(X979&gt;365,"MUITO ANTIGO (&gt;1 ano)",IF(X979&gt;180,"ANTIGO (&gt;6 meses)",IF(X979&gt;90,"ATENÇÃO ANTIG. (&gt;3 meses)","OK"))))))</f>
        <v/>
      </c>
      <c r="AA979" s="91"/>
    </row>
    <row r="980" customFormat="false" ht="16.5" hidden="false" customHeight="true" outlineLevel="0" collapsed="false">
      <c r="A980" s="86"/>
      <c r="B980" s="91"/>
      <c r="C980" s="91" t="str">
        <f aca="false">IF(D980="","",IFERROR(INDEX(CADASTRO_VIVO_3CRE!$B$2:$B$150,MATCH(D980,CADASTRO_VIVO_3CRE!$E$2:$E$150,0)),""))</f>
        <v/>
      </c>
      <c r="D980" s="91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8"/>
      <c r="S980" s="92" t="str">
        <f aca="true">IF(R980="","",TODAY()-INT(R980))</f>
        <v/>
      </c>
      <c r="T980" s="86"/>
      <c r="U980" s="86"/>
      <c r="V980" s="86"/>
      <c r="W980" s="88"/>
      <c r="X980" s="92" t="str">
        <f aca="true">IF(W980="","",IF(OR(O980="28 - Encerrado",O980="27 - Instalação concluída"),"Concluído",TODAY()-INT(W980)))</f>
        <v/>
      </c>
      <c r="Y980" s="91" t="str">
        <f aca="false">IF(OR(O980="28 - Encerrado",O980="27 - Instalação concluída"),"OK",IF(AND(B980&lt;&gt;"",S980=""),"ATENÇÃO (Sem data de atualização)",IF(S980="","",IF(S980&gt;30,"CRÍTICO (Sem Atualização &gt;30 dias)",IF(S980&gt;15,"ATENÇÃO (Sem Atualização &gt;15 dias)",IF(X980&gt;90,"CRÍTICO (Aberto &gt;90 dias)","OK"))))))</f>
        <v/>
      </c>
      <c r="Z980" s="90" t="str">
        <f aca="false">IF(B980="","",IF(OR(O980="27 - Instalação concluída",O980="28 - Encerrado"),"OK",IF(NOT(ISNUMBER(X980)),"",IF(X980&gt;365,"MUITO ANTIGO (&gt;1 ano)",IF(X980&gt;180,"ANTIGO (&gt;6 meses)",IF(X980&gt;90,"ATENÇÃO ANTIG. (&gt;3 meses)","OK"))))))</f>
        <v/>
      </c>
      <c r="AA980" s="91"/>
    </row>
    <row r="981" customFormat="false" ht="16.5" hidden="false" customHeight="true" outlineLevel="0" collapsed="false">
      <c r="A981" s="86"/>
      <c r="B981" s="91"/>
      <c r="C981" s="91" t="str">
        <f aca="false">IF(D981="","",IFERROR(INDEX(CADASTRO_VIVO_3CRE!$B$2:$B$150,MATCH(D981,CADASTRO_VIVO_3CRE!$E$2:$E$150,0)),""))</f>
        <v/>
      </c>
      <c r="D981" s="91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8"/>
      <c r="S981" s="92" t="str">
        <f aca="true">IF(R981="","",TODAY()-INT(R981))</f>
        <v/>
      </c>
      <c r="T981" s="86"/>
      <c r="U981" s="86"/>
      <c r="V981" s="86"/>
      <c r="W981" s="88"/>
      <c r="X981" s="92" t="str">
        <f aca="true">IF(W981="","",IF(OR(O981="28 - Encerrado",O981="27 - Instalação concluída"),"Concluído",TODAY()-INT(W981)))</f>
        <v/>
      </c>
      <c r="Y981" s="91" t="str">
        <f aca="false">IF(OR(O981="28 - Encerrado",O981="27 - Instalação concluída"),"OK",IF(AND(B981&lt;&gt;"",S981=""),"ATENÇÃO (Sem data de atualização)",IF(S981="","",IF(S981&gt;30,"CRÍTICO (Sem Atualização &gt;30 dias)",IF(S981&gt;15,"ATENÇÃO (Sem Atualização &gt;15 dias)",IF(X981&gt;90,"CRÍTICO (Aberto &gt;90 dias)","OK"))))))</f>
        <v/>
      </c>
      <c r="Z981" s="90" t="str">
        <f aca="false">IF(B981="","",IF(OR(O981="27 - Instalação concluída",O981="28 - Encerrado"),"OK",IF(NOT(ISNUMBER(X981)),"",IF(X981&gt;365,"MUITO ANTIGO (&gt;1 ano)",IF(X981&gt;180,"ANTIGO (&gt;6 meses)",IF(X981&gt;90,"ATENÇÃO ANTIG. (&gt;3 meses)","OK"))))))</f>
        <v/>
      </c>
      <c r="AA981" s="91"/>
    </row>
    <row r="982" customFormat="false" ht="16.5" hidden="false" customHeight="true" outlineLevel="0" collapsed="false">
      <c r="A982" s="86"/>
      <c r="B982" s="91"/>
      <c r="C982" s="91" t="str">
        <f aca="false">IF(D982="","",IFERROR(INDEX(CADASTRO_VIVO_3CRE!$B$2:$B$150,MATCH(D982,CADASTRO_VIVO_3CRE!$E$2:$E$150,0)),""))</f>
        <v/>
      </c>
      <c r="D982" s="91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8"/>
      <c r="S982" s="92" t="str">
        <f aca="true">IF(R982="","",TODAY()-INT(R982))</f>
        <v/>
      </c>
      <c r="T982" s="86"/>
      <c r="U982" s="86"/>
      <c r="V982" s="86"/>
      <c r="W982" s="88"/>
      <c r="X982" s="92" t="str">
        <f aca="true">IF(W982="","",IF(OR(O982="28 - Encerrado",O982="27 - Instalação concluída"),"Concluído",TODAY()-INT(W982)))</f>
        <v/>
      </c>
      <c r="Y982" s="91" t="str">
        <f aca="false">IF(OR(O982="28 - Encerrado",O982="27 - Instalação concluída"),"OK",IF(AND(B982&lt;&gt;"",S982=""),"ATENÇÃO (Sem data de atualização)",IF(S982="","",IF(S982&gt;30,"CRÍTICO (Sem Atualização &gt;30 dias)",IF(S982&gt;15,"ATENÇÃO (Sem Atualização &gt;15 dias)",IF(X982&gt;90,"CRÍTICO (Aberto &gt;90 dias)","OK"))))))</f>
        <v/>
      </c>
      <c r="Z982" s="90" t="str">
        <f aca="false">IF(B982="","",IF(OR(O982="27 - Instalação concluída",O982="28 - Encerrado"),"OK",IF(NOT(ISNUMBER(X982)),"",IF(X982&gt;365,"MUITO ANTIGO (&gt;1 ano)",IF(X982&gt;180,"ANTIGO (&gt;6 meses)",IF(X982&gt;90,"ATENÇÃO ANTIG. (&gt;3 meses)","OK"))))))</f>
        <v/>
      </c>
      <c r="AA982" s="91"/>
    </row>
    <row r="983" customFormat="false" ht="16.5" hidden="false" customHeight="true" outlineLevel="0" collapsed="false">
      <c r="A983" s="86"/>
      <c r="B983" s="91"/>
      <c r="C983" s="91" t="str">
        <f aca="false">IF(D983="","",IFERROR(INDEX(CADASTRO_VIVO_3CRE!$B$2:$B$150,MATCH(D983,CADASTRO_VIVO_3CRE!$E$2:$E$150,0)),""))</f>
        <v/>
      </c>
      <c r="D983" s="91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8"/>
      <c r="S983" s="92" t="str">
        <f aca="true">IF(R983="","",TODAY()-INT(R983))</f>
        <v/>
      </c>
      <c r="T983" s="86"/>
      <c r="U983" s="86"/>
      <c r="V983" s="86"/>
      <c r="W983" s="88"/>
      <c r="X983" s="92" t="str">
        <f aca="true">IF(W983="","",IF(OR(O983="28 - Encerrado",O983="27 - Instalação concluída"),"Concluído",TODAY()-INT(W983)))</f>
        <v/>
      </c>
      <c r="Y983" s="91" t="str">
        <f aca="false">IF(OR(O983="28 - Encerrado",O983="27 - Instalação concluída"),"OK",IF(AND(B983&lt;&gt;"",S983=""),"ATENÇÃO (Sem data de atualização)",IF(S983="","",IF(S983&gt;30,"CRÍTICO (Sem Atualização &gt;30 dias)",IF(S983&gt;15,"ATENÇÃO (Sem Atualização &gt;15 dias)",IF(X983&gt;90,"CRÍTICO (Aberto &gt;90 dias)","OK"))))))</f>
        <v/>
      </c>
      <c r="Z983" s="90" t="str">
        <f aca="false">IF(B983="","",IF(OR(O983="27 - Instalação concluída",O983="28 - Encerrado"),"OK",IF(NOT(ISNUMBER(X983)),"",IF(X983&gt;365,"MUITO ANTIGO (&gt;1 ano)",IF(X983&gt;180,"ANTIGO (&gt;6 meses)",IF(X983&gt;90,"ATENÇÃO ANTIG. (&gt;3 meses)","OK"))))))</f>
        <v/>
      </c>
      <c r="AA983" s="91"/>
    </row>
    <row r="984" customFormat="false" ht="16.5" hidden="false" customHeight="true" outlineLevel="0" collapsed="false">
      <c r="A984" s="86"/>
      <c r="B984" s="91"/>
      <c r="C984" s="91" t="str">
        <f aca="false">IF(D984="","",IFERROR(INDEX(CADASTRO_VIVO_3CRE!$B$2:$B$150,MATCH(D984,CADASTRO_VIVO_3CRE!$E$2:$E$150,0)),""))</f>
        <v/>
      </c>
      <c r="D984" s="91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8"/>
      <c r="S984" s="92" t="str">
        <f aca="true">IF(R984="","",TODAY()-INT(R984))</f>
        <v/>
      </c>
      <c r="T984" s="86"/>
      <c r="U984" s="86"/>
      <c r="V984" s="86"/>
      <c r="W984" s="88"/>
      <c r="X984" s="92" t="str">
        <f aca="true">IF(W984="","",IF(OR(O984="28 - Encerrado",O984="27 - Instalação concluída"),"Concluído",TODAY()-INT(W984)))</f>
        <v/>
      </c>
      <c r="Y984" s="91" t="str">
        <f aca="false">IF(OR(O984="28 - Encerrado",O984="27 - Instalação concluída"),"OK",IF(AND(B984&lt;&gt;"",S984=""),"ATENÇÃO (Sem data de atualização)",IF(S984="","",IF(S984&gt;30,"CRÍTICO (Sem Atualização &gt;30 dias)",IF(S984&gt;15,"ATENÇÃO (Sem Atualização &gt;15 dias)",IF(X984&gt;90,"CRÍTICO (Aberto &gt;90 dias)","OK"))))))</f>
        <v/>
      </c>
      <c r="Z984" s="90" t="str">
        <f aca="false">IF(B984="","",IF(OR(O984="27 - Instalação concluída",O984="28 - Encerrado"),"OK",IF(NOT(ISNUMBER(X984)),"",IF(X984&gt;365,"MUITO ANTIGO (&gt;1 ano)",IF(X984&gt;180,"ANTIGO (&gt;6 meses)",IF(X984&gt;90,"ATENÇÃO ANTIG. (&gt;3 meses)","OK"))))))</f>
        <v/>
      </c>
      <c r="AA984" s="91"/>
    </row>
    <row r="985" customFormat="false" ht="16.5" hidden="false" customHeight="true" outlineLevel="0" collapsed="false">
      <c r="A985" s="86"/>
      <c r="B985" s="91"/>
      <c r="C985" s="91" t="str">
        <f aca="false">IF(D985="","",IFERROR(INDEX(CADASTRO_VIVO_3CRE!$B$2:$B$150,MATCH(D985,CADASTRO_VIVO_3CRE!$E$2:$E$150,0)),""))</f>
        <v/>
      </c>
      <c r="D985" s="91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8"/>
      <c r="S985" s="92" t="str">
        <f aca="true">IF(R985="","",TODAY()-INT(R985))</f>
        <v/>
      </c>
      <c r="T985" s="86"/>
      <c r="U985" s="86"/>
      <c r="V985" s="86"/>
      <c r="W985" s="88"/>
      <c r="X985" s="92" t="str">
        <f aca="true">IF(W985="","",IF(OR(O985="28 - Encerrado",O985="27 - Instalação concluída"),"Concluído",TODAY()-INT(W985)))</f>
        <v/>
      </c>
      <c r="Y985" s="91" t="str">
        <f aca="false">IF(OR(O985="28 - Encerrado",O985="27 - Instalação concluída"),"OK",IF(AND(B985&lt;&gt;"",S985=""),"ATENÇÃO (Sem data de atualização)",IF(S985="","",IF(S985&gt;30,"CRÍTICO (Sem Atualização &gt;30 dias)",IF(S985&gt;15,"ATENÇÃO (Sem Atualização &gt;15 dias)",IF(X985&gt;90,"CRÍTICO (Aberto &gt;90 dias)","OK"))))))</f>
        <v/>
      </c>
      <c r="Z985" s="90" t="str">
        <f aca="false">IF(B985="","",IF(OR(O985="27 - Instalação concluída",O985="28 - Encerrado"),"OK",IF(NOT(ISNUMBER(X985)),"",IF(X985&gt;365,"MUITO ANTIGO (&gt;1 ano)",IF(X985&gt;180,"ANTIGO (&gt;6 meses)",IF(X985&gt;90,"ATENÇÃO ANTIG. (&gt;3 meses)","OK"))))))</f>
        <v/>
      </c>
      <c r="AA985" s="91"/>
    </row>
    <row r="986" customFormat="false" ht="16.5" hidden="false" customHeight="true" outlineLevel="0" collapsed="false">
      <c r="A986" s="86"/>
      <c r="B986" s="91"/>
      <c r="C986" s="91" t="str">
        <f aca="false">IF(D986="","",IFERROR(INDEX(CADASTRO_VIVO_3CRE!$B$2:$B$150,MATCH(D986,CADASTRO_VIVO_3CRE!$E$2:$E$150,0)),""))</f>
        <v/>
      </c>
      <c r="D986" s="91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8"/>
      <c r="S986" s="92" t="str">
        <f aca="true">IF(R986="","",TODAY()-INT(R986))</f>
        <v/>
      </c>
      <c r="T986" s="86"/>
      <c r="U986" s="86"/>
      <c r="V986" s="86"/>
      <c r="W986" s="88"/>
      <c r="X986" s="92" t="str">
        <f aca="true">IF(W986="","",IF(OR(O986="28 - Encerrado",O986="27 - Instalação concluída"),"Concluído",TODAY()-INT(W986)))</f>
        <v/>
      </c>
      <c r="Y986" s="91" t="str">
        <f aca="false">IF(OR(O986="28 - Encerrado",O986="27 - Instalação concluída"),"OK",IF(AND(B986&lt;&gt;"",S986=""),"ATENÇÃO (Sem data de atualização)",IF(S986="","",IF(S986&gt;30,"CRÍTICO (Sem Atualização &gt;30 dias)",IF(S986&gt;15,"ATENÇÃO (Sem Atualização &gt;15 dias)",IF(X986&gt;90,"CRÍTICO (Aberto &gt;90 dias)","OK"))))))</f>
        <v/>
      </c>
      <c r="Z986" s="90" t="str">
        <f aca="false">IF(B986="","",IF(OR(O986="27 - Instalação concluída",O986="28 - Encerrado"),"OK",IF(NOT(ISNUMBER(X986)),"",IF(X986&gt;365,"MUITO ANTIGO (&gt;1 ano)",IF(X986&gt;180,"ANTIGO (&gt;6 meses)",IF(X986&gt;90,"ATENÇÃO ANTIG. (&gt;3 meses)","OK"))))))</f>
        <v/>
      </c>
      <c r="AA986" s="91"/>
    </row>
    <row r="987" customFormat="false" ht="16.5" hidden="false" customHeight="true" outlineLevel="0" collapsed="false">
      <c r="A987" s="86"/>
      <c r="B987" s="91"/>
      <c r="C987" s="91" t="str">
        <f aca="false">IF(D987="","",IFERROR(INDEX(CADASTRO_VIVO_3CRE!$B$2:$B$150,MATCH(D987,CADASTRO_VIVO_3CRE!$E$2:$E$150,0)),""))</f>
        <v/>
      </c>
      <c r="D987" s="91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8"/>
      <c r="S987" s="92" t="str">
        <f aca="true">IF(R987="","",TODAY()-INT(R987))</f>
        <v/>
      </c>
      <c r="T987" s="86"/>
      <c r="U987" s="86"/>
      <c r="V987" s="86"/>
      <c r="W987" s="88"/>
      <c r="X987" s="92" t="str">
        <f aca="true">IF(W987="","",IF(OR(O987="28 - Encerrado",O987="27 - Instalação concluída"),"Concluído",TODAY()-INT(W987)))</f>
        <v/>
      </c>
      <c r="Y987" s="91" t="str">
        <f aca="false">IF(OR(O987="28 - Encerrado",O987="27 - Instalação concluída"),"OK",IF(AND(B987&lt;&gt;"",S987=""),"ATENÇÃO (Sem data de atualização)",IF(S987="","",IF(S987&gt;30,"CRÍTICO (Sem Atualização &gt;30 dias)",IF(S987&gt;15,"ATENÇÃO (Sem Atualização &gt;15 dias)",IF(X987&gt;90,"CRÍTICO (Aberto &gt;90 dias)","OK"))))))</f>
        <v/>
      </c>
      <c r="Z987" s="90" t="str">
        <f aca="false">IF(B987="","",IF(OR(O987="27 - Instalação concluída",O987="28 - Encerrado"),"OK",IF(NOT(ISNUMBER(X987)),"",IF(X987&gt;365,"MUITO ANTIGO (&gt;1 ano)",IF(X987&gt;180,"ANTIGO (&gt;6 meses)",IF(X987&gt;90,"ATENÇÃO ANTIG. (&gt;3 meses)","OK"))))))</f>
        <v/>
      </c>
      <c r="AA987" s="91"/>
    </row>
    <row r="988" customFormat="false" ht="16.5" hidden="false" customHeight="true" outlineLevel="0" collapsed="false">
      <c r="A988" s="86"/>
      <c r="B988" s="91"/>
      <c r="C988" s="91" t="str">
        <f aca="false">IF(D988="","",IFERROR(INDEX(CADASTRO_VIVO_3CRE!$B$2:$B$150,MATCH(D988,CADASTRO_VIVO_3CRE!$E$2:$E$150,0)),""))</f>
        <v/>
      </c>
      <c r="D988" s="91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8"/>
      <c r="S988" s="92" t="str">
        <f aca="true">IF(R988="","",TODAY()-INT(R988))</f>
        <v/>
      </c>
      <c r="T988" s="86"/>
      <c r="U988" s="86"/>
      <c r="V988" s="86"/>
      <c r="W988" s="88"/>
      <c r="X988" s="92" t="str">
        <f aca="true">IF(W988="","",IF(OR(O988="28 - Encerrado",O988="27 - Instalação concluída"),"Concluído",TODAY()-INT(W988)))</f>
        <v/>
      </c>
      <c r="Y988" s="91" t="str">
        <f aca="false">IF(OR(O988="28 - Encerrado",O988="27 - Instalação concluída"),"OK",IF(AND(B988&lt;&gt;"",S988=""),"ATENÇÃO (Sem data de atualização)",IF(S988="","",IF(S988&gt;30,"CRÍTICO (Sem Atualização &gt;30 dias)",IF(S988&gt;15,"ATENÇÃO (Sem Atualização &gt;15 dias)",IF(X988&gt;90,"CRÍTICO (Aberto &gt;90 dias)","OK"))))))</f>
        <v/>
      </c>
      <c r="Z988" s="90" t="str">
        <f aca="false">IF(B988="","",IF(OR(O988="27 - Instalação concluída",O988="28 - Encerrado"),"OK",IF(NOT(ISNUMBER(X988)),"",IF(X988&gt;365,"MUITO ANTIGO (&gt;1 ano)",IF(X988&gt;180,"ANTIGO (&gt;6 meses)",IF(X988&gt;90,"ATENÇÃO ANTIG. (&gt;3 meses)","OK"))))))</f>
        <v/>
      </c>
      <c r="AA988" s="91"/>
    </row>
    <row r="989" customFormat="false" ht="16.5" hidden="false" customHeight="true" outlineLevel="0" collapsed="false">
      <c r="A989" s="86"/>
      <c r="B989" s="91"/>
      <c r="C989" s="91" t="str">
        <f aca="false">IF(D989="","",IFERROR(INDEX(CADASTRO_VIVO_3CRE!$B$2:$B$150,MATCH(D989,CADASTRO_VIVO_3CRE!$E$2:$E$150,0)),""))</f>
        <v/>
      </c>
      <c r="D989" s="91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8"/>
      <c r="S989" s="92" t="str">
        <f aca="true">IF(R989="","",TODAY()-INT(R989))</f>
        <v/>
      </c>
      <c r="T989" s="86"/>
      <c r="U989" s="86"/>
      <c r="V989" s="86"/>
      <c r="W989" s="88"/>
      <c r="X989" s="92" t="str">
        <f aca="true">IF(W989="","",IF(OR(O989="28 - Encerrado",O989="27 - Instalação concluída"),"Concluído",TODAY()-INT(W989)))</f>
        <v/>
      </c>
      <c r="Y989" s="91" t="str">
        <f aca="false">IF(OR(O989="28 - Encerrado",O989="27 - Instalação concluída"),"OK",IF(AND(B989&lt;&gt;"",S989=""),"ATENÇÃO (Sem data de atualização)",IF(S989="","",IF(S989&gt;30,"CRÍTICO (Sem Atualização &gt;30 dias)",IF(S989&gt;15,"ATENÇÃO (Sem Atualização &gt;15 dias)",IF(X989&gt;90,"CRÍTICO (Aberto &gt;90 dias)","OK"))))))</f>
        <v/>
      </c>
      <c r="Z989" s="90" t="str">
        <f aca="false">IF(B989="","",IF(OR(O989="27 - Instalação concluída",O989="28 - Encerrado"),"OK",IF(NOT(ISNUMBER(X989)),"",IF(X989&gt;365,"MUITO ANTIGO (&gt;1 ano)",IF(X989&gt;180,"ANTIGO (&gt;6 meses)",IF(X989&gt;90,"ATENÇÃO ANTIG. (&gt;3 meses)","OK"))))))</f>
        <v/>
      </c>
      <c r="AA989" s="91"/>
    </row>
    <row r="990" customFormat="false" ht="16.5" hidden="false" customHeight="true" outlineLevel="0" collapsed="false">
      <c r="A990" s="86"/>
      <c r="B990" s="91"/>
      <c r="C990" s="91" t="str">
        <f aca="false">IF(D990="","",IFERROR(INDEX(CADASTRO_VIVO_3CRE!$B$2:$B$150,MATCH(D990,CADASTRO_VIVO_3CRE!$E$2:$E$150,0)),""))</f>
        <v/>
      </c>
      <c r="D990" s="91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8"/>
      <c r="S990" s="92" t="str">
        <f aca="true">IF(R990="","",TODAY()-INT(R990))</f>
        <v/>
      </c>
      <c r="T990" s="86"/>
      <c r="U990" s="86"/>
      <c r="V990" s="86"/>
      <c r="W990" s="88"/>
      <c r="X990" s="92" t="str">
        <f aca="true">IF(W990="","",IF(OR(O990="28 - Encerrado",O990="27 - Instalação concluída"),"Concluído",TODAY()-INT(W990)))</f>
        <v/>
      </c>
      <c r="Y990" s="91" t="str">
        <f aca="false">IF(OR(O990="28 - Encerrado",O990="27 - Instalação concluída"),"OK",IF(AND(B990&lt;&gt;"",S990=""),"ATENÇÃO (Sem data de atualização)",IF(S990="","",IF(S990&gt;30,"CRÍTICO (Sem Atualização &gt;30 dias)",IF(S990&gt;15,"ATENÇÃO (Sem Atualização &gt;15 dias)",IF(X990&gt;90,"CRÍTICO (Aberto &gt;90 dias)","OK"))))))</f>
        <v/>
      </c>
      <c r="Z990" s="90" t="str">
        <f aca="false">IF(B990="","",IF(OR(O990="27 - Instalação concluída",O990="28 - Encerrado"),"OK",IF(NOT(ISNUMBER(X990)),"",IF(X990&gt;365,"MUITO ANTIGO (&gt;1 ano)",IF(X990&gt;180,"ANTIGO (&gt;6 meses)",IF(X990&gt;90,"ATENÇÃO ANTIG. (&gt;3 meses)","OK"))))))</f>
        <v/>
      </c>
      <c r="AA990" s="91"/>
    </row>
    <row r="991" customFormat="false" ht="16.5" hidden="false" customHeight="true" outlineLevel="0" collapsed="false">
      <c r="A991" s="86"/>
      <c r="B991" s="91"/>
      <c r="C991" s="91" t="str">
        <f aca="false">IF(D991="","",IFERROR(INDEX(CADASTRO_VIVO_3CRE!$B$2:$B$150,MATCH(D991,CADASTRO_VIVO_3CRE!$E$2:$E$150,0)),""))</f>
        <v/>
      </c>
      <c r="D991" s="91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8"/>
      <c r="S991" s="92" t="str">
        <f aca="true">IF(R991="","",TODAY()-INT(R991))</f>
        <v/>
      </c>
      <c r="T991" s="86"/>
      <c r="U991" s="86"/>
      <c r="V991" s="86"/>
      <c r="W991" s="88"/>
      <c r="X991" s="92" t="str">
        <f aca="true">IF(W991="","",IF(OR(O991="28 - Encerrado",O991="27 - Instalação concluída"),"Concluído",TODAY()-INT(W991)))</f>
        <v/>
      </c>
      <c r="Y991" s="91" t="str">
        <f aca="false">IF(OR(O991="28 - Encerrado",O991="27 - Instalação concluída"),"OK",IF(AND(B991&lt;&gt;"",S991=""),"ATENÇÃO (Sem data de atualização)",IF(S991="","",IF(S991&gt;30,"CRÍTICO (Sem Atualização &gt;30 dias)",IF(S991&gt;15,"ATENÇÃO (Sem Atualização &gt;15 dias)",IF(X991&gt;90,"CRÍTICO (Aberto &gt;90 dias)","OK"))))))</f>
        <v/>
      </c>
      <c r="Z991" s="90" t="str">
        <f aca="false">IF(B991="","",IF(OR(O991="27 - Instalação concluída",O991="28 - Encerrado"),"OK",IF(NOT(ISNUMBER(X991)),"",IF(X991&gt;365,"MUITO ANTIGO (&gt;1 ano)",IF(X991&gt;180,"ANTIGO (&gt;6 meses)",IF(X991&gt;90,"ATENÇÃO ANTIG. (&gt;3 meses)","OK"))))))</f>
        <v/>
      </c>
      <c r="AA991" s="91"/>
    </row>
    <row r="992" customFormat="false" ht="16.5" hidden="false" customHeight="true" outlineLevel="0" collapsed="false">
      <c r="A992" s="86"/>
      <c r="B992" s="91"/>
      <c r="C992" s="91" t="str">
        <f aca="false">IF(D992="","",IFERROR(INDEX(CADASTRO_VIVO_3CRE!$B$2:$B$150,MATCH(D992,CADASTRO_VIVO_3CRE!$E$2:$E$150,0)),""))</f>
        <v/>
      </c>
      <c r="D992" s="91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8"/>
      <c r="S992" s="92" t="str">
        <f aca="true">IF(R992="","",TODAY()-INT(R992))</f>
        <v/>
      </c>
      <c r="T992" s="86"/>
      <c r="U992" s="86"/>
      <c r="V992" s="86"/>
      <c r="W992" s="88"/>
      <c r="X992" s="92" t="str">
        <f aca="true">IF(W992="","",IF(OR(O992="28 - Encerrado",O992="27 - Instalação concluída"),"Concluído",TODAY()-INT(W992)))</f>
        <v/>
      </c>
      <c r="Y992" s="91" t="str">
        <f aca="false">IF(OR(O992="28 - Encerrado",O992="27 - Instalação concluída"),"OK",IF(AND(B992&lt;&gt;"",S992=""),"ATENÇÃO (Sem data de atualização)",IF(S992="","",IF(S992&gt;30,"CRÍTICO (Sem Atualização &gt;30 dias)",IF(S992&gt;15,"ATENÇÃO (Sem Atualização &gt;15 dias)",IF(X992&gt;90,"CRÍTICO (Aberto &gt;90 dias)","OK"))))))</f>
        <v/>
      </c>
      <c r="Z992" s="90" t="str">
        <f aca="false">IF(B992="","",IF(OR(O992="27 - Instalação concluída",O992="28 - Encerrado"),"OK",IF(NOT(ISNUMBER(X992)),"",IF(X992&gt;365,"MUITO ANTIGO (&gt;1 ano)",IF(X992&gt;180,"ANTIGO (&gt;6 meses)",IF(X992&gt;90,"ATENÇÃO ANTIG. (&gt;3 meses)","OK"))))))</f>
        <v/>
      </c>
      <c r="AA992" s="91"/>
    </row>
    <row r="993" customFormat="false" ht="16.5" hidden="false" customHeight="true" outlineLevel="0" collapsed="false">
      <c r="A993" s="86"/>
      <c r="B993" s="91"/>
      <c r="C993" s="91" t="str">
        <f aca="false">IF(D993="","",IFERROR(INDEX(CADASTRO_VIVO_3CRE!$B$2:$B$150,MATCH(D993,CADASTRO_VIVO_3CRE!$E$2:$E$150,0)),""))</f>
        <v/>
      </c>
      <c r="D993" s="91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8"/>
      <c r="S993" s="92" t="str">
        <f aca="true">IF(R993="","",TODAY()-INT(R993))</f>
        <v/>
      </c>
      <c r="T993" s="86"/>
      <c r="U993" s="86"/>
      <c r="V993" s="86"/>
      <c r="W993" s="88"/>
      <c r="X993" s="92" t="str">
        <f aca="true">IF(W993="","",IF(OR(O993="28 - Encerrado",O993="27 - Instalação concluída"),"Concluído",TODAY()-INT(W993)))</f>
        <v/>
      </c>
      <c r="Y993" s="91" t="str">
        <f aca="false">IF(OR(O993="28 - Encerrado",O993="27 - Instalação concluída"),"OK",IF(AND(B993&lt;&gt;"",S993=""),"ATENÇÃO (Sem data de atualização)",IF(S993="","",IF(S993&gt;30,"CRÍTICO (Sem Atualização &gt;30 dias)",IF(S993&gt;15,"ATENÇÃO (Sem Atualização &gt;15 dias)",IF(X993&gt;90,"CRÍTICO (Aberto &gt;90 dias)","OK"))))))</f>
        <v/>
      </c>
      <c r="Z993" s="90" t="str">
        <f aca="false">IF(B993="","",IF(OR(O993="27 - Instalação concluída",O993="28 - Encerrado"),"OK",IF(NOT(ISNUMBER(X993)),"",IF(X993&gt;365,"MUITO ANTIGO (&gt;1 ano)",IF(X993&gt;180,"ANTIGO (&gt;6 meses)",IF(X993&gt;90,"ATENÇÃO ANTIG. (&gt;3 meses)","OK"))))))</f>
        <v/>
      </c>
      <c r="AA993" s="91"/>
    </row>
    <row r="994" customFormat="false" ht="16.5" hidden="false" customHeight="true" outlineLevel="0" collapsed="false">
      <c r="A994" s="86"/>
      <c r="B994" s="91"/>
      <c r="C994" s="91" t="str">
        <f aca="false">IF(D994="","",IFERROR(INDEX(CADASTRO_VIVO_3CRE!$B$2:$B$150,MATCH(D994,CADASTRO_VIVO_3CRE!$E$2:$E$150,0)),""))</f>
        <v/>
      </c>
      <c r="D994" s="91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8"/>
      <c r="S994" s="92" t="str">
        <f aca="true">IF(R994="","",TODAY()-INT(R994))</f>
        <v/>
      </c>
      <c r="T994" s="86"/>
      <c r="U994" s="86"/>
      <c r="V994" s="86"/>
      <c r="W994" s="88"/>
      <c r="X994" s="92" t="str">
        <f aca="true">IF(W994="","",IF(OR(O994="28 - Encerrado",O994="27 - Instalação concluída"),"Concluído",TODAY()-INT(W994)))</f>
        <v/>
      </c>
      <c r="Y994" s="91" t="str">
        <f aca="false">IF(OR(O994="28 - Encerrado",O994="27 - Instalação concluída"),"OK",IF(AND(B994&lt;&gt;"",S994=""),"ATENÇÃO (Sem data de atualização)",IF(S994="","",IF(S994&gt;30,"CRÍTICO (Sem Atualização &gt;30 dias)",IF(S994&gt;15,"ATENÇÃO (Sem Atualização &gt;15 dias)",IF(X994&gt;90,"CRÍTICO (Aberto &gt;90 dias)","OK"))))))</f>
        <v/>
      </c>
      <c r="Z994" s="90" t="str">
        <f aca="false">IF(B994="","",IF(OR(O994="27 - Instalação concluída",O994="28 - Encerrado"),"OK",IF(NOT(ISNUMBER(X994)),"",IF(X994&gt;365,"MUITO ANTIGO (&gt;1 ano)",IF(X994&gt;180,"ANTIGO (&gt;6 meses)",IF(X994&gt;90,"ATENÇÃO ANTIG. (&gt;3 meses)","OK"))))))</f>
        <v/>
      </c>
      <c r="AA994" s="91"/>
    </row>
    <row r="995" customFormat="false" ht="16.5" hidden="false" customHeight="true" outlineLevel="0" collapsed="false">
      <c r="A995" s="86"/>
      <c r="B995" s="91"/>
      <c r="C995" s="91" t="str">
        <f aca="false">IF(D995="","",IFERROR(INDEX(CADASTRO_VIVO_3CRE!$B$2:$B$150,MATCH(D995,CADASTRO_VIVO_3CRE!$E$2:$E$150,0)),""))</f>
        <v/>
      </c>
      <c r="D995" s="91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8"/>
      <c r="S995" s="92" t="str">
        <f aca="true">IF(R995="","",TODAY()-INT(R995))</f>
        <v/>
      </c>
      <c r="T995" s="86"/>
      <c r="U995" s="86"/>
      <c r="V995" s="86"/>
      <c r="W995" s="88"/>
      <c r="X995" s="92" t="str">
        <f aca="true">IF(W995="","",IF(OR(O995="28 - Encerrado",O995="27 - Instalação concluída"),"Concluído",TODAY()-INT(W995)))</f>
        <v/>
      </c>
      <c r="Y995" s="91" t="str">
        <f aca="false">IF(OR(O995="28 - Encerrado",O995="27 - Instalação concluída"),"OK",IF(AND(B995&lt;&gt;"",S995=""),"ATENÇÃO (Sem data de atualização)",IF(S995="","",IF(S995&gt;30,"CRÍTICO (Sem Atualização &gt;30 dias)",IF(S995&gt;15,"ATENÇÃO (Sem Atualização &gt;15 dias)",IF(X995&gt;90,"CRÍTICO (Aberto &gt;90 dias)","OK"))))))</f>
        <v/>
      </c>
      <c r="Z995" s="90" t="str">
        <f aca="false">IF(B995="","",IF(OR(O995="27 - Instalação concluída",O995="28 - Encerrado"),"OK",IF(NOT(ISNUMBER(X995)),"",IF(X995&gt;365,"MUITO ANTIGO (&gt;1 ano)",IF(X995&gt;180,"ANTIGO (&gt;6 meses)",IF(X995&gt;90,"ATENÇÃO ANTIG. (&gt;3 meses)","OK"))))))</f>
        <v/>
      </c>
      <c r="AA995" s="91"/>
    </row>
    <row r="996" customFormat="false" ht="16.5" hidden="false" customHeight="true" outlineLevel="0" collapsed="false">
      <c r="A996" s="86"/>
      <c r="B996" s="91"/>
      <c r="C996" s="91" t="str">
        <f aca="false">IF(D996="","",IFERROR(INDEX(CADASTRO_VIVO_3CRE!$B$2:$B$150,MATCH(D996,CADASTRO_VIVO_3CRE!$E$2:$E$150,0)),""))</f>
        <v/>
      </c>
      <c r="D996" s="91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8"/>
      <c r="S996" s="92" t="str">
        <f aca="true">IF(R996="","",TODAY()-INT(R996))</f>
        <v/>
      </c>
      <c r="T996" s="86"/>
      <c r="U996" s="86"/>
      <c r="V996" s="86"/>
      <c r="W996" s="88"/>
      <c r="X996" s="92" t="str">
        <f aca="true">IF(W996="","",IF(OR(O996="28 - Encerrado",O996="27 - Instalação concluída"),"Concluído",TODAY()-INT(W996)))</f>
        <v/>
      </c>
      <c r="Y996" s="91" t="str">
        <f aca="false">IF(OR(O996="28 - Encerrado",O996="27 - Instalação concluída"),"OK",IF(AND(B996&lt;&gt;"",S996=""),"ATENÇÃO (Sem data de atualização)",IF(S996="","",IF(S996&gt;30,"CRÍTICO (Sem Atualização &gt;30 dias)",IF(S996&gt;15,"ATENÇÃO (Sem Atualização &gt;15 dias)",IF(X996&gt;90,"CRÍTICO (Aberto &gt;90 dias)","OK"))))))</f>
        <v/>
      </c>
      <c r="Z996" s="90" t="str">
        <f aca="false">IF(B996="","",IF(OR(O996="27 - Instalação concluída",O996="28 - Encerrado"),"OK",IF(NOT(ISNUMBER(X996)),"",IF(X996&gt;365,"MUITO ANTIGO (&gt;1 ano)",IF(X996&gt;180,"ANTIGO (&gt;6 meses)",IF(X996&gt;90,"ATENÇÃO ANTIG. (&gt;3 meses)","OK"))))))</f>
        <v/>
      </c>
      <c r="AA996" s="91"/>
    </row>
    <row r="997" customFormat="false" ht="16.5" hidden="false" customHeight="true" outlineLevel="0" collapsed="false">
      <c r="A997" s="86"/>
      <c r="B997" s="91"/>
      <c r="C997" s="91" t="str">
        <f aca="false">IF(D997="","",IFERROR(INDEX(CADASTRO_VIVO_3CRE!$B$2:$B$150,MATCH(D997,CADASTRO_VIVO_3CRE!$E$2:$E$150,0)),""))</f>
        <v/>
      </c>
      <c r="D997" s="91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8"/>
      <c r="S997" s="92" t="str">
        <f aca="true">IF(R997="","",TODAY()-INT(R997))</f>
        <v/>
      </c>
      <c r="T997" s="86"/>
      <c r="U997" s="86"/>
      <c r="V997" s="86"/>
      <c r="W997" s="88"/>
      <c r="X997" s="92" t="str">
        <f aca="true">IF(W997="","",IF(OR(O997="28 - Encerrado",O997="27 - Instalação concluída"),"Concluído",TODAY()-INT(W997)))</f>
        <v/>
      </c>
      <c r="Y997" s="91" t="str">
        <f aca="false">IF(OR(O997="28 - Encerrado",O997="27 - Instalação concluída"),"OK",IF(AND(B997&lt;&gt;"",S997=""),"ATENÇÃO (Sem data de atualização)",IF(S997="","",IF(S997&gt;30,"CRÍTICO (Sem Atualização &gt;30 dias)",IF(S997&gt;15,"ATENÇÃO (Sem Atualização &gt;15 dias)",IF(X997&gt;90,"CRÍTICO (Aberto &gt;90 dias)","OK"))))))</f>
        <v/>
      </c>
      <c r="Z997" s="90" t="str">
        <f aca="false">IF(B997="","",IF(OR(O997="27 - Instalação concluída",O997="28 - Encerrado"),"OK",IF(NOT(ISNUMBER(X997)),"",IF(X997&gt;365,"MUITO ANTIGO (&gt;1 ano)",IF(X997&gt;180,"ANTIGO (&gt;6 meses)",IF(X997&gt;90,"ATENÇÃO ANTIG. (&gt;3 meses)","OK"))))))</f>
        <v/>
      </c>
      <c r="AA997" s="91"/>
    </row>
    <row r="998" customFormat="false" ht="16.5" hidden="false" customHeight="true" outlineLevel="0" collapsed="false">
      <c r="A998" s="86"/>
      <c r="B998" s="91"/>
      <c r="C998" s="91" t="str">
        <f aca="false">IF(D998="","",IFERROR(INDEX(CADASTRO_VIVO_3CRE!$B$2:$B$150,MATCH(D998,CADASTRO_VIVO_3CRE!$E$2:$E$150,0)),""))</f>
        <v/>
      </c>
      <c r="D998" s="91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8"/>
      <c r="S998" s="92" t="str">
        <f aca="true">IF(R998="","",TODAY()-INT(R998))</f>
        <v/>
      </c>
      <c r="T998" s="86"/>
      <c r="U998" s="86"/>
      <c r="V998" s="86"/>
      <c r="W998" s="88"/>
      <c r="X998" s="92" t="str">
        <f aca="true">IF(W998="","",IF(OR(O998="28 - Encerrado",O998="27 - Instalação concluída"),"Concluído",TODAY()-INT(W998)))</f>
        <v/>
      </c>
      <c r="Y998" s="91" t="str">
        <f aca="false">IF(OR(O998="28 - Encerrado",O998="27 - Instalação concluída"),"OK",IF(AND(B998&lt;&gt;"",S998=""),"ATENÇÃO (Sem data de atualização)",IF(S998="","",IF(S998&gt;30,"CRÍTICO (Sem Atualização &gt;30 dias)",IF(S998&gt;15,"ATENÇÃO (Sem Atualização &gt;15 dias)",IF(X998&gt;90,"CRÍTICO (Aberto &gt;90 dias)","OK"))))))</f>
        <v/>
      </c>
      <c r="Z998" s="90" t="str">
        <f aca="false">IF(B998="","",IF(OR(O998="27 - Instalação concluída",O998="28 - Encerrado"),"OK",IF(NOT(ISNUMBER(X998)),"",IF(X998&gt;365,"MUITO ANTIGO (&gt;1 ano)",IF(X998&gt;180,"ANTIGO (&gt;6 meses)",IF(X998&gt;90,"ATENÇÃO ANTIG. (&gt;3 meses)","OK"))))))</f>
        <v/>
      </c>
      <c r="AA998" s="91"/>
    </row>
    <row r="999" customFormat="false" ht="16.5" hidden="false" customHeight="true" outlineLevel="0" collapsed="false">
      <c r="A999" s="86"/>
      <c r="B999" s="91"/>
      <c r="C999" s="91" t="str">
        <f aca="false">IF(D999="","",IFERROR(INDEX(CADASTRO_VIVO_3CRE!$B$2:$B$150,MATCH(D999,CADASTRO_VIVO_3CRE!$E$2:$E$150,0)),""))</f>
        <v/>
      </c>
      <c r="D999" s="91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8"/>
      <c r="S999" s="92" t="str">
        <f aca="true">IF(R999="","",TODAY()-INT(R999))</f>
        <v/>
      </c>
      <c r="T999" s="86"/>
      <c r="U999" s="86"/>
      <c r="V999" s="86"/>
      <c r="W999" s="88"/>
      <c r="X999" s="92" t="str">
        <f aca="true">IF(W999="","",IF(OR(O999="28 - Encerrado",O999="27 - Instalação concluída"),"Concluído",TODAY()-INT(W999)))</f>
        <v/>
      </c>
      <c r="Y999" s="91" t="str">
        <f aca="false">IF(OR(O999="28 - Encerrado",O999="27 - Instalação concluída"),"OK",IF(AND(B999&lt;&gt;"",S999=""),"ATENÇÃO (Sem data de atualização)",IF(S999="","",IF(S999&gt;30,"CRÍTICO (Sem Atualização &gt;30 dias)",IF(S999&gt;15,"ATENÇÃO (Sem Atualização &gt;15 dias)",IF(X999&gt;90,"CRÍTICO (Aberto &gt;90 dias)","OK"))))))</f>
        <v/>
      </c>
      <c r="Z999" s="90" t="str">
        <f aca="false">IF(B999="","",IF(OR(O999="27 - Instalação concluída",O999="28 - Encerrado"),"OK",IF(NOT(ISNUMBER(X999)),"",IF(X999&gt;365,"MUITO ANTIGO (&gt;1 ano)",IF(X999&gt;180,"ANTIGO (&gt;6 meses)",IF(X999&gt;90,"ATENÇÃO ANTIG. (&gt;3 meses)","OK"))))))</f>
        <v/>
      </c>
      <c r="AA999" s="91"/>
    </row>
    <row r="1000" customFormat="false" ht="16.5" hidden="false" customHeight="true" outlineLevel="0" collapsed="false">
      <c r="A1000" s="86"/>
      <c r="B1000" s="91"/>
      <c r="C1000" s="91" t="str">
        <f aca="false">IF(D1000="","",IFERROR(INDEX(CADASTRO_VIVO_3CRE!$B$2:$B$150,MATCH(D1000,CADASTRO_VIVO_3CRE!$E$2:$E$150,0)),""))</f>
        <v/>
      </c>
      <c r="D1000" s="91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8"/>
      <c r="S1000" s="92" t="str">
        <f aca="true">IF(R1000="","",TODAY()-INT(R1000))</f>
        <v/>
      </c>
      <c r="T1000" s="86"/>
      <c r="U1000" s="86"/>
      <c r="V1000" s="86"/>
      <c r="W1000" s="88"/>
      <c r="X1000" s="92" t="str">
        <f aca="true">IF(W1000="","",IF(OR(O1000="28 - Encerrado",O1000="27 - Instalação concluída"),"Concluído",TODAY()-INT(W1000)))</f>
        <v/>
      </c>
      <c r="Y1000" s="91" t="str">
        <f aca="false">IF(OR(O1000="28 - Encerrado",O1000="27 - Instalação concluída"),"OK",IF(AND(B1000&lt;&gt;"",S1000=""),"ATENÇÃO (Sem data de atualização)",IF(S1000="","",IF(S1000&gt;30,"CRÍTICO (Sem Atualização &gt;30 dias)",IF(S1000&gt;15,"ATENÇÃO (Sem Atualização &gt;15 dias)",IF(X1000&gt;90,"CRÍTICO (Aberto &gt;90 dias)","OK"))))))</f>
        <v/>
      </c>
      <c r="Z1000" s="90" t="str">
        <f aca="false">IF(B1000="","",IF(OR(O1000="27 - Instalação concluída",O1000="28 - Encerrado"),"OK",IF(NOT(ISNUMBER(X1000)),"",IF(X1000&gt;365,"MUITO ANTIGO (&gt;1 ano)",IF(X1000&gt;180,"ANTIGO (&gt;6 meses)",IF(X1000&gt;90,"ATENÇÃO ANTIG. (&gt;3 meses)","OK"))))))</f>
        <v/>
      </c>
      <c r="AA1000" s="91"/>
    </row>
  </sheetData>
  <sheetProtection sheet="true" formatCells="false" formatColumns="false" formatRows="false" insertColumns="false" insertRows="false" insertHyperlinks="false" deleteColumns="false" deleteRows="false" sort="false" autoFilter="false"/>
  <autoFilter ref="A1:Z1000"/>
  <conditionalFormatting sqref="Z2:Z1000">
    <cfRule type="expression" priority="2" aboveAverage="0" equalAverage="0" bottom="0" percent="0" rank="0" text="" dxfId="19">
      <formula>ISNUMBER(SEARCH("MUITO ANTIGO",Z2))</formula>
    </cfRule>
    <cfRule type="expression" priority="3" aboveAverage="0" equalAverage="0" bottom="0" percent="0" rank="0" text="" dxfId="20">
      <formula>ISNUMBER(SEARCH("ANTIGO",Z2))</formula>
    </cfRule>
    <cfRule type="expression" priority="4" aboveAverage="0" equalAverage="0" bottom="0" percent="0" rank="0" text="" dxfId="1">
      <formula>ISNUMBER(SEARCH("ATENÇÃO ANTIG",Z2))</formula>
    </cfRule>
    <cfRule type="expression" priority="5" aboveAverage="0" equalAverage="0" bottom="0" percent="0" rank="0" text="" dxfId="21">
      <formula>Z2="OK"</formula>
    </cfRule>
  </conditionalFormatting>
  <conditionalFormatting sqref="Y2:Y500">
    <cfRule type="expression" priority="6" aboveAverage="0" equalAverage="0" bottom="0" percent="0" rank="0" text="" dxfId="2">
      <formula>ISNUMBER(SEARCH("CRÍTICO",Y2))</formula>
    </cfRule>
    <cfRule type="expression" priority="7" aboveAverage="0" equalAverage="0" bottom="0" percent="0" rank="0" text="" dxfId="3">
      <formula>ISNUMBER(SEARCH("ATENÇÃO",Y2))</formula>
    </cfRule>
    <cfRule type="expression" priority="8" aboveAverage="0" equalAverage="0" bottom="0" percent="0" rank="0" text="" dxfId="22">
      <formula>Y2="OK"</formula>
    </cfRule>
  </conditionalFormatting>
  <conditionalFormatting sqref="A2:Z500">
    <cfRule type="expression" priority="9" aboveAverage="0" equalAverage="0" bottom="0" percent="0" rank="0" text="" dxfId="23">
      <formula>OR($O2="27 - Instalação concluída",$O2="28 - Encerrado")</formula>
    </cfRule>
  </conditionalFormatting>
  <dataValidations count="8">
    <dataValidation allowBlank="true" errorStyle="stop" operator="between" showDropDown="false" showErrorMessage="false" showInputMessage="false" sqref="F2:F1000" type="list">
      <formula1>lista_demandas</formula1>
      <formula2>0</formula2>
    </dataValidation>
    <dataValidation allowBlank="true" errorStyle="stop" operator="between" showDropDown="false" showErrorMessage="false" showInputMessage="false" sqref="G2:G1000" type="list">
      <formula1>lista_tipo_aparelho</formula1>
      <formula2>0</formula2>
    </dataValidation>
    <dataValidation allowBlank="true" errorStyle="stop" operator="between" showDropDown="false" showErrorMessage="false" showInputMessage="false" sqref="O2:O1000" type="list">
      <formula1>lista_status</formula1>
      <formula2>0</formula2>
    </dataValidation>
    <dataValidation allowBlank="true" errorStyle="stop" operator="between" showDropDown="false" showErrorMessage="false" showInputMessage="false" sqref="P2:P1000" type="list">
      <formula1>lista_setores</formula1>
      <formula2>0</formula2>
    </dataValidation>
    <dataValidation allowBlank="true" errorStyle="stop" operator="between" showDropDown="false" showErrorMessage="false" showInputMessage="false" sqref="T2:T1000" type="list">
      <formula1>lista_validacao</formula1>
      <formula2>0</formula2>
    </dataValidation>
    <dataValidation allowBlank="true" errorStyle="stop" operator="between" showDropDown="false" showErrorMessage="false" showInputMessage="false" sqref="U2:U1000" type="list">
      <formula1>lista_prioridade</formula1>
      <formula2>0</formula2>
    </dataValidation>
    <dataValidation allowBlank="true" errorStyle="stop" operator="between" showDropDown="false" showErrorMessage="false" showInputMessage="false" sqref="D2:D1000" type="list">
      <formula1>nomes_escolas</formula1>
      <formula2>0</formula2>
    </dataValidation>
    <dataValidation allowBlank="true" errorStyle="stop" operator="between" showDropDown="false" showErrorMessage="false" showInputMessage="false" sqref="N2:N1000" type="list">
      <formula1>lista_aptidao</formula1>
      <formula2>0</formula2>
    </dataValidation>
  </dataValidations>
  <printOptions headings="false" gridLines="false" gridLinesSet="true" horizontalCentered="true" verticalCentered="false"/>
  <pageMargins left="0.4" right="0.4" top="0.6" bottom="0.6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&amp;R&amp;"Calibri,Bold"&amp;K1f3864Controle Vivo de Climatização&amp;"Calibri,Regular"&amp;10 &amp;K595959  ·  GOP / 3ª CRE</oddHeader>
    <oddFooter>&amp;C&amp;9 &amp;K595959Página &amp;P de &amp;N  ·  &amp;D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3.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36"/>
    <col collapsed="false" customWidth="true" hidden="false" outlineLevel="0" max="4" min="4" style="1" width="30"/>
    <col collapsed="false" customWidth="true" hidden="false" outlineLevel="0" max="5" min="5" style="1" width="18"/>
    <col collapsed="false" customWidth="true" hidden="false" outlineLevel="0" max="6" min="6" style="1" width="28"/>
    <col collapsed="false" customWidth="true" hidden="false" outlineLevel="0" max="7" min="7" style="1" width="18"/>
    <col collapsed="false" customWidth="true" hidden="false" outlineLevel="0" max="9" min="8" style="1" width="24"/>
    <col collapsed="false" customWidth="true" hidden="false" outlineLevel="0" max="10" min="10" style="1" width="12"/>
    <col collapsed="false" customWidth="true" hidden="false" outlineLevel="0" max="12" min="11" style="1" width="14"/>
    <col collapsed="false" customWidth="true" hidden="false" outlineLevel="0" max="14" min="13" style="1" width="18"/>
    <col collapsed="false" customWidth="true" hidden="false" outlineLevel="0" max="15" min="15" style="1" width="32"/>
    <col collapsed="false" customWidth="true" hidden="false" outlineLevel="0" max="16" min="16" style="1" width="18"/>
    <col collapsed="false" customWidth="true" hidden="false" outlineLevel="0" max="17" min="17" style="1" width="42"/>
    <col collapsed="false" customWidth="true" hidden="false" outlineLevel="0" max="18" min="18" style="1" width="16"/>
    <col collapsed="false" customWidth="true" hidden="false" outlineLevel="0" max="19" min="19" style="1" width="12"/>
    <col collapsed="false" customWidth="true" hidden="false" outlineLevel="0" max="20" min="20" style="1" width="18"/>
    <col collapsed="false" customWidth="true" hidden="false" outlineLevel="0" max="21" min="21" style="1" width="14"/>
    <col collapsed="false" customWidth="true" hidden="false" outlineLevel="0" max="22" min="22" style="1" width="36"/>
  </cols>
  <sheetData>
    <row r="1" customFormat="false" ht="31.5" hidden="false" customHeight="true" outlineLevel="0" collapsed="false">
      <c r="A1" s="93" t="s">
        <v>279</v>
      </c>
      <c r="B1" s="93"/>
      <c r="C1" s="93"/>
      <c r="D1" s="93"/>
      <c r="E1" s="93"/>
      <c r="F1" s="93"/>
      <c r="G1" s="93"/>
      <c r="H1" s="93"/>
      <c r="I1" s="93"/>
      <c r="J1" s="93"/>
    </row>
    <row r="2" customFormat="false" ht="18" hidden="false" customHeight="true" outlineLevel="0" collapsed="false">
      <c r="A2" s="21" t="s">
        <v>280</v>
      </c>
      <c r="B2" s="21"/>
      <c r="C2" s="21"/>
      <c r="D2" s="21"/>
      <c r="E2" s="21"/>
      <c r="F2" s="21"/>
      <c r="G2" s="21"/>
      <c r="H2" s="21"/>
      <c r="I2" s="21"/>
      <c r="J2" s="21"/>
    </row>
    <row r="3" customFormat="false" ht="15.75" hidden="false" customHeight="true" outlineLevel="0" collapsed="false"/>
    <row r="4" customFormat="false" ht="15.75" hidden="false" customHeight="true" outlineLevel="0" collapsed="false">
      <c r="A4" s="94" t="s">
        <v>281</v>
      </c>
      <c r="B4" s="94"/>
      <c r="C4" s="94"/>
      <c r="D4" s="94"/>
      <c r="E4" s="94"/>
      <c r="F4" s="94"/>
      <c r="G4" s="94"/>
      <c r="H4" s="94"/>
      <c r="I4" s="94"/>
      <c r="J4" s="94"/>
    </row>
    <row r="5" customFormat="false" ht="15.75" hidden="false" customHeight="true" outlineLevel="0" collapsed="false">
      <c r="A5" s="95" t="s">
        <v>282</v>
      </c>
      <c r="B5" s="95"/>
      <c r="C5" s="96" t="s">
        <v>283</v>
      </c>
      <c r="D5" s="96"/>
      <c r="E5" s="97" t="s">
        <v>284</v>
      </c>
      <c r="F5" s="97"/>
      <c r="G5" s="97" t="s">
        <v>285</v>
      </c>
      <c r="H5" s="97"/>
      <c r="I5" s="98" t="s">
        <v>286</v>
      </c>
      <c r="J5" s="98"/>
    </row>
    <row r="6" customFormat="false" ht="39.75" hidden="false" customHeight="true" outlineLevel="0" collapsed="false">
      <c r="A6" s="99" t="n">
        <f aca="false">COUNTIF(CHAMADOS_GOP!T2:T1000,"Pendente de Vistoria")</f>
        <v>19</v>
      </c>
      <c r="B6" s="99"/>
      <c r="C6" s="100" t="n">
        <f aca="false">COUNTIF(CHAMADOS_GOP!T2:T1000,"Não validada")</f>
        <v>0</v>
      </c>
      <c r="D6" s="100"/>
      <c r="E6" s="101" t="n">
        <f aca="false">COUNTIFS(CHAMADOS_GOP!O2:O1000,"09 - Aguardando orçamentos da unidade")</f>
        <v>7</v>
      </c>
      <c r="F6" s="101"/>
      <c r="G6" s="101" t="n">
        <f aca="false">COUNTIFS(CHAMADOS_GOP!O2:O1000,"11 - Orçamentos em análise técnica")</f>
        <v>0</v>
      </c>
      <c r="H6" s="101"/>
      <c r="I6" s="102" t="n">
        <f aca="false">COUNTIF(CHAMADOS_GOP!T2:T1000,"Pendente de Vistoria")+COUNTIF(CHAMADOS_GOP!T2:T1000,"Não validada")</f>
        <v>19</v>
      </c>
      <c r="J6" s="102"/>
    </row>
    <row r="7" customFormat="false" ht="15.75" hidden="false" customHeight="true" outlineLevel="0" collapsed="false"/>
    <row r="8" customFormat="false" ht="18" hidden="false" customHeight="true" outlineLevel="0" collapsed="false">
      <c r="A8" s="94" t="s">
        <v>287</v>
      </c>
      <c r="B8" s="94"/>
      <c r="C8" s="94"/>
      <c r="D8" s="94"/>
      <c r="E8" s="94"/>
      <c r="F8" s="94"/>
      <c r="G8" s="94"/>
      <c r="H8" s="94"/>
      <c r="I8" s="94"/>
      <c r="J8" s="94"/>
    </row>
    <row r="9" customFormat="false" ht="31.5" hidden="false" customHeight="true" outlineLevel="0" collapsed="false">
      <c r="A9" s="68" t="s">
        <v>83</v>
      </c>
      <c r="B9" s="68" t="s">
        <v>91</v>
      </c>
      <c r="C9" s="68" t="s">
        <v>60</v>
      </c>
      <c r="D9" s="68" t="s">
        <v>288</v>
      </c>
      <c r="E9" s="68" t="s">
        <v>289</v>
      </c>
      <c r="F9" s="68" t="s">
        <v>84</v>
      </c>
      <c r="G9" s="68" t="s">
        <v>290</v>
      </c>
      <c r="H9" s="68" t="s">
        <v>291</v>
      </c>
      <c r="I9" s="68" t="s">
        <v>292</v>
      </c>
      <c r="J9" s="68" t="s">
        <v>86</v>
      </c>
    </row>
    <row r="10" customFormat="false" ht="18" hidden="false" customHeight="true" outlineLevel="0" collapsed="false">
      <c r="A10" s="103" t="str">
        <f aca="false">IFERROR(INDEX(CHAMADOS_GOP!B$2:B$500,MATCH(1,CHAMADOS_GOP!$AB$2:$AB$500,0)),"")</f>
        <v>GOP-AR-2026-0001</v>
      </c>
      <c r="B10" s="103" t="n">
        <f aca="false">IFERROR(INDEX(CHAMADOS_GOP!C$2:C$500,MATCH(1,CHAMADOS_GOP!$AB$2:$AB$500,0)),"")</f>
        <v>313025</v>
      </c>
      <c r="C10" s="103" t="str">
        <f aca="false">IFERROR(INDEX(CHAMADOS_GOP!D$2:D$500,MATCH(1,CHAMADOS_GOP!$AB$2:$AB$500,0)),"")</f>
        <v>Escola Municipal Professor Visitação</v>
      </c>
      <c r="D10" s="103" t="str">
        <f aca="false">IFERROR(INDEX(CHAMADOS_GOP!E$2:E$500,MATCH(1,CHAMADOS_GOP!$AB$2:$AB$500,0)),"")</f>
        <v>6, 8, 9, SR</v>
      </c>
      <c r="E10" s="103" t="str">
        <f aca="false">IFERROR(INDEX(CHAMADOS_GOP!F$2:F$500,MATCH(1,CHAMADOS_GOP!$AB$2:$AB$500,0)),"")</f>
        <v>Substituição/Instalação de Aparelho</v>
      </c>
      <c r="F10" s="103" t="str">
        <f aca="false">IFERROR(INDEX(CHAMADOS_GOP!O$2:O$500,MATCH(1,CHAMADOS_GOP!$AB$2:$AB$500,0)),"")</f>
        <v>12 - Orçamento aprovado</v>
      </c>
      <c r="G10" s="103" t="str">
        <f aca="false">IFERROR(INDEX(CHAMADOS_GOP!P$2:P$500,MATCH(1,CHAMADOS_GOP!$AB$2:$AB$500,0)),"")</f>
        <v>GIN / Unidade Escolar</v>
      </c>
      <c r="H10" s="103" t="str">
        <f aca="false">IFERROR(INDEX(CHAMADOS_GOP!Q$2:Q$500,MATCH(1,CHAMADOS_GOP!$AB$2:$AB$500,0)),"")</f>
        <v>Confirmar recurso, data de início e previsão de conclusão das adequações.</v>
      </c>
      <c r="I10" s="104" t="n">
        <f aca="false">IFERROR(INDEX(CHAMADOS_GOP!R$2:R$500,MATCH(1,CHAMADOS_GOP!$AB$2:$AB$500,0)),"")</f>
        <v>46169</v>
      </c>
      <c r="J10" s="105" t="n">
        <f aca="false">IFERROR(INDEX(CHAMADOS_GOP!S$2:S$500,MATCH(1,CHAMADOS_GOP!$AB$2:$AB$500,0)),"")</f>
        <v>2</v>
      </c>
    </row>
    <row r="11" customFormat="false" ht="18" hidden="false" customHeight="true" outlineLevel="0" collapsed="false">
      <c r="A11" s="106" t="str">
        <f aca="false">IFERROR(INDEX(CHAMADOS_GOP!B$2:B$500,MATCH(2,CHAMADOS_GOP!$AB$2:$AB$500,0)),"")</f>
        <v>GOP-AR-2026-0002</v>
      </c>
      <c r="B11" s="106" t="n">
        <f aca="false">IFERROR(INDEX(CHAMADOS_GOP!C$2:C$500,MATCH(2,CHAMADOS_GOP!$AB$2:$AB$500,0)),"")</f>
        <v>313020</v>
      </c>
      <c r="C11" s="106" t="str">
        <f aca="false">IFERROR(INDEX(CHAMADOS_GOP!D$2:D$500,MATCH(2,CHAMADOS_GOP!$AB$2:$AB$500,0)),"")</f>
        <v>Escola Municipal Bento Ribeiro</v>
      </c>
      <c r="D11" s="106" t="str">
        <f aca="false">IFERROR(INDEX(CHAMADOS_GOP!E$2:E$500,MATCH(2,CHAMADOS_GOP!$AB$2:$AB$500,0)),"")</f>
        <v>A confirmar pela unidade</v>
      </c>
      <c r="E11" s="106" t="str">
        <f aca="false">IFERROR(INDEX(CHAMADOS_GOP!F$2:F$500,MATCH(2,CHAMADOS_GOP!$AB$2:$AB$500,0)),"")</f>
        <v>Substituição/Instalação de Aparelho</v>
      </c>
      <c r="F11" s="106" t="str">
        <f aca="false">IFERROR(INDEX(CHAMADOS_GOP!O$2:O$500,MATCH(2,CHAMADOS_GOP!$AB$2:$AB$500,0)),"")</f>
        <v>09 - Aguardando orçamentos da unidade</v>
      </c>
      <c r="G11" s="106" t="str">
        <f aca="false">IFERROR(INDEX(CHAMADOS_GOP!P$2:P$500,MATCH(2,CHAMADOS_GOP!$AB$2:$AB$500,0)),"")</f>
        <v>Unidade Escolar / GIN</v>
      </c>
      <c r="H11" s="106" t="str">
        <f aca="false">IFERROR(INDEX(CHAMADOS_GOP!Q$2:Q$500,MATCH(2,CHAMADOS_GOP!$AB$2:$AB$500,0)),"")</f>
        <v>Cobrar/receber orçamentos e conferir se contemplam o escopo técnico.</v>
      </c>
      <c r="I11" s="107" t="n">
        <f aca="false">IFERROR(INDEX(CHAMADOS_GOP!R$2:R$500,MATCH(2,CHAMADOS_GOP!$AB$2:$AB$500,0)),"")</f>
        <v>46164</v>
      </c>
      <c r="J11" s="108" t="n">
        <f aca="false">IFERROR(INDEX(CHAMADOS_GOP!S$2:S$500,MATCH(2,CHAMADOS_GOP!$AB$2:$AB$500,0)),"")</f>
        <v>7</v>
      </c>
    </row>
    <row r="12" customFormat="false" ht="18" hidden="false" customHeight="true" outlineLevel="0" collapsed="false">
      <c r="A12" s="103" t="str">
        <f aca="false">IFERROR(INDEX(CHAMADOS_GOP!B$2:B$500,MATCH(3,CHAMADOS_GOP!$AB$2:$AB$500,0)),"")</f>
        <v>GOP-AR-2026-0004</v>
      </c>
      <c r="B12" s="103" t="n">
        <f aca="false">IFERROR(INDEX(CHAMADOS_GOP!C$2:C$500,MATCH(3,CHAMADOS_GOP!$AB$2:$AB$500,0)),"")</f>
        <v>312502</v>
      </c>
      <c r="C12" s="103" t="str">
        <f aca="false">IFERROR(INDEX(CHAMADOS_GOP!D$2:D$500,MATCH(3,CHAMADOS_GOP!$AB$2:$AB$500,0)),"")</f>
        <v>CIEP Procópio Ferreira</v>
      </c>
      <c r="D12" s="103" t="str">
        <f aca="false">IFERROR(INDEX(CHAMADOS_GOP!E$2:E$500,MATCH(3,CHAMADOS_GOP!$AB$2:$AB$500,0)),"")</f>
        <v>Salas 5, 12, 17 e 20 1 e 18</v>
      </c>
      <c r="E12" s="103" t="str">
        <f aca="false">IFERROR(INDEX(CHAMADOS_GOP!F$2:F$500,MATCH(3,CHAMADOS_GOP!$AB$2:$AB$500,0)),"")</f>
        <v>Substituição/Instalação de Aparelho</v>
      </c>
      <c r="F12" s="103" t="str">
        <f aca="false">IFERROR(INDEX(CHAMADOS_GOP!O$2:O$500,MATCH(3,CHAMADOS_GOP!$AB$2:$AB$500,0)),"")</f>
        <v>17 - Serviço iniciado</v>
      </c>
      <c r="G12" s="103" t="str">
        <f aca="false">IFERROR(INDEX(CHAMADOS_GOP!P$2:P$500,MATCH(3,CHAMADOS_GOP!$AB$2:$AB$500,0)),"")</f>
        <v>GIN / Unidade Escolar</v>
      </c>
      <c r="H12" s="103" t="str">
        <f aca="false">IFERROR(INDEX(CHAMADOS_GOP!Q$2:Q$500,MATCH(3,CHAMADOS_GOP!$AB$2:$AB$500,0)),"")</f>
        <v>Acompanhar execução e registrar data de conclusão.</v>
      </c>
      <c r="I12" s="104" t="n">
        <f aca="false">IFERROR(INDEX(CHAMADOS_GOP!R$2:R$500,MATCH(3,CHAMADOS_GOP!$AB$2:$AB$500,0)),"")</f>
        <v>46167</v>
      </c>
      <c r="J12" s="105" t="n">
        <f aca="false">IFERROR(INDEX(CHAMADOS_GOP!S$2:S$500,MATCH(3,CHAMADOS_GOP!$AB$2:$AB$500,0)),"")</f>
        <v>4</v>
      </c>
    </row>
    <row r="13" customFormat="false" ht="18" hidden="false" customHeight="true" outlineLevel="0" collapsed="false">
      <c r="A13" s="106" t="str">
        <f aca="false">IFERROR(INDEX(CHAMADOS_GOP!B$2:B$500,MATCH(4,CHAMADOS_GOP!$AB$2:$AB$500,0)),"")</f>
        <v>GOP-AR-2026-0005</v>
      </c>
      <c r="B13" s="106" t="n">
        <f aca="false">IFERROR(INDEX(CHAMADOS_GOP!C$2:C$500,MATCH(4,CHAMADOS_GOP!$AB$2:$AB$500,0)),"")</f>
        <v>328601</v>
      </c>
      <c r="C13" s="106" t="str">
        <f aca="false">IFERROR(INDEX(CHAMADOS_GOP!D$2:D$500,MATCH(4,CHAMADOS_GOP!$AB$2:$AB$500,0)),"")</f>
        <v>Creche Municipal Geralda de Jesus Aleixo</v>
      </c>
      <c r="D13" s="106" t="str">
        <f aca="false">IFERROR(INDEX(CHAMADOS_GOP!E$2:E$500,MATCH(4,CHAMADOS_GOP!$AB$2:$AB$500,0)),"")</f>
        <v>Berçário</v>
      </c>
      <c r="E13" s="106" t="str">
        <f aca="false">IFERROR(INDEX(CHAMADOS_GOP!F$2:F$500,MATCH(4,CHAMADOS_GOP!$AB$2:$AB$500,0)),"")</f>
        <v>Substituição/Instalação de Aparelho</v>
      </c>
      <c r="F13" s="106" t="str">
        <f aca="false">IFERROR(INDEX(CHAMADOS_GOP!O$2:O$500,MATCH(4,CHAMADOS_GOP!$AB$2:$AB$500,0)),"")</f>
        <v>27 - Instalação concluída</v>
      </c>
      <c r="G13" s="106" t="str">
        <f aca="false">IFERROR(INDEX(CHAMADOS_GOP!P$2:P$500,MATCH(4,CHAMADOS_GOP!$AB$2:$AB$500,0)),"")</f>
        <v>GOP</v>
      </c>
      <c r="H13" s="106" t="str">
        <f aca="false">IFERROR(INDEX(CHAMADOS_GOP!Q$2:Q$500,MATCH(4,CHAMADOS_GOP!$AB$2:$AB$500,0)),"")</f>
        <v>Confirmar encerramento e atualizar cadastro vivo da unidade.</v>
      </c>
      <c r="I13" s="107" t="n">
        <f aca="false">IFERROR(INDEX(CHAMADOS_GOP!R$2:R$500,MATCH(4,CHAMADOS_GOP!$AB$2:$AB$500,0)),"")</f>
        <v>46164</v>
      </c>
      <c r="J13" s="108" t="n">
        <f aca="false">IFERROR(INDEX(CHAMADOS_GOP!S$2:S$500,MATCH(4,CHAMADOS_GOP!$AB$2:$AB$500,0)),"")</f>
        <v>7</v>
      </c>
    </row>
    <row r="14" customFormat="false" ht="18" hidden="false" customHeight="true" outlineLevel="0" collapsed="false">
      <c r="A14" s="103" t="str">
        <f aca="false">IFERROR(INDEX(CHAMADOS_GOP!B$2:B$500,MATCH(5,CHAMADOS_GOP!$AB$2:$AB$500,0)),"")</f>
        <v>GOP-AR-2026-0006</v>
      </c>
      <c r="B14" s="103" t="n">
        <f aca="false">IFERROR(INDEX(CHAMADOS_GOP!C$2:C$500,MATCH(5,CHAMADOS_GOP!$AB$2:$AB$500,0)),"")</f>
        <v>328801</v>
      </c>
      <c r="C14" s="103" t="str">
        <f aca="false">IFERROR(INDEX(CHAMADOS_GOP!D$2:D$500,MATCH(5,CHAMADOS_GOP!$AB$2:$AB$500,0)),"")</f>
        <v>Espaço de Desenvolvimento Infantil Padre Nelson Carlos Del Mônaco</v>
      </c>
      <c r="D14" s="103" t="str">
        <f aca="false">IFERROR(INDEX(CHAMADOS_GOP!E$2:E$500,MATCH(5,CHAMADOS_GOP!$AB$2:$AB$500,0)),"")</f>
        <v>salas 7 e 8</v>
      </c>
      <c r="E14" s="103" t="str">
        <f aca="false">IFERROR(INDEX(CHAMADOS_GOP!F$2:F$500,MATCH(5,CHAMADOS_GOP!$AB$2:$AB$500,0)),"")</f>
        <v>Substituição/Instalação de Aparelho</v>
      </c>
      <c r="F14" s="103" t="str">
        <f aca="false">IFERROR(INDEX(CHAMADOS_GOP!O$2:O$500,MATCH(5,CHAMADOS_GOP!$AB$2:$AB$500,0)),"")</f>
        <v>12 - Orçamento aprovado</v>
      </c>
      <c r="G14" s="103" t="str">
        <f aca="false">IFERROR(INDEX(CHAMADOS_GOP!P$2:P$500,MATCH(5,CHAMADOS_GOP!$AB$2:$AB$500,0)),"")</f>
        <v>GIN / Unidade Escolar</v>
      </c>
      <c r="H14" s="103" t="str">
        <f aca="false">IFERROR(INDEX(CHAMADOS_GOP!Q$2:Q$500,MATCH(5,CHAMADOS_GOP!$AB$2:$AB$500,0)),"")</f>
        <v>Confirmar recurso, data de início e previsão de conclusão das adequações.</v>
      </c>
      <c r="I14" s="104" t="n">
        <f aca="false">IFERROR(INDEX(CHAMADOS_GOP!R$2:R$500,MATCH(5,CHAMADOS_GOP!$AB$2:$AB$500,0)),"")</f>
        <v>46164</v>
      </c>
      <c r="J14" s="105" t="n">
        <f aca="false">IFERROR(INDEX(CHAMADOS_GOP!S$2:S$500,MATCH(5,CHAMADOS_GOP!$AB$2:$AB$500,0)),"")</f>
        <v>7</v>
      </c>
    </row>
    <row r="15" customFormat="false" ht="18" hidden="false" customHeight="true" outlineLevel="0" collapsed="false">
      <c r="A15" s="106" t="str">
        <f aca="false">IFERROR(INDEX(CHAMADOS_GOP!B$2:B$500,MATCH(6,CHAMADOS_GOP!$AB$2:$AB$500,0)),"")</f>
        <v>GOP-AR-2026-0007</v>
      </c>
      <c r="B15" s="106" t="n">
        <f aca="false">IFERROR(INDEX(CHAMADOS_GOP!C$2:C$500,MATCH(6,CHAMADOS_GOP!$AB$2:$AB$500,0)),"")</f>
        <v>313806</v>
      </c>
      <c r="C15" s="106" t="str">
        <f aca="false">IFERROR(INDEX(CHAMADOS_GOP!D$2:D$500,MATCH(6,CHAMADOS_GOP!$AB$2:$AB$500,0)),"")</f>
        <v>Espaço de Desenvolvimento Infantil Educandário de Santa Cruz</v>
      </c>
      <c r="D15" s="106" t="str">
        <f aca="false">IFERROR(INDEX(CHAMADOS_GOP!E$2:E$500,MATCH(6,CHAMADOS_GOP!$AB$2:$AB$500,0)),"")</f>
        <v>A confirmar pela unidade</v>
      </c>
      <c r="E15" s="106" t="str">
        <f aca="false">IFERROR(INDEX(CHAMADOS_GOP!F$2:F$500,MATCH(6,CHAMADOS_GOP!$AB$2:$AB$500,0)),"")</f>
        <v>Substituição/Instalação de Aparelho</v>
      </c>
      <c r="F15" s="106" t="str">
        <f aca="false">IFERROR(INDEX(CHAMADOS_GOP!O$2:O$500,MATCH(6,CHAMADOS_GOP!$AB$2:$AB$500,0)),"")</f>
        <v>17 - Serviço iniciado</v>
      </c>
      <c r="G15" s="106" t="str">
        <f aca="false">IFERROR(INDEX(CHAMADOS_GOP!P$2:P$500,MATCH(6,CHAMADOS_GOP!$AB$2:$AB$500,0)),"")</f>
        <v>GIN / Unidade Escolar</v>
      </c>
      <c r="H15" s="106" t="str">
        <f aca="false">IFERROR(INDEX(CHAMADOS_GOP!Q$2:Q$500,MATCH(6,CHAMADOS_GOP!$AB$2:$AB$500,0)),"")</f>
        <v>Acompanhar execução e registrar data de conclusão.</v>
      </c>
      <c r="I15" s="107" t="n">
        <f aca="false">IFERROR(INDEX(CHAMADOS_GOP!R$2:R$500,MATCH(6,CHAMADOS_GOP!$AB$2:$AB$500,0)),"")</f>
        <v>46164</v>
      </c>
      <c r="J15" s="108" t="n">
        <f aca="false">IFERROR(INDEX(CHAMADOS_GOP!S$2:S$500,MATCH(6,CHAMADOS_GOP!$AB$2:$AB$500,0)),"")</f>
        <v>7</v>
      </c>
    </row>
    <row r="16" customFormat="false" ht="18" hidden="false" customHeight="true" outlineLevel="0" collapsed="false">
      <c r="A16" s="103" t="str">
        <f aca="false">IFERROR(INDEX(CHAMADOS_GOP!B$2:B$500,MATCH(7,CHAMADOS_GOP!$AB$2:$AB$500,0)),"")</f>
        <v>GOP-AR-2026-0008</v>
      </c>
      <c r="B16" s="103" t="n">
        <f aca="false">IFERROR(INDEX(CHAMADOS_GOP!C$2:C$500,MATCH(7,CHAMADOS_GOP!$AB$2:$AB$500,0)),"")</f>
        <v>312014</v>
      </c>
      <c r="C16" s="103" t="str">
        <f aca="false">IFERROR(INDEX(CHAMADOS_GOP!D$2:D$500,MATCH(7,CHAMADOS_GOP!$AB$2:$AB$500,0)),"")</f>
        <v>Escola Municipal Nereu Sampaio</v>
      </c>
      <c r="D16" s="103" t="str">
        <f aca="false">IFERROR(INDEX(CHAMADOS_GOP!E$2:E$500,MATCH(7,CHAMADOS_GOP!$AB$2:$AB$500,0)),"")</f>
        <v>A confirmar pela unidade</v>
      </c>
      <c r="E16" s="103" t="str">
        <f aca="false">IFERROR(INDEX(CHAMADOS_GOP!F$2:F$500,MATCH(7,CHAMADOS_GOP!$AB$2:$AB$500,0)),"")</f>
        <v>Substituição/Instalação de Aparelho</v>
      </c>
      <c r="F16" s="103" t="str">
        <f aca="false">IFERROR(INDEX(CHAMADOS_GOP!O$2:O$500,MATCH(7,CHAMADOS_GOP!$AB$2:$AB$500,0)),"")</f>
        <v>17 - Serviço iniciado</v>
      </c>
      <c r="G16" s="103" t="str">
        <f aca="false">IFERROR(INDEX(CHAMADOS_GOP!P$2:P$500,MATCH(7,CHAMADOS_GOP!$AB$2:$AB$500,0)),"")</f>
        <v>GIN / Unidade Escolar</v>
      </c>
      <c r="H16" s="103" t="str">
        <f aca="false">IFERROR(INDEX(CHAMADOS_GOP!Q$2:Q$500,MATCH(7,CHAMADOS_GOP!$AB$2:$AB$500,0)),"")</f>
        <v>Acompanhar execução e registrar data de conclusão.</v>
      </c>
      <c r="I16" s="104" t="n">
        <f aca="false">IFERROR(INDEX(CHAMADOS_GOP!R$2:R$500,MATCH(7,CHAMADOS_GOP!$AB$2:$AB$500,0)),"")</f>
        <v>46168</v>
      </c>
      <c r="J16" s="105" t="n">
        <f aca="false">IFERROR(INDEX(CHAMADOS_GOP!S$2:S$500,MATCH(7,CHAMADOS_GOP!$AB$2:$AB$500,0)),"")</f>
        <v>3</v>
      </c>
    </row>
    <row r="17" customFormat="false" ht="18" hidden="false" customHeight="true" outlineLevel="0" collapsed="false">
      <c r="A17" s="106" t="str">
        <f aca="false">IFERROR(INDEX(CHAMADOS_GOP!B$2:B$500,MATCH(8,CHAMADOS_GOP!$AB$2:$AB$500,0)),"")</f>
        <v>GOP-AR-2026-0009</v>
      </c>
      <c r="B17" s="106" t="n">
        <f aca="false">IFERROR(INDEX(CHAMADOS_GOP!C$2:C$500,MATCH(8,CHAMADOS_GOP!$AB$2:$AB$500,0)),"")</f>
        <v>313002</v>
      </c>
      <c r="C17" s="106" t="str">
        <f aca="false">IFERROR(INDEX(CHAMADOS_GOP!D$2:D$500,MATCH(8,CHAMADOS_GOP!$AB$2:$AB$500,0)),"")</f>
        <v>Escola Municipal José Veríssimo</v>
      </c>
      <c r="D17" s="106" t="str">
        <f aca="false">IFERROR(INDEX(CHAMADOS_GOP!E$2:E$500,MATCH(8,CHAMADOS_GOP!$AB$2:$AB$500,0)),"")</f>
        <v>Salas 01 a 05,08, 09,10,17, 21 e 24</v>
      </c>
      <c r="E17" s="106" t="str">
        <f aca="false">IFERROR(INDEX(CHAMADOS_GOP!F$2:F$500,MATCH(8,CHAMADOS_GOP!$AB$2:$AB$500,0)),"")</f>
        <v>Substituição/Instalação de Aparelho</v>
      </c>
      <c r="F17" s="106" t="str">
        <f aca="false">IFERROR(INDEX(CHAMADOS_GOP!O$2:O$500,MATCH(8,CHAMADOS_GOP!$AB$2:$AB$500,0)),"")</f>
        <v>09 - Aguardando orçamentos da unidade</v>
      </c>
      <c r="G17" s="106" t="str">
        <f aca="false">IFERROR(INDEX(CHAMADOS_GOP!P$2:P$500,MATCH(8,CHAMADOS_GOP!$AB$2:$AB$500,0)),"")</f>
        <v>Unidade Escolar / GIN</v>
      </c>
      <c r="H17" s="106" t="str">
        <f aca="false">IFERROR(INDEX(CHAMADOS_GOP!Q$2:Q$500,MATCH(8,CHAMADOS_GOP!$AB$2:$AB$500,0)),"")</f>
        <v>Cobrar/receber orçamentos e conferir se contemplam o escopo técnico.</v>
      </c>
      <c r="I17" s="107" t="n">
        <f aca="false">IFERROR(INDEX(CHAMADOS_GOP!R$2:R$500,MATCH(8,CHAMADOS_GOP!$AB$2:$AB$500,0)),"")</f>
        <v>46164</v>
      </c>
      <c r="J17" s="108" t="n">
        <f aca="false">IFERROR(INDEX(CHAMADOS_GOP!S$2:S$500,MATCH(8,CHAMADOS_GOP!$AB$2:$AB$500,0)),"")</f>
        <v>7</v>
      </c>
    </row>
    <row r="18" customFormat="false" ht="18" hidden="false" customHeight="true" outlineLevel="0" collapsed="false">
      <c r="A18" s="103" t="str">
        <f aca="false">IFERROR(INDEX(CHAMADOS_GOP!B$2:B$500,MATCH(9,CHAMADOS_GOP!$AB$2:$AB$500,0)),"")</f>
        <v>GOP-AR-2026-0010</v>
      </c>
      <c r="B18" s="103" t="n">
        <f aca="false">IFERROR(INDEX(CHAMADOS_GOP!C$2:C$500,MATCH(9,CHAMADOS_GOP!$AB$2:$AB$500,0)),"")</f>
        <v>313022</v>
      </c>
      <c r="C18" s="103" t="str">
        <f aca="false">IFERROR(INDEX(CHAMADOS_GOP!D$2:D$500,MATCH(9,CHAMADOS_GOP!$AB$2:$AB$500,0)),"")</f>
        <v>Escola Municipal Professor Augusto Paulino Filho</v>
      </c>
      <c r="D18" s="103" t="str">
        <f aca="false">IFERROR(INDEX(CHAMADOS_GOP!E$2:E$500,MATCH(9,CHAMADOS_GOP!$AB$2:$AB$500,0)),"")</f>
        <v>salas 02,10, 15 e 17</v>
      </c>
      <c r="E18" s="103" t="str">
        <f aca="false">IFERROR(INDEX(CHAMADOS_GOP!F$2:F$500,MATCH(9,CHAMADOS_GOP!$AB$2:$AB$500,0)),"")</f>
        <v>Substituição/Instalação de Aparelho</v>
      </c>
      <c r="F18" s="103" t="str">
        <f aca="false">IFERROR(INDEX(CHAMADOS_GOP!O$2:O$500,MATCH(9,CHAMADOS_GOP!$AB$2:$AB$500,0)),"")</f>
        <v>12 - Orçamento aprovado</v>
      </c>
      <c r="G18" s="103" t="str">
        <f aca="false">IFERROR(INDEX(CHAMADOS_GOP!P$2:P$500,MATCH(9,CHAMADOS_GOP!$AB$2:$AB$500,0)),"")</f>
        <v>GIN / Unidade Escolar</v>
      </c>
      <c r="H18" s="103" t="str">
        <f aca="false">IFERROR(INDEX(CHAMADOS_GOP!Q$2:Q$500,MATCH(9,CHAMADOS_GOP!$AB$2:$AB$500,0)),"")</f>
        <v>Confirmar recurso, data de início e previsão de conclusão das adequações.</v>
      </c>
      <c r="I18" s="104" t="n">
        <f aca="false">IFERROR(INDEX(CHAMADOS_GOP!R$2:R$500,MATCH(9,CHAMADOS_GOP!$AB$2:$AB$500,0)),"")</f>
        <v>46164</v>
      </c>
      <c r="J18" s="105" t="n">
        <f aca="false">IFERROR(INDEX(CHAMADOS_GOP!S$2:S$500,MATCH(9,CHAMADOS_GOP!$AB$2:$AB$500,0)),"")</f>
        <v>7</v>
      </c>
    </row>
    <row r="19" customFormat="false" ht="18" hidden="false" customHeight="true" outlineLevel="0" collapsed="false">
      <c r="A19" s="106" t="str">
        <f aca="false">IFERROR(INDEX(CHAMADOS_GOP!B$2:B$500,MATCH(10,CHAMADOS_GOP!$AB$2:$AB$500,0)),"")</f>
        <v>GOP-AR-2026-0011</v>
      </c>
      <c r="B19" s="106" t="n">
        <f aca="false">IFERROR(INDEX(CHAMADOS_GOP!C$2:C$500,MATCH(10,CHAMADOS_GOP!$AB$2:$AB$500,0)),"")</f>
        <v>313018</v>
      </c>
      <c r="C19" s="106" t="str">
        <f aca="false">IFERROR(INDEX(CHAMADOS_GOP!D$2:D$500,MATCH(10,CHAMADOS_GOP!$AB$2:$AB$500,0)),"")</f>
        <v>Escola Municipal Isabel Mendes</v>
      </c>
      <c r="D19" s="106" t="str">
        <f aca="false">IFERROR(INDEX(CHAMADOS_GOP!E$2:E$500,MATCH(10,CHAMADOS_GOP!$AB$2:$AB$500,0)),"")</f>
        <v>salas 1,2,3,4,5,6,7,9,11 e recursos</v>
      </c>
      <c r="E19" s="106" t="str">
        <f aca="false">IFERROR(INDEX(CHAMADOS_GOP!F$2:F$500,MATCH(10,CHAMADOS_GOP!$AB$2:$AB$500,0)),"")</f>
        <v>Substituição/Instalação de Aparelho</v>
      </c>
      <c r="F19" s="106" t="str">
        <f aca="false">IFERROR(INDEX(CHAMADOS_GOP!O$2:O$500,MATCH(10,CHAMADOS_GOP!$AB$2:$AB$500,0)),"")</f>
        <v>09 - Aguardando orçamentos da unidade</v>
      </c>
      <c r="G19" s="106" t="str">
        <f aca="false">IFERROR(INDEX(CHAMADOS_GOP!P$2:P$500,MATCH(10,CHAMADOS_GOP!$AB$2:$AB$500,0)),"")</f>
        <v>Unidade Escolar / GIN</v>
      </c>
      <c r="H19" s="106" t="str">
        <f aca="false">IFERROR(INDEX(CHAMADOS_GOP!Q$2:Q$500,MATCH(10,CHAMADOS_GOP!$AB$2:$AB$500,0)),"")</f>
        <v>Cobrar/receber orçamentos e conferir se contemplam o escopo técnico.</v>
      </c>
      <c r="I19" s="107" t="n">
        <f aca="false">IFERROR(INDEX(CHAMADOS_GOP!R$2:R$500,MATCH(10,CHAMADOS_GOP!$AB$2:$AB$500,0)),"")</f>
        <v>46169</v>
      </c>
      <c r="J19" s="108" t="n">
        <f aca="false">IFERROR(INDEX(CHAMADOS_GOP!S$2:S$500,MATCH(10,CHAMADOS_GOP!$AB$2:$AB$500,0)),"")</f>
        <v>2</v>
      </c>
    </row>
    <row r="20" customFormat="false" ht="18" hidden="false" customHeight="true" outlineLevel="0" collapsed="false">
      <c r="A20" s="103" t="str">
        <f aca="false">IFERROR(INDEX(CHAMADOS_GOP!B$2:B$500,MATCH(11,CHAMADOS_GOP!$AB$2:$AB$500,0)),"")</f>
        <v>GOP-AR-2026-0012</v>
      </c>
      <c r="B20" s="103" t="n">
        <f aca="false">IFERROR(INDEX(CHAMADOS_GOP!C$2:C$500,MATCH(11,CHAMADOS_GOP!$AB$2:$AB$500,0)),"")</f>
        <v>312021</v>
      </c>
      <c r="C20" s="103" t="str">
        <f aca="false">IFERROR(INDEX(CHAMADOS_GOP!D$2:D$500,MATCH(11,CHAMADOS_GOP!$AB$2:$AB$500,0)),"")</f>
        <v>Escola Municipal Eurico Vilela</v>
      </c>
      <c r="D20" s="103" t="str">
        <f aca="false">IFERROR(INDEX(CHAMADOS_GOP!E$2:E$500,MATCH(11,CHAMADOS_GOP!$AB$2:$AB$500,0)),"")</f>
        <v>sala 2 , 5, 10, 9 e 12</v>
      </c>
      <c r="E20" s="103" t="str">
        <f aca="false">IFERROR(INDEX(CHAMADOS_GOP!F$2:F$500,MATCH(11,CHAMADOS_GOP!$AB$2:$AB$500,0)),"")</f>
        <v>Substituição/Instalação de Aparelho</v>
      </c>
      <c r="F20" s="103" t="str">
        <f aca="false">IFERROR(INDEX(CHAMADOS_GOP!O$2:O$500,MATCH(11,CHAMADOS_GOP!$AB$2:$AB$500,0)),"")</f>
        <v>17 - Serviço iniciado</v>
      </c>
      <c r="G20" s="103" t="str">
        <f aca="false">IFERROR(INDEX(CHAMADOS_GOP!P$2:P$500,MATCH(11,CHAMADOS_GOP!$AB$2:$AB$500,0)),"")</f>
        <v>GIN / Unidade Escolar</v>
      </c>
      <c r="H20" s="103" t="str">
        <f aca="false">IFERROR(INDEX(CHAMADOS_GOP!Q$2:Q$500,MATCH(11,CHAMADOS_GOP!$AB$2:$AB$500,0)),"")</f>
        <v>Acompanhar execução e registrar data de conclusão.</v>
      </c>
      <c r="I20" s="104" t="n">
        <f aca="false">IFERROR(INDEX(CHAMADOS_GOP!R$2:R$500,MATCH(11,CHAMADOS_GOP!$AB$2:$AB$500,0)),"")</f>
        <v>46168</v>
      </c>
      <c r="J20" s="105" t="n">
        <f aca="false">IFERROR(INDEX(CHAMADOS_GOP!S$2:S$500,MATCH(11,CHAMADOS_GOP!$AB$2:$AB$500,0)),"")</f>
        <v>3</v>
      </c>
    </row>
    <row r="21" customFormat="false" ht="18" hidden="false" customHeight="true" outlineLevel="0" collapsed="false">
      <c r="A21" s="106" t="str">
        <f aca="false">IFERROR(INDEX(CHAMADOS_GOP!B$2:B$500,MATCH(12,CHAMADOS_GOP!$AB$2:$AB$500,0)),"")</f>
        <v>GOP-AR-2026-0014</v>
      </c>
      <c r="B21" s="106" t="n">
        <f aca="false">IFERROR(INDEX(CHAMADOS_GOP!C$2:C$500,MATCH(12,CHAMADOS_GOP!$AB$2:$AB$500,0)),"")</f>
        <v>313041</v>
      </c>
      <c r="C21" s="106" t="str">
        <f aca="false">IFERROR(INDEX(CHAMADOS_GOP!D$2:D$500,MATCH(12,CHAMADOS_GOP!$AB$2:$AB$500,0)),"")</f>
        <v>Escola Municipal Tobias Barreto</v>
      </c>
      <c r="D21" s="106" t="str">
        <f aca="false">IFERROR(INDEX(CHAMADOS_GOP!E$2:E$500,MATCH(12,CHAMADOS_GOP!$AB$2:$AB$500,0)),"")</f>
        <v>A confirmar pela unidade</v>
      </c>
      <c r="E21" s="106" t="str">
        <f aca="false">IFERROR(INDEX(CHAMADOS_GOP!F$2:F$500,MATCH(12,CHAMADOS_GOP!$AB$2:$AB$500,0)),"")</f>
        <v>Substituição/Instalação de Aparelho</v>
      </c>
      <c r="F21" s="106" t="str">
        <f aca="false">IFERROR(INDEX(CHAMADOS_GOP!O$2:O$500,MATCH(12,CHAMADOS_GOP!$AB$2:$AB$500,0)),"")</f>
        <v>09 - Aguardando orçamentos da unidade</v>
      </c>
      <c r="G21" s="106" t="str">
        <f aca="false">IFERROR(INDEX(CHAMADOS_GOP!P$2:P$500,MATCH(12,CHAMADOS_GOP!$AB$2:$AB$500,0)),"")</f>
        <v>Unidade Escolar / GIN</v>
      </c>
      <c r="H21" s="106" t="str">
        <f aca="false">IFERROR(INDEX(CHAMADOS_GOP!Q$2:Q$500,MATCH(12,CHAMADOS_GOP!$AB$2:$AB$500,0)),"")</f>
        <v>Cobrar/receber orçamentos e conferir se contemplam o escopo técnico.</v>
      </c>
      <c r="I21" s="107" t="n">
        <f aca="false">IFERROR(INDEX(CHAMADOS_GOP!R$2:R$500,MATCH(12,CHAMADOS_GOP!$AB$2:$AB$500,0)),"")</f>
        <v>46169</v>
      </c>
      <c r="J21" s="108" t="n">
        <f aca="false">IFERROR(INDEX(CHAMADOS_GOP!S$2:S$500,MATCH(12,CHAMADOS_GOP!$AB$2:$AB$500,0)),"")</f>
        <v>2</v>
      </c>
    </row>
    <row r="22" customFormat="false" ht="18" hidden="false" customHeight="true" outlineLevel="0" collapsed="false">
      <c r="A22" s="103" t="str">
        <f aca="false">IFERROR(INDEX(CHAMADOS_GOP!B$2:B$500,MATCH(13,CHAMADOS_GOP!$AB$2:$AB$500,0)),"")</f>
        <v>GOP-AR-2026-0017</v>
      </c>
      <c r="B22" s="103" t="n">
        <f aca="false">IFERROR(INDEX(CHAMADOS_GOP!C$2:C$500,MATCH(13,CHAMADOS_GOP!$AB$2:$AB$500,0)),"")</f>
        <v>313007</v>
      </c>
      <c r="C22" s="103" t="str">
        <f aca="false">IFERROR(INDEX(CHAMADOS_GOP!D$2:D$500,MATCH(13,CHAMADOS_GOP!$AB$2:$AB$500,0)),"")</f>
        <v>Escola Municipal Sarmiento</v>
      </c>
      <c r="D22" s="103" t="str">
        <f aca="false">IFERROR(INDEX(CHAMADOS_GOP!E$2:E$500,MATCH(13,CHAMADOS_GOP!$AB$2:$AB$500,0)),"")</f>
        <v>Sala 1, 10, 16</v>
      </c>
      <c r="E22" s="103" t="str">
        <f aca="false">IFERROR(INDEX(CHAMADOS_GOP!F$2:F$500,MATCH(13,CHAMADOS_GOP!$AB$2:$AB$500,0)),"")</f>
        <v>Substituição/Instalação de Aparelho</v>
      </c>
      <c r="F22" s="103" t="str">
        <f aca="false">IFERROR(INDEX(CHAMADOS_GOP!O$2:O$500,MATCH(13,CHAMADOS_GOP!$AB$2:$AB$500,0)),"")</f>
        <v>02 - Em triagem pela GOP</v>
      </c>
      <c r="G22" s="103" t="str">
        <f aca="false">IFERROR(INDEX(CHAMADOS_GOP!P$2:P$500,MATCH(13,CHAMADOS_GOP!$AB$2:$AB$500,0)),"")</f>
        <v>GOP</v>
      </c>
      <c r="H22" s="103" t="str">
        <f aca="false">IFERROR(INDEX(CHAMADOS_GOP!Q$2:Q$500,MATCH(13,CHAMADOS_GOP!$AB$2:$AB$500,0)),"")</f>
        <v>Verificar informações mínimas e definir encaminhamento.</v>
      </c>
      <c r="I22" s="104" t="n">
        <f aca="false">IFERROR(INDEX(CHAMADOS_GOP!R$2:R$500,MATCH(13,CHAMADOS_GOP!$AB$2:$AB$500,0)),"")</f>
        <v>0</v>
      </c>
      <c r="J22" s="105" t="str">
        <f aca="false">IFERROR(INDEX(CHAMADOS_GOP!S$2:S$500,MATCH(13,CHAMADOS_GOP!$AB$2:$AB$500,0)),"")</f>
        <v/>
      </c>
    </row>
    <row r="23" customFormat="false" ht="18" hidden="false" customHeight="true" outlineLevel="0" collapsed="false">
      <c r="A23" s="106" t="str">
        <f aca="false">IFERROR(INDEX(CHAMADOS_GOP!B$2:B$500,MATCH(14,CHAMADOS_GOP!$AB$2:$AB$500,0)),"")</f>
        <v>GOP-AR-2026-0021</v>
      </c>
      <c r="B23" s="106" t="n">
        <f aca="false">IFERROR(INDEX(CHAMADOS_GOP!C$2:C$500,MATCH(14,CHAMADOS_GOP!$AB$2:$AB$500,0)),"")</f>
        <v>312006</v>
      </c>
      <c r="C23" s="106" t="str">
        <f aca="false">IFERROR(INDEX(CHAMADOS_GOP!D$2:D$500,MATCH(14,CHAMADOS_GOP!$AB$2:$AB$500,0)),"")</f>
        <v>Núcleo de Arte Nise da Silveira</v>
      </c>
      <c r="D23" s="106" t="str">
        <f aca="false">IFERROR(INDEX(CHAMADOS_GOP!E$2:E$500,MATCH(14,CHAMADOS_GOP!$AB$2:$AB$500,0)),"")</f>
        <v>Sala de teatro</v>
      </c>
      <c r="E23" s="106" t="str">
        <f aca="false">IFERROR(INDEX(CHAMADOS_GOP!F$2:F$500,MATCH(14,CHAMADOS_GOP!$AB$2:$AB$500,0)),"")</f>
        <v>Substituição/Instalação de Aparelho</v>
      </c>
      <c r="F23" s="106" t="str">
        <f aca="false">IFERROR(INDEX(CHAMADOS_GOP!O$2:O$500,MATCH(14,CHAMADOS_GOP!$AB$2:$AB$500,0)),"")</f>
        <v>27 - Instalação concluída</v>
      </c>
      <c r="G23" s="106" t="str">
        <f aca="false">IFERROR(INDEX(CHAMADOS_GOP!P$2:P$500,MATCH(14,CHAMADOS_GOP!$AB$2:$AB$500,0)),"")</f>
        <v>GOP</v>
      </c>
      <c r="H23" s="106" t="str">
        <f aca="false">IFERROR(INDEX(CHAMADOS_GOP!Q$2:Q$500,MATCH(14,CHAMADOS_GOP!$AB$2:$AB$500,0)),"")</f>
        <v>Confirmar encerramento e atualizar cadastro vivo da unidade.</v>
      </c>
      <c r="I23" s="107" t="n">
        <f aca="false">IFERROR(INDEX(CHAMADOS_GOP!R$2:R$500,MATCH(14,CHAMADOS_GOP!$AB$2:$AB$500,0)),"")</f>
        <v>46164</v>
      </c>
      <c r="J23" s="108" t="n">
        <f aca="false">IFERROR(INDEX(CHAMADOS_GOP!S$2:S$500,MATCH(14,CHAMADOS_GOP!$AB$2:$AB$500,0)),"")</f>
        <v>7</v>
      </c>
    </row>
    <row r="24" customFormat="false" ht="18" hidden="false" customHeight="true" outlineLevel="0" collapsed="false">
      <c r="A24" s="103" t="str">
        <f aca="false">IFERROR(INDEX(CHAMADOS_GOP!B$2:B$500,MATCH(15,CHAMADOS_GOP!$AB$2:$AB$500,0)),"")</f>
        <v>GOP-AR-2026-0022</v>
      </c>
      <c r="B24" s="103" t="n">
        <f aca="false">IFERROR(INDEX(CHAMADOS_GOP!C$2:C$500,MATCH(15,CHAMADOS_GOP!$AB$2:$AB$500,0)),"")</f>
        <v>328602</v>
      </c>
      <c r="C24" s="103" t="str">
        <f aca="false">IFERROR(INDEX(CHAMADOS_GOP!D$2:D$500,MATCH(15,CHAMADOS_GOP!$AB$2:$AB$500,0)),"")</f>
        <v>Creche Municipal Tia Andreza</v>
      </c>
      <c r="D24" s="103" t="str">
        <f aca="false">IFERROR(INDEX(CHAMADOS_GOP!E$2:E$500,MATCH(15,CHAMADOS_GOP!$AB$2:$AB$500,0)),"")</f>
        <v>Refeitório, sala dos professores, salas 1 e 4</v>
      </c>
      <c r="E24" s="103" t="str">
        <f aca="false">IFERROR(INDEX(CHAMADOS_GOP!F$2:F$500,MATCH(15,CHAMADOS_GOP!$AB$2:$AB$500,0)),"")</f>
        <v>Substituição/Instalação de Aparelho</v>
      </c>
      <c r="F24" s="103" t="str">
        <f aca="false">IFERROR(INDEX(CHAMADOS_GOP!O$2:O$500,MATCH(15,CHAMADOS_GOP!$AB$2:$AB$500,0)),"")</f>
        <v>09 - Aguardando orçamentos da unidade</v>
      </c>
      <c r="G24" s="103" t="str">
        <f aca="false">IFERROR(INDEX(CHAMADOS_GOP!P$2:P$500,MATCH(15,CHAMADOS_GOP!$AB$2:$AB$500,0)),"")</f>
        <v>Unidade Escolar / GIN</v>
      </c>
      <c r="H24" s="103" t="str">
        <f aca="false">IFERROR(INDEX(CHAMADOS_GOP!Q$2:Q$500,MATCH(15,CHAMADOS_GOP!$AB$2:$AB$500,0)),"")</f>
        <v>Cobrar/receber orçamentos e conferir se contemplam o escopo técnico.</v>
      </c>
      <c r="I24" s="104" t="n">
        <f aca="false">IFERROR(INDEX(CHAMADOS_GOP!R$2:R$500,MATCH(15,CHAMADOS_GOP!$AB$2:$AB$500,0)),"")</f>
        <v>46164</v>
      </c>
      <c r="J24" s="105" t="n">
        <f aca="false">IFERROR(INDEX(CHAMADOS_GOP!S$2:S$500,MATCH(15,CHAMADOS_GOP!$AB$2:$AB$500,0)),"")</f>
        <v>7</v>
      </c>
    </row>
    <row r="25" customFormat="false" ht="18" hidden="false" customHeight="true" outlineLevel="0" collapsed="false">
      <c r="A25" s="106" t="str">
        <f aca="false">IFERROR(INDEX(CHAMADOS_GOP!B$2:B$500,MATCH(16,CHAMADOS_GOP!$AB$2:$AB$500,0)),"")</f>
        <v>GOP-AR-2026-0023</v>
      </c>
      <c r="B25" s="106" t="n">
        <f aca="false">IFERROR(INDEX(CHAMADOS_GOP!C$2:C$500,MATCH(16,CHAMADOS_GOP!$AB$2:$AB$500,0)),"")</f>
        <v>328501</v>
      </c>
      <c r="C25" s="106" t="str">
        <f aca="false">IFERROR(INDEX(CHAMADOS_GOP!D$2:D$500,MATCH(16,CHAMADOS_GOP!$AB$2:$AB$500,0)),"")</f>
        <v>CIEP Vinicius de Moraes</v>
      </c>
      <c r="D25" s="106" t="str">
        <f aca="false">IFERROR(INDEX(CHAMADOS_GOP!E$2:E$500,MATCH(16,CHAMADOS_GOP!$AB$2:$AB$500,0)),"")</f>
        <v>Salas 1, 2, 4, 6, 7, 11, 10 e 12</v>
      </c>
      <c r="E25" s="106" t="str">
        <f aca="false">IFERROR(INDEX(CHAMADOS_GOP!F$2:F$500,MATCH(16,CHAMADOS_GOP!$AB$2:$AB$500,0)),"")</f>
        <v>Substituição/Instalação de Aparelho</v>
      </c>
      <c r="F25" s="106" t="str">
        <f aca="false">IFERROR(INDEX(CHAMADOS_GOP!O$2:O$500,MATCH(16,CHAMADOS_GOP!$AB$2:$AB$500,0)),"")</f>
        <v>27 - Instalação concluída</v>
      </c>
      <c r="G25" s="106" t="str">
        <f aca="false">IFERROR(INDEX(CHAMADOS_GOP!P$2:P$500,MATCH(16,CHAMADOS_GOP!$AB$2:$AB$500,0)),"")</f>
        <v>GOP</v>
      </c>
      <c r="H25" s="106" t="str">
        <f aca="false">IFERROR(INDEX(CHAMADOS_GOP!Q$2:Q$500,MATCH(16,CHAMADOS_GOP!$AB$2:$AB$500,0)),"")</f>
        <v>Confirmar encerramento e atualizar cadastro vivo da unidade.</v>
      </c>
      <c r="I25" s="107" t="n">
        <f aca="false">IFERROR(INDEX(CHAMADOS_GOP!R$2:R$500,MATCH(16,CHAMADOS_GOP!$AB$2:$AB$500,0)),"")</f>
        <v>46164</v>
      </c>
      <c r="J25" s="108" t="n">
        <f aca="false">IFERROR(INDEX(CHAMADOS_GOP!S$2:S$500,MATCH(16,CHAMADOS_GOP!$AB$2:$AB$500,0)),"")</f>
        <v>7</v>
      </c>
    </row>
    <row r="26" customFormat="false" ht="18" hidden="false" customHeight="true" outlineLevel="0" collapsed="false">
      <c r="A26" s="103" t="str">
        <f aca="false">IFERROR(INDEX(CHAMADOS_GOP!B$2:B$500,MATCH(17,CHAMADOS_GOP!$AB$2:$AB$500,0)),"")</f>
        <v>GOP-AR-2026-0025</v>
      </c>
      <c r="B26" s="103" t="n">
        <f aca="false">IFERROR(INDEX(CHAMADOS_GOP!C$2:C$500,MATCH(17,CHAMADOS_GOP!$AB$2:$AB$500,0)),"")</f>
        <v>313055</v>
      </c>
      <c r="C26" s="103" t="str">
        <f aca="false">IFERROR(INDEX(CHAMADOS_GOP!D$2:D$500,MATCH(17,CHAMADOS_GOP!$AB$2:$AB$500,0)),"")</f>
        <v>Escola Especial Municipal Doutor Ulisses Pernambucano</v>
      </c>
      <c r="D26" s="103" t="str">
        <f aca="false">IFERROR(INDEX(CHAMADOS_GOP!E$2:E$500,MATCH(17,CHAMADOS_GOP!$AB$2:$AB$500,0)),"")</f>
        <v>sala de leitura</v>
      </c>
      <c r="E26" s="103" t="str">
        <f aca="false">IFERROR(INDEX(CHAMADOS_GOP!F$2:F$500,MATCH(17,CHAMADOS_GOP!$AB$2:$AB$500,0)),"")</f>
        <v>Substituição/Instalação de Aparelho</v>
      </c>
      <c r="F26" s="103" t="str">
        <f aca="false">IFERROR(INDEX(CHAMADOS_GOP!O$2:O$500,MATCH(17,CHAMADOS_GOP!$AB$2:$AB$500,0)),"")</f>
        <v>09 - Aguardando orçamentos da unidade</v>
      </c>
      <c r="G26" s="103" t="str">
        <f aca="false">IFERROR(INDEX(CHAMADOS_GOP!P$2:P$500,MATCH(17,CHAMADOS_GOP!$AB$2:$AB$500,0)),"")</f>
        <v>Unidade Escolar / GIN</v>
      </c>
      <c r="H26" s="103" t="str">
        <f aca="false">IFERROR(INDEX(CHAMADOS_GOP!Q$2:Q$500,MATCH(17,CHAMADOS_GOP!$AB$2:$AB$500,0)),"")</f>
        <v>Cobrar/receber orçamentos e conferir se contemplam o escopo técnico.</v>
      </c>
      <c r="I26" s="104" t="n">
        <f aca="false">IFERROR(INDEX(CHAMADOS_GOP!R$2:R$500,MATCH(17,CHAMADOS_GOP!$AB$2:$AB$500,0)),"")</f>
        <v>46168</v>
      </c>
      <c r="J26" s="105" t="n">
        <f aca="false">IFERROR(INDEX(CHAMADOS_GOP!S$2:S$500,MATCH(17,CHAMADOS_GOP!$AB$2:$AB$500,0)),"")</f>
        <v>3</v>
      </c>
    </row>
    <row r="27" customFormat="false" ht="18" hidden="false" customHeight="true" outlineLevel="0" collapsed="false">
      <c r="A27" s="106" t="str">
        <f aca="false">IFERROR(INDEX(CHAMADOS_GOP!B$2:B$500,MATCH(18,CHAMADOS_GOP!$AB$2:$AB$500,0)),"")</f>
        <v>GOP-AR-2026-0026</v>
      </c>
      <c r="B27" s="106" t="n">
        <f aca="false">IFERROR(INDEX(CHAMADOS_GOP!C$2:C$500,MATCH(18,CHAMADOS_GOP!$AB$2:$AB$500,0)),"")</f>
        <v>330601</v>
      </c>
      <c r="C27" s="106" t="str">
        <f aca="false">IFERROR(INDEX(CHAMADOS_GOP!D$2:D$500,MATCH(18,CHAMADOS_GOP!$AB$2:$AB$500,0)),"")</f>
        <v>Creche Municipal José de Vieira da Silva</v>
      </c>
      <c r="D27" s="106" t="str">
        <f aca="false">IFERROR(INDEX(CHAMADOS_GOP!E$2:E$500,MATCH(18,CHAMADOS_GOP!$AB$2:$AB$500,0)),"")</f>
        <v>refeitório</v>
      </c>
      <c r="E27" s="106" t="str">
        <f aca="false">IFERROR(INDEX(CHAMADOS_GOP!F$2:F$500,MATCH(18,CHAMADOS_GOP!$AB$2:$AB$500,0)),"")</f>
        <v>Substituição/Instalação de Aparelho</v>
      </c>
      <c r="F27" s="106" t="str">
        <f aca="false">IFERROR(INDEX(CHAMADOS_GOP!O$2:O$500,MATCH(18,CHAMADOS_GOP!$AB$2:$AB$500,0)),"")</f>
        <v>09 - Aguardando orçamentos da unidade</v>
      </c>
      <c r="G27" s="106" t="str">
        <f aca="false">IFERROR(INDEX(CHAMADOS_GOP!P$2:P$500,MATCH(18,CHAMADOS_GOP!$AB$2:$AB$500,0)),"")</f>
        <v>Unidade Escolar / GIN</v>
      </c>
      <c r="H27" s="106" t="str">
        <f aca="false">IFERROR(INDEX(CHAMADOS_GOP!Q$2:Q$500,MATCH(18,CHAMADOS_GOP!$AB$2:$AB$500,0)),"")</f>
        <v>Cobrar/receber orçamentos e conferir se contemplam o escopo técnico.</v>
      </c>
      <c r="I27" s="107" t="n">
        <f aca="false">IFERROR(INDEX(CHAMADOS_GOP!R$2:R$500,MATCH(18,CHAMADOS_GOP!$AB$2:$AB$500,0)),"")</f>
        <v>46164</v>
      </c>
      <c r="J27" s="108" t="n">
        <f aca="false">IFERROR(INDEX(CHAMADOS_GOP!S$2:S$500,MATCH(18,CHAMADOS_GOP!$AB$2:$AB$500,0)),"")</f>
        <v>7</v>
      </c>
    </row>
    <row r="28" customFormat="false" ht="18" hidden="false" customHeight="true" outlineLevel="0" collapsed="false">
      <c r="A28" s="103" t="str">
        <f aca="false">IFERROR(INDEX(CHAMADOS_GOP!B$2:B$500,MATCH(19,CHAMADOS_GOP!$AB$2:$AB$500,0)),"")</f>
        <v>GOP-AR-2026-0028</v>
      </c>
      <c r="B28" s="103" t="n">
        <f aca="false">IFERROR(INDEX(CHAMADOS_GOP!C$2:C$500,MATCH(19,CHAMADOS_GOP!$AB$2:$AB$500,0)),"")</f>
        <v>312033</v>
      </c>
      <c r="C28" s="103" t="str">
        <f aca="false">IFERROR(INDEX(CHAMADOS_GOP!D$2:D$500,MATCH(19,CHAMADOS_GOP!$AB$2:$AB$500,0)),"")</f>
        <v>Escola Municipal Levy Neves</v>
      </c>
      <c r="D28" s="103" t="str">
        <f aca="false">IFERROR(INDEX(CHAMADOS_GOP!E$2:E$500,MATCH(19,CHAMADOS_GOP!$AB$2:$AB$500,0)),"")</f>
        <v>A confirmar pela unidade</v>
      </c>
      <c r="E28" s="103" t="str">
        <f aca="false">IFERROR(INDEX(CHAMADOS_GOP!F$2:F$500,MATCH(19,CHAMADOS_GOP!$AB$2:$AB$500,0)),"")</f>
        <v>Substituição/Instalação de Aparelho</v>
      </c>
      <c r="F28" s="103" t="str">
        <f aca="false">IFERROR(INDEX(CHAMADOS_GOP!O$2:O$500,MATCH(19,CHAMADOS_GOP!$AB$2:$AB$500,0)),"")</f>
        <v>04 - Aguardando agendamento de vistoria</v>
      </c>
      <c r="G28" s="103" t="str">
        <f aca="false">IFERROR(INDEX(CHAMADOS_GOP!P$2:P$500,MATCH(19,CHAMADOS_GOP!$AB$2:$AB$500,0)),"")</f>
        <v>CPS</v>
      </c>
      <c r="H28" s="103" t="str">
        <f aca="false">IFERROR(INDEX(CHAMADOS_GOP!Q$2:Q$500,MATCH(19,CHAMADOS_GOP!$AB$2:$AB$500,0)),"")</f>
        <v>Acompanhar agendamento de vistoria técnica pela CPS.</v>
      </c>
      <c r="I28" s="104" t="n">
        <f aca="false">IFERROR(INDEX(CHAMADOS_GOP!R$2:R$500,MATCH(19,CHAMADOS_GOP!$AB$2:$AB$500,0)),"")</f>
        <v>46168</v>
      </c>
      <c r="J28" s="105" t="n">
        <f aca="false">IFERROR(INDEX(CHAMADOS_GOP!S$2:S$500,MATCH(19,CHAMADOS_GOP!$AB$2:$AB$500,0)),"")</f>
        <v>3</v>
      </c>
    </row>
    <row r="29" customFormat="false" ht="18" hidden="false" customHeight="true" outlineLevel="0" collapsed="false">
      <c r="A29" s="106" t="str">
        <f aca="false">IFERROR(INDEX(CHAMADOS_GOP!B$2:B$500,MATCH(20,CHAMADOS_GOP!$AB$2:$AB$500,0)),"")</f>
        <v/>
      </c>
      <c r="B29" s="106" t="str">
        <f aca="false">IFERROR(INDEX(CHAMADOS_GOP!C$2:C$500,MATCH(20,CHAMADOS_GOP!$AB$2:$AB$500,0)),"")</f>
        <v/>
      </c>
      <c r="C29" s="106" t="str">
        <f aca="false">IFERROR(INDEX(CHAMADOS_GOP!D$2:D$500,MATCH(20,CHAMADOS_GOP!$AB$2:$AB$500,0)),"")</f>
        <v/>
      </c>
      <c r="D29" s="106" t="str">
        <f aca="false">IFERROR(INDEX(CHAMADOS_GOP!E$2:E$500,MATCH(20,CHAMADOS_GOP!$AB$2:$AB$500,0)),"")</f>
        <v/>
      </c>
      <c r="E29" s="106" t="str">
        <f aca="false">IFERROR(INDEX(CHAMADOS_GOP!F$2:F$500,MATCH(20,CHAMADOS_GOP!$AB$2:$AB$500,0)),"")</f>
        <v/>
      </c>
      <c r="F29" s="106" t="str">
        <f aca="false">IFERROR(INDEX(CHAMADOS_GOP!O$2:O$500,MATCH(20,CHAMADOS_GOP!$AB$2:$AB$500,0)),"")</f>
        <v/>
      </c>
      <c r="G29" s="106" t="str">
        <f aca="false">IFERROR(INDEX(CHAMADOS_GOP!P$2:P$500,MATCH(20,CHAMADOS_GOP!$AB$2:$AB$500,0)),"")</f>
        <v/>
      </c>
      <c r="H29" s="106" t="str">
        <f aca="false">IFERROR(INDEX(CHAMADOS_GOP!Q$2:Q$500,MATCH(20,CHAMADOS_GOP!$AB$2:$AB$500,0)),"")</f>
        <v/>
      </c>
      <c r="I29" s="107" t="str">
        <f aca="false">IFERROR(INDEX(CHAMADOS_GOP!R$2:R$500,MATCH(20,CHAMADOS_GOP!$AB$2:$AB$500,0)),"")</f>
        <v/>
      </c>
      <c r="J29" s="108" t="str">
        <f aca="false">IFERROR(INDEX(CHAMADOS_GOP!S$2:S$500,MATCH(20,CHAMADOS_GOP!$AB$2:$AB$500,0)),"")</f>
        <v/>
      </c>
    </row>
    <row r="30" customFormat="false" ht="18" hidden="false" customHeight="true" outlineLevel="0" collapsed="false">
      <c r="A30" s="103" t="str">
        <f aca="false">IFERROR(INDEX(CHAMADOS_GOP!B$2:B$500,MATCH(21,CHAMADOS_GOP!$AB$2:$AB$500,0)),"")</f>
        <v/>
      </c>
      <c r="B30" s="103" t="str">
        <f aca="false">IFERROR(INDEX(CHAMADOS_GOP!C$2:C$500,MATCH(21,CHAMADOS_GOP!$AB$2:$AB$500,0)),"")</f>
        <v/>
      </c>
      <c r="C30" s="103" t="str">
        <f aca="false">IFERROR(INDEX(CHAMADOS_GOP!D$2:D$500,MATCH(21,CHAMADOS_GOP!$AB$2:$AB$500,0)),"")</f>
        <v/>
      </c>
      <c r="D30" s="103" t="str">
        <f aca="false">IFERROR(INDEX(CHAMADOS_GOP!E$2:E$500,MATCH(21,CHAMADOS_GOP!$AB$2:$AB$500,0)),"")</f>
        <v/>
      </c>
      <c r="E30" s="103" t="str">
        <f aca="false">IFERROR(INDEX(CHAMADOS_GOP!F$2:F$500,MATCH(21,CHAMADOS_GOP!$AB$2:$AB$500,0)),"")</f>
        <v/>
      </c>
      <c r="F30" s="103" t="str">
        <f aca="false">IFERROR(INDEX(CHAMADOS_GOP!O$2:O$500,MATCH(21,CHAMADOS_GOP!$AB$2:$AB$500,0)),"")</f>
        <v/>
      </c>
      <c r="G30" s="103" t="str">
        <f aca="false">IFERROR(INDEX(CHAMADOS_GOP!P$2:P$500,MATCH(21,CHAMADOS_GOP!$AB$2:$AB$500,0)),"")</f>
        <v/>
      </c>
      <c r="H30" s="103" t="str">
        <f aca="false">IFERROR(INDEX(CHAMADOS_GOP!Q$2:Q$500,MATCH(21,CHAMADOS_GOP!$AB$2:$AB$500,0)),"")</f>
        <v/>
      </c>
      <c r="I30" s="104" t="str">
        <f aca="false">IFERROR(INDEX(CHAMADOS_GOP!R$2:R$500,MATCH(21,CHAMADOS_GOP!$AB$2:$AB$500,0)),"")</f>
        <v/>
      </c>
      <c r="J30" s="105" t="str">
        <f aca="false">IFERROR(INDEX(CHAMADOS_GOP!S$2:S$500,MATCH(21,CHAMADOS_GOP!$AB$2:$AB$500,0)),"")</f>
        <v/>
      </c>
    </row>
    <row r="31" customFormat="false" ht="18" hidden="false" customHeight="true" outlineLevel="0" collapsed="false">
      <c r="A31" s="106" t="str">
        <f aca="false">IFERROR(INDEX(CHAMADOS_GOP!B$2:B$500,MATCH(22,CHAMADOS_GOP!$AB$2:$AB$500,0)),"")</f>
        <v/>
      </c>
      <c r="B31" s="106" t="str">
        <f aca="false">IFERROR(INDEX(CHAMADOS_GOP!C$2:C$500,MATCH(22,CHAMADOS_GOP!$AB$2:$AB$500,0)),"")</f>
        <v/>
      </c>
      <c r="C31" s="106" t="str">
        <f aca="false">IFERROR(INDEX(CHAMADOS_GOP!D$2:D$500,MATCH(22,CHAMADOS_GOP!$AB$2:$AB$500,0)),"")</f>
        <v/>
      </c>
      <c r="D31" s="106" t="str">
        <f aca="false">IFERROR(INDEX(CHAMADOS_GOP!E$2:E$500,MATCH(22,CHAMADOS_GOP!$AB$2:$AB$500,0)),"")</f>
        <v/>
      </c>
      <c r="E31" s="106" t="str">
        <f aca="false">IFERROR(INDEX(CHAMADOS_GOP!F$2:F$500,MATCH(22,CHAMADOS_GOP!$AB$2:$AB$500,0)),"")</f>
        <v/>
      </c>
      <c r="F31" s="106" t="str">
        <f aca="false">IFERROR(INDEX(CHAMADOS_GOP!O$2:O$500,MATCH(22,CHAMADOS_GOP!$AB$2:$AB$500,0)),"")</f>
        <v/>
      </c>
      <c r="G31" s="106" t="str">
        <f aca="false">IFERROR(INDEX(CHAMADOS_GOP!P$2:P$500,MATCH(22,CHAMADOS_GOP!$AB$2:$AB$500,0)),"")</f>
        <v/>
      </c>
      <c r="H31" s="106" t="str">
        <f aca="false">IFERROR(INDEX(CHAMADOS_GOP!Q$2:Q$500,MATCH(22,CHAMADOS_GOP!$AB$2:$AB$500,0)),"")</f>
        <v/>
      </c>
      <c r="I31" s="107" t="str">
        <f aca="false">IFERROR(INDEX(CHAMADOS_GOP!R$2:R$500,MATCH(22,CHAMADOS_GOP!$AB$2:$AB$500,0)),"")</f>
        <v/>
      </c>
      <c r="J31" s="108" t="str">
        <f aca="false">IFERROR(INDEX(CHAMADOS_GOP!S$2:S$500,MATCH(22,CHAMADOS_GOP!$AB$2:$AB$500,0)),"")</f>
        <v/>
      </c>
    </row>
    <row r="32" customFormat="false" ht="18" hidden="false" customHeight="true" outlineLevel="0" collapsed="false">
      <c r="A32" s="103" t="str">
        <f aca="false">IFERROR(INDEX(CHAMADOS_GOP!B$2:B$500,MATCH(23,CHAMADOS_GOP!$AB$2:$AB$500,0)),"")</f>
        <v/>
      </c>
      <c r="B32" s="103" t="str">
        <f aca="false">IFERROR(INDEX(CHAMADOS_GOP!C$2:C$500,MATCH(23,CHAMADOS_GOP!$AB$2:$AB$500,0)),"")</f>
        <v/>
      </c>
      <c r="C32" s="103" t="str">
        <f aca="false">IFERROR(INDEX(CHAMADOS_GOP!D$2:D$500,MATCH(23,CHAMADOS_GOP!$AB$2:$AB$500,0)),"")</f>
        <v/>
      </c>
      <c r="D32" s="103" t="str">
        <f aca="false">IFERROR(INDEX(CHAMADOS_GOP!E$2:E$500,MATCH(23,CHAMADOS_GOP!$AB$2:$AB$500,0)),"")</f>
        <v/>
      </c>
      <c r="E32" s="103" t="str">
        <f aca="false">IFERROR(INDEX(CHAMADOS_GOP!F$2:F$500,MATCH(23,CHAMADOS_GOP!$AB$2:$AB$500,0)),"")</f>
        <v/>
      </c>
      <c r="F32" s="103" t="str">
        <f aca="false">IFERROR(INDEX(CHAMADOS_GOP!O$2:O$500,MATCH(23,CHAMADOS_GOP!$AB$2:$AB$500,0)),"")</f>
        <v/>
      </c>
      <c r="G32" s="103" t="str">
        <f aca="false">IFERROR(INDEX(CHAMADOS_GOP!P$2:P$500,MATCH(23,CHAMADOS_GOP!$AB$2:$AB$500,0)),"")</f>
        <v/>
      </c>
      <c r="H32" s="103" t="str">
        <f aca="false">IFERROR(INDEX(CHAMADOS_GOP!Q$2:Q$500,MATCH(23,CHAMADOS_GOP!$AB$2:$AB$500,0)),"")</f>
        <v/>
      </c>
      <c r="I32" s="104" t="str">
        <f aca="false">IFERROR(INDEX(CHAMADOS_GOP!R$2:R$500,MATCH(23,CHAMADOS_GOP!$AB$2:$AB$500,0)),"")</f>
        <v/>
      </c>
      <c r="J32" s="105" t="str">
        <f aca="false">IFERROR(INDEX(CHAMADOS_GOP!S$2:S$500,MATCH(23,CHAMADOS_GOP!$AB$2:$AB$500,0)),"")</f>
        <v/>
      </c>
    </row>
    <row r="33" customFormat="false" ht="18" hidden="false" customHeight="true" outlineLevel="0" collapsed="false">
      <c r="A33" s="106" t="str">
        <f aca="false">IFERROR(INDEX(CHAMADOS_GOP!B$2:B$500,MATCH(24,CHAMADOS_GOP!$AB$2:$AB$500,0)),"")</f>
        <v/>
      </c>
      <c r="B33" s="106" t="str">
        <f aca="false">IFERROR(INDEX(CHAMADOS_GOP!C$2:C$500,MATCH(24,CHAMADOS_GOP!$AB$2:$AB$500,0)),"")</f>
        <v/>
      </c>
      <c r="C33" s="106" t="str">
        <f aca="false">IFERROR(INDEX(CHAMADOS_GOP!D$2:D$500,MATCH(24,CHAMADOS_GOP!$AB$2:$AB$500,0)),"")</f>
        <v/>
      </c>
      <c r="D33" s="106" t="str">
        <f aca="false">IFERROR(INDEX(CHAMADOS_GOP!E$2:E$500,MATCH(24,CHAMADOS_GOP!$AB$2:$AB$500,0)),"")</f>
        <v/>
      </c>
      <c r="E33" s="106" t="str">
        <f aca="false">IFERROR(INDEX(CHAMADOS_GOP!F$2:F$500,MATCH(24,CHAMADOS_GOP!$AB$2:$AB$500,0)),"")</f>
        <v/>
      </c>
      <c r="F33" s="106" t="str">
        <f aca="false">IFERROR(INDEX(CHAMADOS_GOP!O$2:O$500,MATCH(24,CHAMADOS_GOP!$AB$2:$AB$500,0)),"")</f>
        <v/>
      </c>
      <c r="G33" s="106" t="str">
        <f aca="false">IFERROR(INDEX(CHAMADOS_GOP!P$2:P$500,MATCH(24,CHAMADOS_GOP!$AB$2:$AB$500,0)),"")</f>
        <v/>
      </c>
      <c r="H33" s="106" t="str">
        <f aca="false">IFERROR(INDEX(CHAMADOS_GOP!Q$2:Q$500,MATCH(24,CHAMADOS_GOP!$AB$2:$AB$500,0)),"")</f>
        <v/>
      </c>
      <c r="I33" s="107" t="str">
        <f aca="false">IFERROR(INDEX(CHAMADOS_GOP!R$2:R$500,MATCH(24,CHAMADOS_GOP!$AB$2:$AB$500,0)),"")</f>
        <v/>
      </c>
      <c r="J33" s="108" t="str">
        <f aca="false">IFERROR(INDEX(CHAMADOS_GOP!S$2:S$500,MATCH(24,CHAMADOS_GOP!$AB$2:$AB$500,0)),"")</f>
        <v/>
      </c>
    </row>
    <row r="34" customFormat="false" ht="18" hidden="false" customHeight="true" outlineLevel="0" collapsed="false">
      <c r="A34" s="103" t="str">
        <f aca="false">IFERROR(INDEX(CHAMADOS_GOP!B$2:B$500,MATCH(25,CHAMADOS_GOP!$AB$2:$AB$500,0)),"")</f>
        <v/>
      </c>
      <c r="B34" s="103" t="str">
        <f aca="false">IFERROR(INDEX(CHAMADOS_GOP!C$2:C$500,MATCH(25,CHAMADOS_GOP!$AB$2:$AB$500,0)),"")</f>
        <v/>
      </c>
      <c r="C34" s="103" t="str">
        <f aca="false">IFERROR(INDEX(CHAMADOS_GOP!D$2:D$500,MATCH(25,CHAMADOS_GOP!$AB$2:$AB$500,0)),"")</f>
        <v/>
      </c>
      <c r="D34" s="103" t="str">
        <f aca="false">IFERROR(INDEX(CHAMADOS_GOP!E$2:E$500,MATCH(25,CHAMADOS_GOP!$AB$2:$AB$500,0)),"")</f>
        <v/>
      </c>
      <c r="E34" s="103" t="str">
        <f aca="false">IFERROR(INDEX(CHAMADOS_GOP!F$2:F$500,MATCH(25,CHAMADOS_GOP!$AB$2:$AB$500,0)),"")</f>
        <v/>
      </c>
      <c r="F34" s="103" t="str">
        <f aca="false">IFERROR(INDEX(CHAMADOS_GOP!O$2:O$500,MATCH(25,CHAMADOS_GOP!$AB$2:$AB$500,0)),"")</f>
        <v/>
      </c>
      <c r="G34" s="103" t="str">
        <f aca="false">IFERROR(INDEX(CHAMADOS_GOP!P$2:P$500,MATCH(25,CHAMADOS_GOP!$AB$2:$AB$500,0)),"")</f>
        <v/>
      </c>
      <c r="H34" s="103" t="str">
        <f aca="false">IFERROR(INDEX(CHAMADOS_GOP!Q$2:Q$500,MATCH(25,CHAMADOS_GOP!$AB$2:$AB$500,0)),"")</f>
        <v/>
      </c>
      <c r="I34" s="104" t="str">
        <f aca="false">IFERROR(INDEX(CHAMADOS_GOP!R$2:R$500,MATCH(25,CHAMADOS_GOP!$AB$2:$AB$500,0)),"")</f>
        <v/>
      </c>
      <c r="J34" s="105" t="str">
        <f aca="false">IFERROR(INDEX(CHAMADOS_GOP!S$2:S$500,MATCH(25,CHAMADOS_GOP!$AB$2:$AB$500,0)),"")</f>
        <v/>
      </c>
    </row>
    <row r="35" customFormat="false" ht="18" hidden="false" customHeight="true" outlineLevel="0" collapsed="false">
      <c r="A35" s="106" t="str">
        <f aca="false">IFERROR(INDEX(CHAMADOS_GOP!B$2:B$500,MATCH(26,CHAMADOS_GOP!$AB$2:$AB$500,0)),"")</f>
        <v/>
      </c>
      <c r="B35" s="106" t="str">
        <f aca="false">IFERROR(INDEX(CHAMADOS_GOP!C$2:C$500,MATCH(26,CHAMADOS_GOP!$AB$2:$AB$500,0)),"")</f>
        <v/>
      </c>
      <c r="C35" s="106" t="str">
        <f aca="false">IFERROR(INDEX(CHAMADOS_GOP!D$2:D$500,MATCH(26,CHAMADOS_GOP!$AB$2:$AB$500,0)),"")</f>
        <v/>
      </c>
      <c r="D35" s="106" t="str">
        <f aca="false">IFERROR(INDEX(CHAMADOS_GOP!E$2:E$500,MATCH(26,CHAMADOS_GOP!$AB$2:$AB$500,0)),"")</f>
        <v/>
      </c>
      <c r="E35" s="106" t="str">
        <f aca="false">IFERROR(INDEX(CHAMADOS_GOP!F$2:F$500,MATCH(26,CHAMADOS_GOP!$AB$2:$AB$500,0)),"")</f>
        <v/>
      </c>
      <c r="F35" s="106" t="str">
        <f aca="false">IFERROR(INDEX(CHAMADOS_GOP!O$2:O$500,MATCH(26,CHAMADOS_GOP!$AB$2:$AB$500,0)),"")</f>
        <v/>
      </c>
      <c r="G35" s="106" t="str">
        <f aca="false">IFERROR(INDEX(CHAMADOS_GOP!P$2:P$500,MATCH(26,CHAMADOS_GOP!$AB$2:$AB$500,0)),"")</f>
        <v/>
      </c>
      <c r="H35" s="106" t="str">
        <f aca="false">IFERROR(INDEX(CHAMADOS_GOP!Q$2:Q$500,MATCH(26,CHAMADOS_GOP!$AB$2:$AB$500,0)),"")</f>
        <v/>
      </c>
      <c r="I35" s="107" t="str">
        <f aca="false">IFERROR(INDEX(CHAMADOS_GOP!R$2:R$500,MATCH(26,CHAMADOS_GOP!$AB$2:$AB$500,0)),"")</f>
        <v/>
      </c>
      <c r="J35" s="108" t="str">
        <f aca="false">IFERROR(INDEX(CHAMADOS_GOP!S$2:S$500,MATCH(26,CHAMADOS_GOP!$AB$2:$AB$500,0)),"")</f>
        <v/>
      </c>
    </row>
    <row r="36" customFormat="false" ht="18" hidden="false" customHeight="true" outlineLevel="0" collapsed="false">
      <c r="A36" s="103" t="str">
        <f aca="false">IFERROR(INDEX(CHAMADOS_GOP!B$2:B$500,MATCH(27,CHAMADOS_GOP!$AB$2:$AB$500,0)),"")</f>
        <v/>
      </c>
      <c r="B36" s="103" t="str">
        <f aca="false">IFERROR(INDEX(CHAMADOS_GOP!C$2:C$500,MATCH(27,CHAMADOS_GOP!$AB$2:$AB$500,0)),"")</f>
        <v/>
      </c>
      <c r="C36" s="103" t="str">
        <f aca="false">IFERROR(INDEX(CHAMADOS_GOP!D$2:D$500,MATCH(27,CHAMADOS_GOP!$AB$2:$AB$500,0)),"")</f>
        <v/>
      </c>
      <c r="D36" s="103" t="str">
        <f aca="false">IFERROR(INDEX(CHAMADOS_GOP!E$2:E$500,MATCH(27,CHAMADOS_GOP!$AB$2:$AB$500,0)),"")</f>
        <v/>
      </c>
      <c r="E36" s="103" t="str">
        <f aca="false">IFERROR(INDEX(CHAMADOS_GOP!F$2:F$500,MATCH(27,CHAMADOS_GOP!$AB$2:$AB$500,0)),"")</f>
        <v/>
      </c>
      <c r="F36" s="103" t="str">
        <f aca="false">IFERROR(INDEX(CHAMADOS_GOP!O$2:O$500,MATCH(27,CHAMADOS_GOP!$AB$2:$AB$500,0)),"")</f>
        <v/>
      </c>
      <c r="G36" s="103" t="str">
        <f aca="false">IFERROR(INDEX(CHAMADOS_GOP!P$2:P$500,MATCH(27,CHAMADOS_GOP!$AB$2:$AB$500,0)),"")</f>
        <v/>
      </c>
      <c r="H36" s="103" t="str">
        <f aca="false">IFERROR(INDEX(CHAMADOS_GOP!Q$2:Q$500,MATCH(27,CHAMADOS_GOP!$AB$2:$AB$500,0)),"")</f>
        <v/>
      </c>
      <c r="I36" s="104" t="str">
        <f aca="false">IFERROR(INDEX(CHAMADOS_GOP!R$2:R$500,MATCH(27,CHAMADOS_GOP!$AB$2:$AB$500,0)),"")</f>
        <v/>
      </c>
      <c r="J36" s="105" t="str">
        <f aca="false">IFERROR(INDEX(CHAMADOS_GOP!S$2:S$500,MATCH(27,CHAMADOS_GOP!$AB$2:$AB$500,0)),"")</f>
        <v/>
      </c>
    </row>
    <row r="37" customFormat="false" ht="18" hidden="false" customHeight="true" outlineLevel="0" collapsed="false">
      <c r="A37" s="106" t="str">
        <f aca="false">IFERROR(INDEX(CHAMADOS_GOP!B$2:B$500,MATCH(28,CHAMADOS_GOP!$AB$2:$AB$500,0)),"")</f>
        <v/>
      </c>
      <c r="B37" s="106" t="str">
        <f aca="false">IFERROR(INDEX(CHAMADOS_GOP!C$2:C$500,MATCH(28,CHAMADOS_GOP!$AB$2:$AB$500,0)),"")</f>
        <v/>
      </c>
      <c r="C37" s="106" t="str">
        <f aca="false">IFERROR(INDEX(CHAMADOS_GOP!D$2:D$500,MATCH(28,CHAMADOS_GOP!$AB$2:$AB$500,0)),"")</f>
        <v/>
      </c>
      <c r="D37" s="106" t="str">
        <f aca="false">IFERROR(INDEX(CHAMADOS_GOP!E$2:E$500,MATCH(28,CHAMADOS_GOP!$AB$2:$AB$500,0)),"")</f>
        <v/>
      </c>
      <c r="E37" s="106" t="str">
        <f aca="false">IFERROR(INDEX(CHAMADOS_GOP!F$2:F$500,MATCH(28,CHAMADOS_GOP!$AB$2:$AB$500,0)),"")</f>
        <v/>
      </c>
      <c r="F37" s="106" t="str">
        <f aca="false">IFERROR(INDEX(CHAMADOS_GOP!O$2:O$500,MATCH(28,CHAMADOS_GOP!$AB$2:$AB$500,0)),"")</f>
        <v/>
      </c>
      <c r="G37" s="106" t="str">
        <f aca="false">IFERROR(INDEX(CHAMADOS_GOP!P$2:P$500,MATCH(28,CHAMADOS_GOP!$AB$2:$AB$500,0)),"")</f>
        <v/>
      </c>
      <c r="H37" s="106" t="str">
        <f aca="false">IFERROR(INDEX(CHAMADOS_GOP!Q$2:Q$500,MATCH(28,CHAMADOS_GOP!$AB$2:$AB$500,0)),"")</f>
        <v/>
      </c>
      <c r="I37" s="107" t="str">
        <f aca="false">IFERROR(INDEX(CHAMADOS_GOP!R$2:R$500,MATCH(28,CHAMADOS_GOP!$AB$2:$AB$500,0)),"")</f>
        <v/>
      </c>
      <c r="J37" s="108" t="str">
        <f aca="false">IFERROR(INDEX(CHAMADOS_GOP!S$2:S$500,MATCH(28,CHAMADOS_GOP!$AB$2:$AB$500,0)),"")</f>
        <v/>
      </c>
    </row>
    <row r="38" customFormat="false" ht="18" hidden="false" customHeight="true" outlineLevel="0" collapsed="false">
      <c r="A38" s="103" t="str">
        <f aca="false">IFERROR(INDEX(CHAMADOS_GOP!B$2:B$500,MATCH(29,CHAMADOS_GOP!$AB$2:$AB$500,0)),"")</f>
        <v/>
      </c>
      <c r="B38" s="103" t="str">
        <f aca="false">IFERROR(INDEX(CHAMADOS_GOP!C$2:C$500,MATCH(29,CHAMADOS_GOP!$AB$2:$AB$500,0)),"")</f>
        <v/>
      </c>
      <c r="C38" s="103" t="str">
        <f aca="false">IFERROR(INDEX(CHAMADOS_GOP!D$2:D$500,MATCH(29,CHAMADOS_GOP!$AB$2:$AB$500,0)),"")</f>
        <v/>
      </c>
      <c r="D38" s="103" t="str">
        <f aca="false">IFERROR(INDEX(CHAMADOS_GOP!E$2:E$500,MATCH(29,CHAMADOS_GOP!$AB$2:$AB$500,0)),"")</f>
        <v/>
      </c>
      <c r="E38" s="103" t="str">
        <f aca="false">IFERROR(INDEX(CHAMADOS_GOP!F$2:F$500,MATCH(29,CHAMADOS_GOP!$AB$2:$AB$500,0)),"")</f>
        <v/>
      </c>
      <c r="F38" s="103" t="str">
        <f aca="false">IFERROR(INDEX(CHAMADOS_GOP!O$2:O$500,MATCH(29,CHAMADOS_GOP!$AB$2:$AB$500,0)),"")</f>
        <v/>
      </c>
      <c r="G38" s="103" t="str">
        <f aca="false">IFERROR(INDEX(CHAMADOS_GOP!P$2:P$500,MATCH(29,CHAMADOS_GOP!$AB$2:$AB$500,0)),"")</f>
        <v/>
      </c>
      <c r="H38" s="103" t="str">
        <f aca="false">IFERROR(INDEX(CHAMADOS_GOP!Q$2:Q$500,MATCH(29,CHAMADOS_GOP!$AB$2:$AB$500,0)),"")</f>
        <v/>
      </c>
      <c r="I38" s="104" t="str">
        <f aca="false">IFERROR(INDEX(CHAMADOS_GOP!R$2:R$500,MATCH(29,CHAMADOS_GOP!$AB$2:$AB$500,0)),"")</f>
        <v/>
      </c>
      <c r="J38" s="105" t="str">
        <f aca="false">IFERROR(INDEX(CHAMADOS_GOP!S$2:S$500,MATCH(29,CHAMADOS_GOP!$AB$2:$AB$500,0)),"")</f>
        <v/>
      </c>
    </row>
    <row r="39" customFormat="false" ht="18" hidden="false" customHeight="true" outlineLevel="0" collapsed="false">
      <c r="A39" s="106" t="str">
        <f aca="false">IFERROR(INDEX(CHAMADOS_GOP!B$2:B$500,MATCH(30,CHAMADOS_GOP!$AB$2:$AB$500,0)),"")</f>
        <v/>
      </c>
      <c r="B39" s="106" t="str">
        <f aca="false">IFERROR(INDEX(CHAMADOS_GOP!C$2:C$500,MATCH(30,CHAMADOS_GOP!$AB$2:$AB$500,0)),"")</f>
        <v/>
      </c>
      <c r="C39" s="106" t="str">
        <f aca="false">IFERROR(INDEX(CHAMADOS_GOP!D$2:D$500,MATCH(30,CHAMADOS_GOP!$AB$2:$AB$500,0)),"")</f>
        <v/>
      </c>
      <c r="D39" s="106" t="str">
        <f aca="false">IFERROR(INDEX(CHAMADOS_GOP!E$2:E$500,MATCH(30,CHAMADOS_GOP!$AB$2:$AB$500,0)),"")</f>
        <v/>
      </c>
      <c r="E39" s="106" t="str">
        <f aca="false">IFERROR(INDEX(CHAMADOS_GOP!F$2:F$500,MATCH(30,CHAMADOS_GOP!$AB$2:$AB$500,0)),"")</f>
        <v/>
      </c>
      <c r="F39" s="106" t="str">
        <f aca="false">IFERROR(INDEX(CHAMADOS_GOP!O$2:O$500,MATCH(30,CHAMADOS_GOP!$AB$2:$AB$500,0)),"")</f>
        <v/>
      </c>
      <c r="G39" s="106" t="str">
        <f aca="false">IFERROR(INDEX(CHAMADOS_GOP!P$2:P$500,MATCH(30,CHAMADOS_GOP!$AB$2:$AB$500,0)),"")</f>
        <v/>
      </c>
      <c r="H39" s="106" t="str">
        <f aca="false">IFERROR(INDEX(CHAMADOS_GOP!Q$2:Q$500,MATCH(30,CHAMADOS_GOP!$AB$2:$AB$500,0)),"")</f>
        <v/>
      </c>
      <c r="I39" s="107" t="str">
        <f aca="false">IFERROR(INDEX(CHAMADOS_GOP!R$2:R$500,MATCH(30,CHAMADOS_GOP!$AB$2:$AB$500,0)),"")</f>
        <v/>
      </c>
      <c r="J39" s="108" t="str">
        <f aca="false">IFERROR(INDEX(CHAMADOS_GOP!S$2:S$500,MATCH(30,CHAMADOS_GOP!$AB$2:$AB$500,0)),"")</f>
        <v/>
      </c>
    </row>
    <row r="40" customFormat="false" ht="18" hidden="false" customHeight="true" outlineLevel="0" collapsed="false">
      <c r="A40" s="103" t="str">
        <f aca="false">IFERROR(INDEX(CHAMADOS_GOP!B$2:B$500,MATCH(31,CHAMADOS_GOP!$AB$2:$AB$500,0)),"")</f>
        <v/>
      </c>
      <c r="B40" s="103" t="str">
        <f aca="false">IFERROR(INDEX(CHAMADOS_GOP!C$2:C$500,MATCH(31,CHAMADOS_GOP!$AB$2:$AB$500,0)),"")</f>
        <v/>
      </c>
      <c r="C40" s="103" t="str">
        <f aca="false">IFERROR(INDEX(CHAMADOS_GOP!D$2:D$500,MATCH(31,CHAMADOS_GOP!$AB$2:$AB$500,0)),"")</f>
        <v/>
      </c>
      <c r="D40" s="103" t="str">
        <f aca="false">IFERROR(INDEX(CHAMADOS_GOP!E$2:E$500,MATCH(31,CHAMADOS_GOP!$AB$2:$AB$500,0)),"")</f>
        <v/>
      </c>
      <c r="E40" s="103" t="str">
        <f aca="false">IFERROR(INDEX(CHAMADOS_GOP!F$2:F$500,MATCH(31,CHAMADOS_GOP!$AB$2:$AB$500,0)),"")</f>
        <v/>
      </c>
      <c r="F40" s="103" t="str">
        <f aca="false">IFERROR(INDEX(CHAMADOS_GOP!O$2:O$500,MATCH(31,CHAMADOS_GOP!$AB$2:$AB$500,0)),"")</f>
        <v/>
      </c>
      <c r="G40" s="103" t="str">
        <f aca="false">IFERROR(INDEX(CHAMADOS_GOP!P$2:P$500,MATCH(31,CHAMADOS_GOP!$AB$2:$AB$500,0)),"")</f>
        <v/>
      </c>
      <c r="H40" s="103" t="str">
        <f aca="false">IFERROR(INDEX(CHAMADOS_GOP!Q$2:Q$500,MATCH(31,CHAMADOS_GOP!$AB$2:$AB$500,0)),"")</f>
        <v/>
      </c>
      <c r="I40" s="104" t="str">
        <f aca="false">IFERROR(INDEX(CHAMADOS_GOP!R$2:R$500,MATCH(31,CHAMADOS_GOP!$AB$2:$AB$500,0)),"")</f>
        <v/>
      </c>
      <c r="J40" s="105" t="str">
        <f aca="false">IFERROR(INDEX(CHAMADOS_GOP!S$2:S$500,MATCH(31,CHAMADOS_GOP!$AB$2:$AB$500,0)),"")</f>
        <v/>
      </c>
    </row>
    <row r="41" customFormat="false" ht="18" hidden="false" customHeight="true" outlineLevel="0" collapsed="false">
      <c r="A41" s="106" t="str">
        <f aca="false">IFERROR(INDEX(CHAMADOS_GOP!B$2:B$500,MATCH(32,CHAMADOS_GOP!$AB$2:$AB$500,0)),"")</f>
        <v/>
      </c>
      <c r="B41" s="106" t="str">
        <f aca="false">IFERROR(INDEX(CHAMADOS_GOP!C$2:C$500,MATCH(32,CHAMADOS_GOP!$AB$2:$AB$500,0)),"")</f>
        <v/>
      </c>
      <c r="C41" s="106" t="str">
        <f aca="false">IFERROR(INDEX(CHAMADOS_GOP!D$2:D$500,MATCH(32,CHAMADOS_GOP!$AB$2:$AB$500,0)),"")</f>
        <v/>
      </c>
      <c r="D41" s="106" t="str">
        <f aca="false">IFERROR(INDEX(CHAMADOS_GOP!E$2:E$500,MATCH(32,CHAMADOS_GOP!$AB$2:$AB$500,0)),"")</f>
        <v/>
      </c>
      <c r="E41" s="106" t="str">
        <f aca="false">IFERROR(INDEX(CHAMADOS_GOP!F$2:F$500,MATCH(32,CHAMADOS_GOP!$AB$2:$AB$500,0)),"")</f>
        <v/>
      </c>
      <c r="F41" s="106" t="str">
        <f aca="false">IFERROR(INDEX(CHAMADOS_GOP!O$2:O$500,MATCH(32,CHAMADOS_GOP!$AB$2:$AB$500,0)),"")</f>
        <v/>
      </c>
      <c r="G41" s="106" t="str">
        <f aca="false">IFERROR(INDEX(CHAMADOS_GOP!P$2:P$500,MATCH(32,CHAMADOS_GOP!$AB$2:$AB$500,0)),"")</f>
        <v/>
      </c>
      <c r="H41" s="106" t="str">
        <f aca="false">IFERROR(INDEX(CHAMADOS_GOP!Q$2:Q$500,MATCH(32,CHAMADOS_GOP!$AB$2:$AB$500,0)),"")</f>
        <v/>
      </c>
      <c r="I41" s="107" t="str">
        <f aca="false">IFERROR(INDEX(CHAMADOS_GOP!R$2:R$500,MATCH(32,CHAMADOS_GOP!$AB$2:$AB$500,0)),"")</f>
        <v/>
      </c>
      <c r="J41" s="108" t="str">
        <f aca="false">IFERROR(INDEX(CHAMADOS_GOP!S$2:S$500,MATCH(32,CHAMADOS_GOP!$AB$2:$AB$500,0)),"")</f>
        <v/>
      </c>
    </row>
    <row r="42" customFormat="false" ht="18" hidden="false" customHeight="true" outlineLevel="0" collapsed="false">
      <c r="A42" s="103" t="str">
        <f aca="false">IFERROR(INDEX(CHAMADOS_GOP!B$2:B$500,MATCH(33,CHAMADOS_GOP!$AB$2:$AB$500,0)),"")</f>
        <v/>
      </c>
      <c r="B42" s="103" t="str">
        <f aca="false">IFERROR(INDEX(CHAMADOS_GOP!C$2:C$500,MATCH(33,CHAMADOS_GOP!$AB$2:$AB$500,0)),"")</f>
        <v/>
      </c>
      <c r="C42" s="103" t="str">
        <f aca="false">IFERROR(INDEX(CHAMADOS_GOP!D$2:D$500,MATCH(33,CHAMADOS_GOP!$AB$2:$AB$500,0)),"")</f>
        <v/>
      </c>
      <c r="D42" s="103" t="str">
        <f aca="false">IFERROR(INDEX(CHAMADOS_GOP!E$2:E$500,MATCH(33,CHAMADOS_GOP!$AB$2:$AB$500,0)),"")</f>
        <v/>
      </c>
      <c r="E42" s="103" t="str">
        <f aca="false">IFERROR(INDEX(CHAMADOS_GOP!F$2:F$500,MATCH(33,CHAMADOS_GOP!$AB$2:$AB$500,0)),"")</f>
        <v/>
      </c>
      <c r="F42" s="103" t="str">
        <f aca="false">IFERROR(INDEX(CHAMADOS_GOP!O$2:O$500,MATCH(33,CHAMADOS_GOP!$AB$2:$AB$500,0)),"")</f>
        <v/>
      </c>
      <c r="G42" s="103" t="str">
        <f aca="false">IFERROR(INDEX(CHAMADOS_GOP!P$2:P$500,MATCH(33,CHAMADOS_GOP!$AB$2:$AB$500,0)),"")</f>
        <v/>
      </c>
      <c r="H42" s="103" t="str">
        <f aca="false">IFERROR(INDEX(CHAMADOS_GOP!Q$2:Q$500,MATCH(33,CHAMADOS_GOP!$AB$2:$AB$500,0)),"")</f>
        <v/>
      </c>
      <c r="I42" s="104" t="str">
        <f aca="false">IFERROR(INDEX(CHAMADOS_GOP!R$2:R$500,MATCH(33,CHAMADOS_GOP!$AB$2:$AB$500,0)),"")</f>
        <v/>
      </c>
      <c r="J42" s="105" t="str">
        <f aca="false">IFERROR(INDEX(CHAMADOS_GOP!S$2:S$500,MATCH(33,CHAMADOS_GOP!$AB$2:$AB$500,0)),"")</f>
        <v/>
      </c>
    </row>
    <row r="43" customFormat="false" ht="18" hidden="false" customHeight="true" outlineLevel="0" collapsed="false">
      <c r="A43" s="106" t="str">
        <f aca="false">IFERROR(INDEX(CHAMADOS_GOP!B$2:B$500,MATCH(34,CHAMADOS_GOP!$AB$2:$AB$500,0)),"")</f>
        <v/>
      </c>
      <c r="B43" s="106" t="str">
        <f aca="false">IFERROR(INDEX(CHAMADOS_GOP!C$2:C$500,MATCH(34,CHAMADOS_GOP!$AB$2:$AB$500,0)),"")</f>
        <v/>
      </c>
      <c r="C43" s="106" t="str">
        <f aca="false">IFERROR(INDEX(CHAMADOS_GOP!D$2:D$500,MATCH(34,CHAMADOS_GOP!$AB$2:$AB$500,0)),"")</f>
        <v/>
      </c>
      <c r="D43" s="106" t="str">
        <f aca="false">IFERROR(INDEX(CHAMADOS_GOP!E$2:E$500,MATCH(34,CHAMADOS_GOP!$AB$2:$AB$500,0)),"")</f>
        <v/>
      </c>
      <c r="E43" s="106" t="str">
        <f aca="false">IFERROR(INDEX(CHAMADOS_GOP!F$2:F$500,MATCH(34,CHAMADOS_GOP!$AB$2:$AB$500,0)),"")</f>
        <v/>
      </c>
      <c r="F43" s="106" t="str">
        <f aca="false">IFERROR(INDEX(CHAMADOS_GOP!O$2:O$500,MATCH(34,CHAMADOS_GOP!$AB$2:$AB$500,0)),"")</f>
        <v/>
      </c>
      <c r="G43" s="106" t="str">
        <f aca="false">IFERROR(INDEX(CHAMADOS_GOP!P$2:P$500,MATCH(34,CHAMADOS_GOP!$AB$2:$AB$500,0)),"")</f>
        <v/>
      </c>
      <c r="H43" s="106" t="str">
        <f aca="false">IFERROR(INDEX(CHAMADOS_GOP!Q$2:Q$500,MATCH(34,CHAMADOS_GOP!$AB$2:$AB$500,0)),"")</f>
        <v/>
      </c>
      <c r="I43" s="107" t="str">
        <f aca="false">IFERROR(INDEX(CHAMADOS_GOP!R$2:R$500,MATCH(34,CHAMADOS_GOP!$AB$2:$AB$500,0)),"")</f>
        <v/>
      </c>
      <c r="J43" s="108" t="str">
        <f aca="false">IFERROR(INDEX(CHAMADOS_GOP!S$2:S$500,MATCH(34,CHAMADOS_GOP!$AB$2:$AB$500,0)),"")</f>
        <v/>
      </c>
    </row>
    <row r="44" customFormat="false" ht="18" hidden="false" customHeight="true" outlineLevel="0" collapsed="false">
      <c r="A44" s="103" t="str">
        <f aca="false">IFERROR(INDEX(CHAMADOS_GOP!B$2:B$500,MATCH(35,CHAMADOS_GOP!$AB$2:$AB$500,0)),"")</f>
        <v/>
      </c>
      <c r="B44" s="103" t="str">
        <f aca="false">IFERROR(INDEX(CHAMADOS_GOP!C$2:C$500,MATCH(35,CHAMADOS_GOP!$AB$2:$AB$500,0)),"")</f>
        <v/>
      </c>
      <c r="C44" s="103" t="str">
        <f aca="false">IFERROR(INDEX(CHAMADOS_GOP!D$2:D$500,MATCH(35,CHAMADOS_GOP!$AB$2:$AB$500,0)),"")</f>
        <v/>
      </c>
      <c r="D44" s="103" t="str">
        <f aca="false">IFERROR(INDEX(CHAMADOS_GOP!E$2:E$500,MATCH(35,CHAMADOS_GOP!$AB$2:$AB$500,0)),"")</f>
        <v/>
      </c>
      <c r="E44" s="103" t="str">
        <f aca="false">IFERROR(INDEX(CHAMADOS_GOP!F$2:F$500,MATCH(35,CHAMADOS_GOP!$AB$2:$AB$500,0)),"")</f>
        <v/>
      </c>
      <c r="F44" s="103" t="str">
        <f aca="false">IFERROR(INDEX(CHAMADOS_GOP!O$2:O$500,MATCH(35,CHAMADOS_GOP!$AB$2:$AB$500,0)),"")</f>
        <v/>
      </c>
      <c r="G44" s="103" t="str">
        <f aca="false">IFERROR(INDEX(CHAMADOS_GOP!P$2:P$500,MATCH(35,CHAMADOS_GOP!$AB$2:$AB$500,0)),"")</f>
        <v/>
      </c>
      <c r="H44" s="103" t="str">
        <f aca="false">IFERROR(INDEX(CHAMADOS_GOP!Q$2:Q$500,MATCH(35,CHAMADOS_GOP!$AB$2:$AB$500,0)),"")</f>
        <v/>
      </c>
      <c r="I44" s="104" t="str">
        <f aca="false">IFERROR(INDEX(CHAMADOS_GOP!R$2:R$500,MATCH(35,CHAMADOS_GOP!$AB$2:$AB$500,0)),"")</f>
        <v/>
      </c>
      <c r="J44" s="105" t="str">
        <f aca="false">IFERROR(INDEX(CHAMADOS_GOP!S$2:S$500,MATCH(35,CHAMADOS_GOP!$AB$2:$AB$500,0)),"")</f>
        <v/>
      </c>
    </row>
    <row r="45" customFormat="false" ht="16.5" hidden="false" customHeight="true" outlineLevel="0" collapsed="false">
      <c r="A45" s="106"/>
      <c r="B45" s="106"/>
      <c r="C45" s="106"/>
      <c r="D45" s="106"/>
      <c r="E45" s="106"/>
      <c r="F45" s="106"/>
      <c r="G45" s="106"/>
      <c r="H45" s="106"/>
      <c r="I45" s="107"/>
      <c r="J45" s="108"/>
    </row>
    <row r="46" customFormat="false" ht="16.5" hidden="false" customHeight="true" outlineLevel="0" collapsed="false">
      <c r="A46" s="103"/>
      <c r="B46" s="103"/>
      <c r="C46" s="103"/>
      <c r="D46" s="103"/>
      <c r="E46" s="103"/>
      <c r="F46" s="103"/>
      <c r="G46" s="103"/>
      <c r="H46" s="103"/>
      <c r="I46" s="104"/>
      <c r="J46" s="105"/>
    </row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  <row r="50" customFormat="false" ht="16.5" hidden="false" customHeight="true" outlineLevel="0" collapsed="false"/>
    <row r="51" customFormat="false" ht="16.5" hidden="false" customHeight="true" outlineLevel="0" collapsed="false"/>
    <row r="52" customFormat="false" ht="16.5" hidden="false" customHeight="true" outlineLevel="0" collapsed="false"/>
    <row r="53" customFormat="false" ht="16.5" hidden="false" customHeight="true" outlineLevel="0" collapsed="false"/>
    <row r="54" customFormat="false" ht="16.5" hidden="false" customHeight="true" outlineLevel="0" collapsed="false"/>
    <row r="55" customFormat="false" ht="16.5" hidden="false" customHeight="true" outlineLevel="0" collapsed="false"/>
    <row r="56" customFormat="false" ht="16.5" hidden="false" customHeight="true" outlineLevel="0" collapsed="false"/>
    <row r="57" customFormat="false" ht="16.5" hidden="false" customHeight="true" outlineLevel="0" collapsed="false"/>
    <row r="58" customFormat="false" ht="16.5" hidden="false" customHeight="true" outlineLevel="0" collapsed="false"/>
    <row r="59" customFormat="false" ht="16.5" hidden="false" customHeight="true" outlineLevel="0" collapsed="false"/>
    <row r="60" customFormat="false" ht="16.5" hidden="false" customHeight="true" outlineLevel="0" collapsed="false"/>
    <row r="61" customFormat="false" ht="16.5" hidden="false" customHeight="true" outlineLevel="0" collapsed="false"/>
    <row r="62" customFormat="false" ht="16.5" hidden="false" customHeight="true" outlineLevel="0" collapsed="false"/>
    <row r="63" customFormat="false" ht="16.5" hidden="false" customHeight="true" outlineLevel="0" collapsed="false"/>
    <row r="64" customFormat="false" ht="16.5" hidden="false" customHeight="true" outlineLevel="0" collapsed="false"/>
    <row r="65" customFormat="false" ht="16.5" hidden="false" customHeight="true" outlineLevel="0" collapsed="false"/>
    <row r="66" customFormat="false" ht="16.5" hidden="false" customHeight="true" outlineLevel="0" collapsed="false"/>
    <row r="67" customFormat="false" ht="16.5" hidden="false" customHeight="true" outlineLevel="0" collapsed="false"/>
    <row r="68" customFormat="false" ht="16.5" hidden="false" customHeight="true" outlineLevel="0" collapsed="false"/>
    <row r="69" customFormat="false" ht="16.5" hidden="false" customHeight="true" outlineLevel="0" collapsed="false"/>
    <row r="70" customFormat="false" ht="16.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83" customFormat="false" ht="16.5" hidden="false" customHeight="true" outlineLevel="0" collapsed="false"/>
    <row r="84" customFormat="false" ht="16.5" hidden="false" customHeight="true" outlineLevel="0" collapsed="false"/>
    <row r="85" customFormat="false" ht="16.5" hidden="false" customHeight="true" outlineLevel="0" collapsed="false"/>
    <row r="86" customFormat="false" ht="16.5" hidden="false" customHeight="true" outlineLevel="0" collapsed="false"/>
    <row r="87" customFormat="false" ht="16.5" hidden="false" customHeight="true" outlineLevel="0" collapsed="false"/>
    <row r="88" customFormat="false" ht="16.5" hidden="false" customHeight="true" outlineLevel="0" collapsed="false"/>
    <row r="89" customFormat="false" ht="16.5" hidden="false" customHeight="true" outlineLevel="0" collapsed="false"/>
    <row r="90" customFormat="false" ht="16.5" hidden="false" customHeight="true" outlineLevel="0" collapsed="false"/>
    <row r="91" customFormat="false" ht="16.5" hidden="false" customHeight="true" outlineLevel="0" collapsed="false"/>
    <row r="92" customFormat="false" ht="16.5" hidden="false" customHeight="true" outlineLevel="0" collapsed="false"/>
    <row r="93" customFormat="false" ht="16.5" hidden="false" customHeight="true" outlineLevel="0" collapsed="false"/>
    <row r="94" customFormat="false" ht="16.5" hidden="false" customHeight="true" outlineLevel="0" collapsed="false"/>
    <row r="95" customFormat="false" ht="16.5" hidden="false" customHeight="true" outlineLevel="0" collapsed="false"/>
    <row r="96" customFormat="false" ht="16.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  <row r="99" customFormat="false" ht="16.5" hidden="false" customHeight="true" outlineLevel="0" collapsed="false"/>
    <row r="100" customFormat="false" ht="16.5" hidden="false" customHeight="true" outlineLevel="0" collapsed="false"/>
    <row r="101" customFormat="false" ht="16.5" hidden="false" customHeight="true" outlineLevel="0" collapsed="false"/>
    <row r="102" customFormat="false" ht="16.5" hidden="false" customHeight="true" outlineLevel="0" collapsed="false"/>
    <row r="103" customFormat="false" ht="16.5" hidden="false" customHeight="true" outlineLevel="0" collapsed="false"/>
    <row r="104" customFormat="false" ht="16.5" hidden="false" customHeight="true" outlineLevel="0" collapsed="false"/>
    <row r="105" customFormat="false" ht="16.5" hidden="false" customHeight="true" outlineLevel="0" collapsed="false"/>
    <row r="106" customFormat="false" ht="16.5" hidden="false" customHeight="true" outlineLevel="0" collapsed="false"/>
    <row r="107" customFormat="false" ht="16.5" hidden="false" customHeight="true" outlineLevel="0" collapsed="false"/>
    <row r="108" customFormat="false" ht="16.5" hidden="false" customHeight="true" outlineLevel="0" collapsed="false"/>
    <row r="109" customFormat="false" ht="16.5" hidden="false" customHeight="true" outlineLevel="0" collapsed="false"/>
    <row r="110" customFormat="false" ht="16.5" hidden="false" customHeight="true" outlineLevel="0" collapsed="false"/>
    <row r="111" customFormat="false" ht="16.5" hidden="false" customHeight="true" outlineLevel="0" collapsed="false"/>
    <row r="112" customFormat="false" ht="16.5" hidden="false" customHeight="true" outlineLevel="0" collapsed="false"/>
    <row r="113" customFormat="false" ht="16.5" hidden="false" customHeight="true" outlineLevel="0" collapsed="false"/>
    <row r="114" customFormat="false" ht="16.5" hidden="false" customHeight="true" outlineLevel="0" collapsed="false"/>
    <row r="115" customFormat="false" ht="16.5" hidden="false" customHeight="true" outlineLevel="0" collapsed="false"/>
    <row r="116" customFormat="false" ht="16.5" hidden="false" customHeight="true" outlineLevel="0" collapsed="false"/>
    <row r="117" customFormat="false" ht="16.5" hidden="false" customHeight="true" outlineLevel="0" collapsed="false"/>
    <row r="118" customFormat="false" ht="16.5" hidden="false" customHeight="true" outlineLevel="0" collapsed="false"/>
    <row r="119" customFormat="false" ht="16.5" hidden="false" customHeight="true" outlineLevel="0" collapsed="false"/>
    <row r="120" customFormat="false" ht="16.5" hidden="false" customHeight="true" outlineLevel="0" collapsed="false"/>
    <row r="121" customFormat="false" ht="16.5" hidden="false" customHeight="true" outlineLevel="0" collapsed="false"/>
    <row r="122" customFormat="false" ht="16.5" hidden="false" customHeight="true" outlineLevel="0" collapsed="false"/>
    <row r="123" customFormat="false" ht="16.5" hidden="false" customHeight="true" outlineLevel="0" collapsed="false"/>
    <row r="124" customFormat="false" ht="16.5" hidden="false" customHeight="true" outlineLevel="0" collapsed="false"/>
    <row r="125" customFormat="false" ht="16.5" hidden="false" customHeight="true" outlineLevel="0" collapsed="false"/>
    <row r="126" customFormat="false" ht="16.5" hidden="false" customHeight="true" outlineLevel="0" collapsed="false"/>
    <row r="127" customFormat="false" ht="16.5" hidden="false" customHeight="true" outlineLevel="0" collapsed="false"/>
    <row r="128" customFormat="false" ht="16.5" hidden="false" customHeight="true" outlineLevel="0" collapsed="false"/>
    <row r="129" customFormat="false" ht="16.5" hidden="false" customHeight="true" outlineLevel="0" collapsed="false"/>
    <row r="130" customFormat="false" ht="16.5" hidden="false" customHeight="true" outlineLevel="0" collapsed="false"/>
    <row r="131" customFormat="false" ht="16.5" hidden="false" customHeight="true" outlineLevel="0" collapsed="false"/>
    <row r="132" customFormat="false" ht="16.5" hidden="false" customHeight="true" outlineLevel="0" collapsed="false"/>
    <row r="133" customFormat="false" ht="16.5" hidden="false" customHeight="true" outlineLevel="0" collapsed="false"/>
    <row r="134" customFormat="false" ht="16.5" hidden="false" customHeight="true" outlineLevel="0" collapsed="false"/>
    <row r="135" customFormat="false" ht="16.5" hidden="false" customHeight="true" outlineLevel="0" collapsed="false"/>
    <row r="136" customFormat="false" ht="16.5" hidden="false" customHeight="true" outlineLevel="0" collapsed="false"/>
    <row r="137" customFormat="false" ht="16.5" hidden="false" customHeight="true" outlineLevel="0" collapsed="false"/>
    <row r="138" customFormat="false" ht="16.5" hidden="false" customHeight="true" outlineLevel="0" collapsed="false"/>
    <row r="139" customFormat="false" ht="16.5" hidden="false" customHeight="true" outlineLevel="0" collapsed="false"/>
    <row r="140" customFormat="false" ht="16.5" hidden="false" customHeight="true" outlineLevel="0" collapsed="false"/>
    <row r="141" customFormat="false" ht="16.5" hidden="false" customHeight="true" outlineLevel="0" collapsed="false"/>
    <row r="142" customFormat="false" ht="16.5" hidden="false" customHeight="true" outlineLevel="0" collapsed="false"/>
    <row r="143" customFormat="false" ht="16.5" hidden="false" customHeight="true" outlineLevel="0" collapsed="false"/>
    <row r="144" customFormat="false" ht="16.5" hidden="false" customHeight="true" outlineLevel="0" collapsed="false"/>
    <row r="145" customFormat="false" ht="16.5" hidden="false" customHeight="true" outlineLevel="0" collapsed="false"/>
    <row r="146" customFormat="false" ht="16.5" hidden="false" customHeight="true" outlineLevel="0" collapsed="false"/>
    <row r="147" customFormat="false" ht="16.5" hidden="false" customHeight="true" outlineLevel="0" collapsed="false"/>
    <row r="148" customFormat="false" ht="16.5" hidden="false" customHeight="true" outlineLevel="0" collapsed="false"/>
    <row r="149" customFormat="false" ht="16.5" hidden="false" customHeight="true" outlineLevel="0" collapsed="false"/>
    <row r="150" customFormat="false" ht="16.5" hidden="false" customHeight="true" outlineLevel="0" collapsed="false"/>
    <row r="151" customFormat="false" ht="16.5" hidden="false" customHeight="true" outlineLevel="0" collapsed="false"/>
    <row r="152" customFormat="false" ht="16.5" hidden="false" customHeight="true" outlineLevel="0" collapsed="false"/>
    <row r="153" customFormat="false" ht="16.5" hidden="false" customHeight="true" outlineLevel="0" collapsed="false"/>
    <row r="154" customFormat="false" ht="16.5" hidden="false" customHeight="true" outlineLevel="0" collapsed="false"/>
    <row r="155" customFormat="false" ht="16.5" hidden="false" customHeight="true" outlineLevel="0" collapsed="false"/>
    <row r="156" customFormat="false" ht="16.5" hidden="false" customHeight="true" outlineLevel="0" collapsed="false"/>
    <row r="157" customFormat="false" ht="16.5" hidden="false" customHeight="true" outlineLevel="0" collapsed="false"/>
    <row r="158" customFormat="false" ht="16.5" hidden="false" customHeight="true" outlineLevel="0" collapsed="false"/>
    <row r="159" customFormat="false" ht="16.5" hidden="false" customHeight="true" outlineLevel="0" collapsed="false"/>
    <row r="160" customFormat="false" ht="16.5" hidden="false" customHeight="true" outlineLevel="0" collapsed="false"/>
    <row r="161" customFormat="false" ht="16.5" hidden="false" customHeight="true" outlineLevel="0" collapsed="false"/>
    <row r="162" customFormat="false" ht="16.5" hidden="false" customHeight="true" outlineLevel="0" collapsed="false"/>
    <row r="163" customFormat="false" ht="16.5" hidden="false" customHeight="true" outlineLevel="0" collapsed="false"/>
    <row r="164" customFormat="false" ht="16.5" hidden="false" customHeight="true" outlineLevel="0" collapsed="false"/>
    <row r="165" customFormat="false" ht="16.5" hidden="false" customHeight="true" outlineLevel="0" collapsed="false"/>
    <row r="166" customFormat="false" ht="16.5" hidden="false" customHeight="true" outlineLevel="0" collapsed="false"/>
    <row r="167" customFormat="false" ht="16.5" hidden="false" customHeight="true" outlineLevel="0" collapsed="false"/>
    <row r="168" customFormat="false" ht="16.5" hidden="false" customHeight="true" outlineLevel="0" collapsed="false"/>
    <row r="169" customFormat="false" ht="16.5" hidden="false" customHeight="true" outlineLevel="0" collapsed="false"/>
    <row r="170" customFormat="false" ht="16.5" hidden="false" customHeight="true" outlineLevel="0" collapsed="false"/>
    <row r="171" customFormat="false" ht="16.5" hidden="false" customHeight="true" outlineLevel="0" collapsed="false"/>
    <row r="172" customFormat="false" ht="16.5" hidden="false" customHeight="true" outlineLevel="0" collapsed="false"/>
    <row r="173" customFormat="false" ht="16.5" hidden="false" customHeight="true" outlineLevel="0" collapsed="false"/>
    <row r="174" customFormat="false" ht="16.5" hidden="false" customHeight="true" outlineLevel="0" collapsed="false"/>
    <row r="175" customFormat="false" ht="16.5" hidden="false" customHeight="true" outlineLevel="0" collapsed="false"/>
    <row r="176" customFormat="false" ht="16.5" hidden="false" customHeight="true" outlineLevel="0" collapsed="false"/>
    <row r="177" customFormat="false" ht="16.5" hidden="false" customHeight="true" outlineLevel="0" collapsed="false"/>
    <row r="178" customFormat="false" ht="16.5" hidden="false" customHeight="true" outlineLevel="0" collapsed="false"/>
    <row r="179" customFormat="false" ht="16.5" hidden="false" customHeight="true" outlineLevel="0" collapsed="false"/>
    <row r="180" customFormat="false" ht="16.5" hidden="false" customHeight="true" outlineLevel="0" collapsed="false"/>
    <row r="181" customFormat="false" ht="16.5" hidden="false" customHeight="true" outlineLevel="0" collapsed="false"/>
    <row r="182" customFormat="false" ht="16.5" hidden="false" customHeight="true" outlineLevel="0" collapsed="false"/>
    <row r="183" customFormat="false" ht="16.5" hidden="false" customHeight="true" outlineLevel="0" collapsed="false"/>
    <row r="184" customFormat="false" ht="16.5" hidden="false" customHeight="true" outlineLevel="0" collapsed="false"/>
    <row r="185" customFormat="false" ht="16.5" hidden="false" customHeight="true" outlineLevel="0" collapsed="false"/>
    <row r="186" customFormat="false" ht="16.5" hidden="false" customHeight="true" outlineLevel="0" collapsed="false"/>
    <row r="187" customFormat="false" ht="16.5" hidden="false" customHeight="true" outlineLevel="0" collapsed="false"/>
    <row r="188" customFormat="false" ht="16.5" hidden="false" customHeight="true" outlineLevel="0" collapsed="false"/>
    <row r="189" customFormat="false" ht="16.5" hidden="false" customHeight="true" outlineLevel="0" collapsed="false"/>
    <row r="190" customFormat="false" ht="16.5" hidden="false" customHeight="true" outlineLevel="0" collapsed="false"/>
    <row r="191" customFormat="false" ht="16.5" hidden="false" customHeight="true" outlineLevel="0" collapsed="false"/>
    <row r="192" customFormat="false" ht="16.5" hidden="false" customHeight="true" outlineLevel="0" collapsed="false"/>
    <row r="193" customFormat="false" ht="16.5" hidden="false" customHeight="true" outlineLevel="0" collapsed="false"/>
    <row r="194" customFormat="false" ht="16.5" hidden="false" customHeight="true" outlineLevel="0" collapsed="false"/>
    <row r="195" customFormat="false" ht="16.5" hidden="false" customHeight="true" outlineLevel="0" collapsed="false"/>
    <row r="196" customFormat="false" ht="16.5" hidden="false" customHeight="true" outlineLevel="0" collapsed="false"/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5" customFormat="false" ht="16.5" hidden="false" customHeight="true" outlineLevel="0" collapsed="false"/>
    <row r="236" customFormat="false" ht="16.5" hidden="false" customHeight="true" outlineLevel="0" collapsed="false"/>
    <row r="237" customFormat="false" ht="16.5" hidden="false" customHeight="true" outlineLevel="0" collapsed="false"/>
    <row r="238" customFormat="false" ht="16.5" hidden="false" customHeight="true" outlineLevel="0" collapsed="false"/>
    <row r="239" customFormat="false" ht="16.5" hidden="false" customHeight="true" outlineLevel="0" collapsed="false"/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43" customFormat="false" ht="16.5" hidden="false" customHeight="true" outlineLevel="0" collapsed="false"/>
    <row r="244" customFormat="false" ht="16.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  <row r="250" customFormat="false" ht="16.5" hidden="false" customHeight="true" outlineLevel="0" collapsed="false"/>
    <row r="251" customFormat="false" ht="16.5" hidden="false" customHeight="true" outlineLevel="0" collapsed="false"/>
    <row r="252" customFormat="false" ht="16.5" hidden="false" customHeight="true" outlineLevel="0" collapsed="false"/>
    <row r="253" customFormat="false" ht="16.5" hidden="false" customHeight="true" outlineLevel="0" collapsed="false"/>
    <row r="254" customFormat="false" ht="16.5" hidden="false" customHeight="true" outlineLevel="0" collapsed="false"/>
    <row r="255" customFormat="false" ht="16.5" hidden="false" customHeight="true" outlineLevel="0" collapsed="false"/>
    <row r="256" customFormat="false" ht="16.5" hidden="false" customHeight="true" outlineLevel="0" collapsed="false"/>
    <row r="257" customFormat="false" ht="16.5" hidden="false" customHeight="true" outlineLevel="0" collapsed="false"/>
    <row r="258" customFormat="false" ht="16.5" hidden="false" customHeight="true" outlineLevel="0" collapsed="false"/>
    <row r="259" customFormat="false" ht="16.5" hidden="false" customHeight="true" outlineLevel="0" collapsed="false"/>
    <row r="260" customFormat="false" ht="16.5" hidden="false" customHeight="true" outlineLevel="0" collapsed="false"/>
    <row r="261" customFormat="false" ht="16.5" hidden="false" customHeight="true" outlineLevel="0" collapsed="false"/>
    <row r="262" customFormat="false" ht="16.5" hidden="false" customHeight="true" outlineLevel="0" collapsed="false"/>
    <row r="263" customFormat="false" ht="16.5" hidden="false" customHeight="true" outlineLevel="0" collapsed="false"/>
    <row r="264" customFormat="false" ht="16.5" hidden="false" customHeight="true" outlineLevel="0" collapsed="false"/>
    <row r="265" customFormat="false" ht="16.5" hidden="false" customHeight="true" outlineLevel="0" collapsed="false"/>
    <row r="266" customFormat="false" ht="16.5" hidden="false" customHeight="true" outlineLevel="0" collapsed="false"/>
    <row r="267" customFormat="false" ht="16.5" hidden="false" customHeight="true" outlineLevel="0" collapsed="false"/>
    <row r="268" customFormat="false" ht="16.5" hidden="false" customHeight="true" outlineLevel="0" collapsed="false"/>
    <row r="269" customFormat="false" ht="16.5" hidden="false" customHeight="true" outlineLevel="0" collapsed="false"/>
    <row r="270" customFormat="false" ht="16.5" hidden="false" customHeight="true" outlineLevel="0" collapsed="false"/>
    <row r="271" customFormat="false" ht="16.5" hidden="false" customHeight="true" outlineLevel="0" collapsed="false"/>
    <row r="272" customFormat="false" ht="16.5" hidden="false" customHeight="true" outlineLevel="0" collapsed="false"/>
    <row r="273" customFormat="false" ht="16.5" hidden="false" customHeight="true" outlineLevel="0" collapsed="false"/>
    <row r="274" customFormat="false" ht="16.5" hidden="false" customHeight="true" outlineLevel="0" collapsed="false"/>
    <row r="275" customFormat="false" ht="16.5" hidden="false" customHeight="true" outlineLevel="0" collapsed="false"/>
    <row r="276" customFormat="false" ht="16.5" hidden="false" customHeight="true" outlineLevel="0" collapsed="false"/>
    <row r="277" customFormat="false" ht="16.5" hidden="false" customHeight="true" outlineLevel="0" collapsed="false"/>
    <row r="278" customFormat="false" ht="16.5" hidden="false" customHeight="true" outlineLevel="0" collapsed="false"/>
    <row r="279" customFormat="false" ht="16.5" hidden="false" customHeight="true" outlineLevel="0" collapsed="false"/>
    <row r="280" customFormat="false" ht="16.5" hidden="false" customHeight="true" outlineLevel="0" collapsed="false"/>
    <row r="281" customFormat="false" ht="16.5" hidden="false" customHeight="true" outlineLevel="0" collapsed="false"/>
    <row r="282" customFormat="false" ht="16.5" hidden="false" customHeight="true" outlineLevel="0" collapsed="false"/>
    <row r="283" customFormat="false" ht="16.5" hidden="false" customHeight="true" outlineLevel="0" collapsed="false"/>
    <row r="284" customFormat="false" ht="16.5" hidden="false" customHeight="true" outlineLevel="0" collapsed="false"/>
    <row r="285" customFormat="false" ht="16.5" hidden="false" customHeight="true" outlineLevel="0" collapsed="false"/>
    <row r="286" customFormat="false" ht="16.5" hidden="false" customHeight="true" outlineLevel="0" collapsed="false"/>
    <row r="287" customFormat="false" ht="16.5" hidden="false" customHeight="true" outlineLevel="0" collapsed="false"/>
    <row r="288" customFormat="false" ht="16.5" hidden="false" customHeight="true" outlineLevel="0" collapsed="false"/>
    <row r="289" customFormat="false" ht="16.5" hidden="false" customHeight="true" outlineLevel="0" collapsed="false"/>
    <row r="290" customFormat="false" ht="16.5" hidden="false" customHeight="true" outlineLevel="0" collapsed="false"/>
    <row r="291" customFormat="false" ht="16.5" hidden="false" customHeight="true" outlineLevel="0" collapsed="false"/>
    <row r="292" customFormat="false" ht="16.5" hidden="false" customHeight="true" outlineLevel="0" collapsed="false"/>
    <row r="293" customFormat="false" ht="16.5" hidden="false" customHeight="true" outlineLevel="0" collapsed="false"/>
    <row r="294" customFormat="false" ht="16.5" hidden="false" customHeight="true" outlineLevel="0" collapsed="false"/>
    <row r="295" customFormat="false" ht="16.5" hidden="false" customHeight="true" outlineLevel="0" collapsed="false"/>
    <row r="296" customFormat="false" ht="16.5" hidden="false" customHeight="true" outlineLevel="0" collapsed="false"/>
    <row r="297" customFormat="false" ht="16.5" hidden="false" customHeight="true" outlineLevel="0" collapsed="false"/>
    <row r="298" customFormat="false" ht="16.5" hidden="false" customHeight="true" outlineLevel="0" collapsed="false"/>
    <row r="299" customFormat="false" ht="16.5" hidden="false" customHeight="true" outlineLevel="0" collapsed="false"/>
    <row r="300" customFormat="false" ht="16.5" hidden="false" customHeight="true" outlineLevel="0" collapsed="false"/>
    <row r="301" customFormat="false" ht="16.5" hidden="false" customHeight="true" outlineLevel="0" collapsed="false"/>
    <row r="302" customFormat="false" ht="16.5" hidden="false" customHeight="true" outlineLevel="0" collapsed="false"/>
    <row r="303" customFormat="false" ht="16.5" hidden="false" customHeight="true" outlineLevel="0" collapsed="false"/>
    <row r="304" customFormat="false" ht="16.5" hidden="false" customHeight="true" outlineLevel="0" collapsed="false"/>
    <row r="305" customFormat="false" ht="16.5" hidden="false" customHeight="true" outlineLevel="0" collapsed="false"/>
    <row r="306" customFormat="false" ht="16.5" hidden="false" customHeight="true" outlineLevel="0" collapsed="false"/>
    <row r="307" customFormat="false" ht="16.5" hidden="false" customHeight="true" outlineLevel="0" collapsed="false"/>
    <row r="308" customFormat="false" ht="16.5" hidden="false" customHeight="true" outlineLevel="0" collapsed="false"/>
    <row r="309" customFormat="false" ht="16.5" hidden="false" customHeight="true" outlineLevel="0" collapsed="false"/>
    <row r="310" customFormat="false" ht="16.5" hidden="false" customHeight="true" outlineLevel="0" collapsed="false"/>
    <row r="311" customFormat="false" ht="16.5" hidden="false" customHeight="true" outlineLevel="0" collapsed="false"/>
    <row r="312" customFormat="false" ht="16.5" hidden="false" customHeight="true" outlineLevel="0" collapsed="false"/>
    <row r="313" customFormat="false" ht="16.5" hidden="false" customHeight="true" outlineLevel="0" collapsed="false"/>
    <row r="314" customFormat="false" ht="16.5" hidden="false" customHeight="true" outlineLevel="0" collapsed="false"/>
    <row r="315" customFormat="false" ht="16.5" hidden="false" customHeight="true" outlineLevel="0" collapsed="false"/>
    <row r="316" customFormat="false" ht="16.5" hidden="false" customHeight="true" outlineLevel="0" collapsed="false"/>
    <row r="317" customFormat="false" ht="16.5" hidden="false" customHeight="true" outlineLevel="0" collapsed="false"/>
    <row r="318" customFormat="false" ht="16.5" hidden="false" customHeight="true" outlineLevel="0" collapsed="false"/>
    <row r="319" customFormat="false" ht="16.5" hidden="false" customHeight="true" outlineLevel="0" collapsed="false"/>
    <row r="320" customFormat="false" ht="16.5" hidden="false" customHeight="true" outlineLevel="0" collapsed="false"/>
    <row r="321" customFormat="false" ht="16.5" hidden="false" customHeight="true" outlineLevel="0" collapsed="false"/>
    <row r="322" customFormat="false" ht="16.5" hidden="false" customHeight="true" outlineLevel="0" collapsed="false"/>
    <row r="323" customFormat="false" ht="16.5" hidden="false" customHeight="true" outlineLevel="0" collapsed="false"/>
    <row r="324" customFormat="false" ht="16.5" hidden="false" customHeight="true" outlineLevel="0" collapsed="false"/>
    <row r="325" customFormat="false" ht="16.5" hidden="false" customHeight="true" outlineLevel="0" collapsed="false"/>
    <row r="326" customFormat="false" ht="16.5" hidden="false" customHeight="true" outlineLevel="0" collapsed="false"/>
    <row r="327" customFormat="false" ht="16.5" hidden="false" customHeight="true" outlineLevel="0" collapsed="false"/>
    <row r="328" customFormat="false" ht="16.5" hidden="false" customHeight="true" outlineLevel="0" collapsed="false"/>
    <row r="329" customFormat="false" ht="16.5" hidden="false" customHeight="true" outlineLevel="0" collapsed="false"/>
    <row r="330" customFormat="false" ht="16.5" hidden="false" customHeight="true" outlineLevel="0" collapsed="false"/>
    <row r="331" customFormat="false" ht="16.5" hidden="false" customHeight="true" outlineLevel="0" collapsed="false"/>
    <row r="332" customFormat="false" ht="16.5" hidden="false" customHeight="true" outlineLevel="0" collapsed="false"/>
    <row r="333" customFormat="false" ht="16.5" hidden="false" customHeight="true" outlineLevel="0" collapsed="false"/>
    <row r="334" customFormat="false" ht="16.5" hidden="false" customHeight="true" outlineLevel="0" collapsed="false"/>
    <row r="335" customFormat="false" ht="16.5" hidden="false" customHeight="true" outlineLevel="0" collapsed="false"/>
    <row r="336" customFormat="false" ht="16.5" hidden="false" customHeight="true" outlineLevel="0" collapsed="false"/>
    <row r="337" customFormat="false" ht="16.5" hidden="false" customHeight="true" outlineLevel="0" collapsed="false"/>
    <row r="338" customFormat="false" ht="16.5" hidden="false" customHeight="true" outlineLevel="0" collapsed="false"/>
    <row r="339" customFormat="false" ht="16.5" hidden="false" customHeight="true" outlineLevel="0" collapsed="false"/>
    <row r="340" customFormat="false" ht="16.5" hidden="false" customHeight="true" outlineLevel="0" collapsed="false"/>
    <row r="341" customFormat="false" ht="16.5" hidden="false" customHeight="true" outlineLevel="0" collapsed="false"/>
    <row r="342" customFormat="false" ht="16.5" hidden="false" customHeight="true" outlineLevel="0" collapsed="false"/>
    <row r="343" customFormat="false" ht="16.5" hidden="false" customHeight="true" outlineLevel="0" collapsed="false"/>
    <row r="344" customFormat="false" ht="16.5" hidden="false" customHeight="true" outlineLevel="0" collapsed="false"/>
    <row r="345" customFormat="false" ht="16.5" hidden="false" customHeight="true" outlineLevel="0" collapsed="false"/>
    <row r="346" customFormat="false" ht="16.5" hidden="false" customHeight="true" outlineLevel="0" collapsed="false"/>
    <row r="347" customFormat="false" ht="16.5" hidden="false" customHeight="true" outlineLevel="0" collapsed="false"/>
    <row r="348" customFormat="false" ht="16.5" hidden="false" customHeight="true" outlineLevel="0" collapsed="false"/>
    <row r="349" customFormat="false" ht="16.5" hidden="false" customHeight="true" outlineLevel="0" collapsed="false"/>
    <row r="350" customFormat="false" ht="16.5" hidden="false" customHeight="true" outlineLevel="0" collapsed="false"/>
    <row r="351" customFormat="false" ht="16.5" hidden="false" customHeight="true" outlineLevel="0" collapsed="false"/>
    <row r="352" customFormat="false" ht="16.5" hidden="false" customHeight="true" outlineLevel="0" collapsed="false"/>
    <row r="353" customFormat="false" ht="16.5" hidden="false" customHeight="true" outlineLevel="0" collapsed="false"/>
    <row r="354" customFormat="false" ht="16.5" hidden="false" customHeight="true" outlineLevel="0" collapsed="false"/>
    <row r="355" customFormat="false" ht="16.5" hidden="false" customHeight="true" outlineLevel="0" collapsed="false"/>
    <row r="356" customFormat="false" ht="16.5" hidden="false" customHeight="true" outlineLevel="0" collapsed="false"/>
    <row r="357" customFormat="false" ht="16.5" hidden="false" customHeight="true" outlineLevel="0" collapsed="false"/>
    <row r="358" customFormat="false" ht="16.5" hidden="false" customHeight="true" outlineLevel="0" collapsed="false"/>
    <row r="359" customFormat="false" ht="16.5" hidden="false" customHeight="true" outlineLevel="0" collapsed="false"/>
    <row r="360" customFormat="false" ht="16.5" hidden="false" customHeight="true" outlineLevel="0" collapsed="false"/>
    <row r="361" customFormat="false" ht="16.5" hidden="false" customHeight="true" outlineLevel="0" collapsed="false"/>
    <row r="362" customFormat="false" ht="16.5" hidden="false" customHeight="true" outlineLevel="0" collapsed="false"/>
    <row r="363" customFormat="false" ht="16.5" hidden="false" customHeight="true" outlineLevel="0" collapsed="false"/>
    <row r="364" customFormat="false" ht="16.5" hidden="false" customHeight="true" outlineLevel="0" collapsed="false"/>
    <row r="365" customFormat="false" ht="16.5" hidden="false" customHeight="true" outlineLevel="0" collapsed="false"/>
    <row r="366" customFormat="false" ht="16.5" hidden="false" customHeight="true" outlineLevel="0" collapsed="false"/>
    <row r="367" customFormat="false" ht="16.5" hidden="false" customHeight="true" outlineLevel="0" collapsed="false"/>
    <row r="368" customFormat="false" ht="16.5" hidden="false" customHeight="true" outlineLevel="0" collapsed="false"/>
    <row r="369" customFormat="false" ht="16.5" hidden="false" customHeight="true" outlineLevel="0" collapsed="false"/>
    <row r="370" customFormat="false" ht="16.5" hidden="false" customHeight="true" outlineLevel="0" collapsed="false"/>
    <row r="371" customFormat="false" ht="16.5" hidden="false" customHeight="true" outlineLevel="0" collapsed="false"/>
    <row r="372" customFormat="false" ht="16.5" hidden="false" customHeight="true" outlineLevel="0" collapsed="false"/>
    <row r="373" customFormat="false" ht="16.5" hidden="false" customHeight="true" outlineLevel="0" collapsed="false"/>
    <row r="374" customFormat="false" ht="16.5" hidden="false" customHeight="true" outlineLevel="0" collapsed="false"/>
    <row r="375" customFormat="false" ht="16.5" hidden="false" customHeight="true" outlineLevel="0" collapsed="false"/>
    <row r="376" customFormat="false" ht="16.5" hidden="false" customHeight="true" outlineLevel="0" collapsed="false"/>
    <row r="377" customFormat="false" ht="16.5" hidden="false" customHeight="true" outlineLevel="0" collapsed="false"/>
    <row r="378" customFormat="false" ht="16.5" hidden="false" customHeight="true" outlineLevel="0" collapsed="false"/>
    <row r="379" customFormat="false" ht="16.5" hidden="false" customHeight="true" outlineLevel="0" collapsed="false"/>
    <row r="380" customFormat="false" ht="16.5" hidden="false" customHeight="true" outlineLevel="0" collapsed="false"/>
    <row r="381" customFormat="false" ht="16.5" hidden="false" customHeight="true" outlineLevel="0" collapsed="false"/>
    <row r="382" customFormat="false" ht="16.5" hidden="false" customHeight="true" outlineLevel="0" collapsed="false"/>
    <row r="383" customFormat="false" ht="16.5" hidden="false" customHeight="true" outlineLevel="0" collapsed="false"/>
    <row r="384" customFormat="false" ht="16.5" hidden="false" customHeight="true" outlineLevel="0" collapsed="false"/>
    <row r="385" customFormat="false" ht="16.5" hidden="false" customHeight="true" outlineLevel="0" collapsed="false"/>
    <row r="386" customFormat="false" ht="16.5" hidden="false" customHeight="true" outlineLevel="0" collapsed="false"/>
    <row r="387" customFormat="false" ht="16.5" hidden="false" customHeight="true" outlineLevel="0" collapsed="false"/>
    <row r="388" customFormat="false" ht="16.5" hidden="false" customHeight="true" outlineLevel="0" collapsed="false"/>
    <row r="389" customFormat="false" ht="16.5" hidden="false" customHeight="true" outlineLevel="0" collapsed="false"/>
    <row r="390" customFormat="false" ht="16.5" hidden="false" customHeight="true" outlineLevel="0" collapsed="false"/>
    <row r="391" customFormat="false" ht="16.5" hidden="false" customHeight="true" outlineLevel="0" collapsed="false"/>
    <row r="392" customFormat="false" ht="16.5" hidden="false" customHeight="true" outlineLevel="0" collapsed="false"/>
    <row r="393" customFormat="false" ht="16.5" hidden="false" customHeight="true" outlineLevel="0" collapsed="false"/>
    <row r="394" customFormat="false" ht="16.5" hidden="false" customHeight="true" outlineLevel="0" collapsed="false"/>
    <row r="395" customFormat="false" ht="16.5" hidden="false" customHeight="true" outlineLevel="0" collapsed="false"/>
    <row r="396" customFormat="false" ht="16.5" hidden="false" customHeight="true" outlineLevel="0" collapsed="false"/>
    <row r="397" customFormat="false" ht="16.5" hidden="false" customHeight="true" outlineLevel="0" collapsed="false"/>
    <row r="398" customFormat="false" ht="16.5" hidden="false" customHeight="true" outlineLevel="0" collapsed="false"/>
    <row r="399" customFormat="false" ht="16.5" hidden="false" customHeight="true" outlineLevel="0" collapsed="false"/>
    <row r="400" customFormat="false" ht="16.5" hidden="false" customHeight="true" outlineLevel="0" collapsed="false"/>
    <row r="401" customFormat="false" ht="16.5" hidden="false" customHeight="true" outlineLevel="0" collapsed="false"/>
    <row r="402" customFormat="false" ht="16.5" hidden="false" customHeight="true" outlineLevel="0" collapsed="false"/>
    <row r="403" customFormat="false" ht="16.5" hidden="false" customHeight="true" outlineLevel="0" collapsed="false"/>
    <row r="404" customFormat="false" ht="16.5" hidden="false" customHeight="true" outlineLevel="0" collapsed="false"/>
    <row r="405" customFormat="false" ht="16.5" hidden="false" customHeight="true" outlineLevel="0" collapsed="false"/>
    <row r="406" customFormat="false" ht="16.5" hidden="false" customHeight="true" outlineLevel="0" collapsed="false"/>
    <row r="407" customFormat="false" ht="16.5" hidden="false" customHeight="true" outlineLevel="0" collapsed="false"/>
    <row r="408" customFormat="false" ht="16.5" hidden="false" customHeight="true" outlineLevel="0" collapsed="false"/>
    <row r="409" customFormat="false" ht="16.5" hidden="false" customHeight="true" outlineLevel="0" collapsed="false"/>
    <row r="410" customFormat="false" ht="16.5" hidden="false" customHeight="true" outlineLevel="0" collapsed="false"/>
    <row r="411" customFormat="false" ht="16.5" hidden="false" customHeight="true" outlineLevel="0" collapsed="false"/>
    <row r="412" customFormat="false" ht="16.5" hidden="false" customHeight="true" outlineLevel="0" collapsed="false"/>
    <row r="413" customFormat="false" ht="16.5" hidden="false" customHeight="true" outlineLevel="0" collapsed="false"/>
    <row r="414" customFormat="false" ht="16.5" hidden="false" customHeight="true" outlineLevel="0" collapsed="false"/>
    <row r="415" customFormat="false" ht="16.5" hidden="false" customHeight="true" outlineLevel="0" collapsed="false"/>
    <row r="416" customFormat="false" ht="16.5" hidden="false" customHeight="true" outlineLevel="0" collapsed="false"/>
    <row r="417" customFormat="false" ht="16.5" hidden="false" customHeight="true" outlineLevel="0" collapsed="false"/>
    <row r="418" customFormat="false" ht="16.5" hidden="false" customHeight="true" outlineLevel="0" collapsed="false"/>
    <row r="419" customFormat="false" ht="16.5" hidden="false" customHeight="true" outlineLevel="0" collapsed="false"/>
    <row r="420" customFormat="false" ht="16.5" hidden="false" customHeight="true" outlineLevel="0" collapsed="false"/>
    <row r="421" customFormat="false" ht="16.5" hidden="false" customHeight="true" outlineLevel="0" collapsed="false"/>
    <row r="422" customFormat="false" ht="16.5" hidden="false" customHeight="true" outlineLevel="0" collapsed="false"/>
    <row r="423" customFormat="false" ht="16.5" hidden="false" customHeight="true" outlineLevel="0" collapsed="false"/>
    <row r="424" customFormat="false" ht="16.5" hidden="false" customHeight="true" outlineLevel="0" collapsed="false"/>
    <row r="425" customFormat="false" ht="16.5" hidden="false" customHeight="true" outlineLevel="0" collapsed="false"/>
    <row r="426" customFormat="false" ht="16.5" hidden="false" customHeight="true" outlineLevel="0" collapsed="false"/>
    <row r="427" customFormat="false" ht="16.5" hidden="false" customHeight="true" outlineLevel="0" collapsed="false"/>
    <row r="428" customFormat="false" ht="16.5" hidden="false" customHeight="true" outlineLevel="0" collapsed="false"/>
    <row r="429" customFormat="false" ht="16.5" hidden="false" customHeight="true" outlineLevel="0" collapsed="false"/>
    <row r="430" customFormat="false" ht="16.5" hidden="false" customHeight="true" outlineLevel="0" collapsed="false"/>
    <row r="431" customFormat="false" ht="16.5" hidden="false" customHeight="true" outlineLevel="0" collapsed="false"/>
    <row r="432" customFormat="false" ht="16.5" hidden="false" customHeight="true" outlineLevel="0" collapsed="false"/>
    <row r="433" customFormat="false" ht="16.5" hidden="false" customHeight="true" outlineLevel="0" collapsed="false"/>
    <row r="434" customFormat="false" ht="16.5" hidden="false" customHeight="true" outlineLevel="0" collapsed="false"/>
    <row r="435" customFormat="false" ht="16.5" hidden="false" customHeight="true" outlineLevel="0" collapsed="false"/>
    <row r="436" customFormat="false" ht="16.5" hidden="false" customHeight="true" outlineLevel="0" collapsed="false"/>
    <row r="437" customFormat="false" ht="16.5" hidden="false" customHeight="true" outlineLevel="0" collapsed="false"/>
    <row r="438" customFormat="false" ht="16.5" hidden="false" customHeight="true" outlineLevel="0" collapsed="false"/>
    <row r="439" customFormat="false" ht="16.5" hidden="false" customHeight="true" outlineLevel="0" collapsed="false"/>
    <row r="440" customFormat="false" ht="16.5" hidden="false" customHeight="true" outlineLevel="0" collapsed="false"/>
    <row r="441" customFormat="false" ht="16.5" hidden="false" customHeight="true" outlineLevel="0" collapsed="false"/>
    <row r="442" customFormat="false" ht="16.5" hidden="false" customHeight="true" outlineLevel="0" collapsed="false"/>
    <row r="443" customFormat="false" ht="16.5" hidden="false" customHeight="true" outlineLevel="0" collapsed="false"/>
    <row r="444" customFormat="false" ht="16.5" hidden="false" customHeight="true" outlineLevel="0" collapsed="false"/>
    <row r="445" customFormat="false" ht="16.5" hidden="false" customHeight="true" outlineLevel="0" collapsed="false"/>
    <row r="446" customFormat="false" ht="16.5" hidden="false" customHeight="true" outlineLevel="0" collapsed="false"/>
    <row r="447" customFormat="false" ht="16.5" hidden="false" customHeight="true" outlineLevel="0" collapsed="false"/>
    <row r="448" customFormat="false" ht="16.5" hidden="false" customHeight="true" outlineLevel="0" collapsed="false"/>
    <row r="449" customFormat="false" ht="16.5" hidden="false" customHeight="true" outlineLevel="0" collapsed="false"/>
    <row r="450" customFormat="false" ht="16.5" hidden="false" customHeight="true" outlineLevel="0" collapsed="false"/>
    <row r="451" customFormat="false" ht="16.5" hidden="false" customHeight="true" outlineLevel="0" collapsed="false"/>
    <row r="452" customFormat="false" ht="16.5" hidden="false" customHeight="true" outlineLevel="0" collapsed="false"/>
    <row r="453" customFormat="false" ht="16.5" hidden="false" customHeight="true" outlineLevel="0" collapsed="false"/>
    <row r="454" customFormat="false" ht="16.5" hidden="false" customHeight="true" outlineLevel="0" collapsed="false"/>
    <row r="455" customFormat="false" ht="16.5" hidden="false" customHeight="true" outlineLevel="0" collapsed="false"/>
    <row r="456" customFormat="false" ht="16.5" hidden="false" customHeight="true" outlineLevel="0" collapsed="false"/>
    <row r="457" customFormat="false" ht="16.5" hidden="false" customHeight="true" outlineLevel="0" collapsed="false"/>
    <row r="458" customFormat="false" ht="16.5" hidden="false" customHeight="true" outlineLevel="0" collapsed="false"/>
    <row r="459" customFormat="false" ht="16.5" hidden="false" customHeight="true" outlineLevel="0" collapsed="false"/>
    <row r="460" customFormat="false" ht="16.5" hidden="false" customHeight="true" outlineLevel="0" collapsed="false"/>
    <row r="461" customFormat="false" ht="16.5" hidden="false" customHeight="true" outlineLevel="0" collapsed="false"/>
    <row r="462" customFormat="false" ht="16.5" hidden="false" customHeight="true" outlineLevel="0" collapsed="false"/>
    <row r="463" customFormat="false" ht="16.5" hidden="false" customHeight="true" outlineLevel="0" collapsed="false"/>
    <row r="464" customFormat="false" ht="16.5" hidden="false" customHeight="true" outlineLevel="0" collapsed="false"/>
    <row r="465" customFormat="false" ht="16.5" hidden="false" customHeight="true" outlineLevel="0" collapsed="false"/>
    <row r="466" customFormat="false" ht="16.5" hidden="false" customHeight="true" outlineLevel="0" collapsed="false"/>
    <row r="467" customFormat="false" ht="16.5" hidden="false" customHeight="true" outlineLevel="0" collapsed="false"/>
    <row r="468" customFormat="false" ht="16.5" hidden="false" customHeight="true" outlineLevel="0" collapsed="false"/>
    <row r="469" customFormat="false" ht="16.5" hidden="false" customHeight="true" outlineLevel="0" collapsed="false"/>
    <row r="470" customFormat="false" ht="16.5" hidden="false" customHeight="true" outlineLevel="0" collapsed="false"/>
    <row r="471" customFormat="false" ht="16.5" hidden="false" customHeight="true" outlineLevel="0" collapsed="false"/>
    <row r="472" customFormat="false" ht="16.5" hidden="false" customHeight="true" outlineLevel="0" collapsed="false"/>
    <row r="473" customFormat="false" ht="16.5" hidden="false" customHeight="true" outlineLevel="0" collapsed="false"/>
    <row r="474" customFormat="false" ht="16.5" hidden="false" customHeight="true" outlineLevel="0" collapsed="false"/>
    <row r="475" customFormat="false" ht="16.5" hidden="false" customHeight="true" outlineLevel="0" collapsed="false"/>
    <row r="476" customFormat="false" ht="16.5" hidden="false" customHeight="true" outlineLevel="0" collapsed="false"/>
    <row r="477" customFormat="false" ht="16.5" hidden="false" customHeight="true" outlineLevel="0" collapsed="false"/>
    <row r="478" customFormat="false" ht="16.5" hidden="false" customHeight="true" outlineLevel="0" collapsed="false"/>
    <row r="479" customFormat="false" ht="16.5" hidden="false" customHeight="true" outlineLevel="0" collapsed="false"/>
    <row r="480" customFormat="false" ht="16.5" hidden="false" customHeight="true" outlineLevel="0" collapsed="false"/>
    <row r="481" customFormat="false" ht="16.5" hidden="false" customHeight="true" outlineLevel="0" collapsed="false"/>
    <row r="482" customFormat="false" ht="16.5" hidden="false" customHeight="true" outlineLevel="0" collapsed="false"/>
    <row r="483" customFormat="false" ht="16.5" hidden="false" customHeight="true" outlineLevel="0" collapsed="false"/>
    <row r="484" customFormat="false" ht="16.5" hidden="false" customHeight="true" outlineLevel="0" collapsed="false"/>
    <row r="485" customFormat="false" ht="16.5" hidden="false" customHeight="true" outlineLevel="0" collapsed="false"/>
    <row r="486" customFormat="false" ht="16.5" hidden="false" customHeight="true" outlineLevel="0" collapsed="false"/>
    <row r="487" customFormat="false" ht="16.5" hidden="false" customHeight="true" outlineLevel="0" collapsed="false"/>
    <row r="488" customFormat="false" ht="16.5" hidden="false" customHeight="true" outlineLevel="0" collapsed="false"/>
    <row r="489" customFormat="false" ht="16.5" hidden="false" customHeight="true" outlineLevel="0" collapsed="false"/>
    <row r="490" customFormat="false" ht="16.5" hidden="false" customHeight="true" outlineLevel="0" collapsed="false"/>
    <row r="491" customFormat="false" ht="16.5" hidden="false" customHeight="true" outlineLevel="0" collapsed="false"/>
    <row r="492" customFormat="false" ht="16.5" hidden="false" customHeight="true" outlineLevel="0" collapsed="false"/>
    <row r="493" customFormat="false" ht="16.5" hidden="false" customHeight="true" outlineLevel="0" collapsed="false"/>
    <row r="494" customFormat="false" ht="16.5" hidden="false" customHeight="true" outlineLevel="0" collapsed="false"/>
    <row r="495" customFormat="false" ht="16.5" hidden="false" customHeight="true" outlineLevel="0" collapsed="false"/>
    <row r="496" customFormat="false" ht="16.5" hidden="false" customHeight="true" outlineLevel="0" collapsed="false"/>
    <row r="497" customFormat="false" ht="16.5" hidden="false" customHeight="true" outlineLevel="0" collapsed="false"/>
    <row r="498" customFormat="false" ht="16.5" hidden="false" customHeight="true" outlineLevel="0" collapsed="false"/>
    <row r="499" customFormat="false" ht="16.5" hidden="false" customHeight="true" outlineLevel="0" collapsed="false"/>
    <row r="500" customFormat="false" ht="16.5" hidden="false" customHeight="true" outlineLevel="0" collapsed="false"/>
    <row r="501" customFormat="false" ht="16.5" hidden="false" customHeight="true" outlineLevel="0" collapsed="false"/>
    <row r="502" customFormat="false" ht="16.5" hidden="false" customHeight="true" outlineLevel="0" collapsed="false"/>
    <row r="503" customFormat="false" ht="16.5" hidden="false" customHeight="true" outlineLevel="0" collapsed="false"/>
    <row r="504" customFormat="false" ht="16.5" hidden="false" customHeight="true" outlineLevel="0" collapsed="false"/>
    <row r="505" customFormat="false" ht="16.5" hidden="false" customHeight="true" outlineLevel="0" collapsed="false"/>
    <row r="506" customFormat="false" ht="16.5" hidden="false" customHeight="true" outlineLevel="0" collapsed="false"/>
    <row r="507" customFormat="false" ht="16.5" hidden="false" customHeight="true" outlineLevel="0" collapsed="false"/>
    <row r="508" customFormat="false" ht="16.5" hidden="false" customHeight="true" outlineLevel="0" collapsed="false"/>
    <row r="509" customFormat="false" ht="16.5" hidden="false" customHeight="true" outlineLevel="0" collapsed="false"/>
    <row r="510" customFormat="false" ht="16.5" hidden="false" customHeight="true" outlineLevel="0" collapsed="false"/>
    <row r="511" customFormat="false" ht="16.5" hidden="false" customHeight="true" outlineLevel="0" collapsed="false"/>
    <row r="512" customFormat="false" ht="16.5" hidden="false" customHeight="true" outlineLevel="0" collapsed="false"/>
    <row r="513" customFormat="false" ht="16.5" hidden="false" customHeight="true" outlineLevel="0" collapsed="false"/>
    <row r="514" customFormat="false" ht="16.5" hidden="false" customHeight="true" outlineLevel="0" collapsed="false"/>
    <row r="515" customFormat="false" ht="16.5" hidden="false" customHeight="true" outlineLevel="0" collapsed="false"/>
    <row r="516" customFormat="false" ht="16.5" hidden="false" customHeight="true" outlineLevel="0" collapsed="false"/>
    <row r="517" customFormat="false" ht="16.5" hidden="false" customHeight="true" outlineLevel="0" collapsed="false"/>
    <row r="518" customFormat="false" ht="16.5" hidden="false" customHeight="true" outlineLevel="0" collapsed="false"/>
    <row r="519" customFormat="false" ht="16.5" hidden="false" customHeight="true" outlineLevel="0" collapsed="false"/>
    <row r="520" customFormat="false" ht="16.5" hidden="false" customHeight="true" outlineLevel="0" collapsed="false"/>
    <row r="521" customFormat="false" ht="16.5" hidden="false" customHeight="true" outlineLevel="0" collapsed="false"/>
    <row r="522" customFormat="false" ht="16.5" hidden="false" customHeight="true" outlineLevel="0" collapsed="false"/>
    <row r="523" customFormat="false" ht="16.5" hidden="false" customHeight="true" outlineLevel="0" collapsed="false"/>
    <row r="524" customFormat="false" ht="16.5" hidden="false" customHeight="true" outlineLevel="0" collapsed="false"/>
    <row r="525" customFormat="false" ht="16.5" hidden="false" customHeight="true" outlineLevel="0" collapsed="false"/>
    <row r="526" customFormat="false" ht="16.5" hidden="false" customHeight="true" outlineLevel="0" collapsed="false"/>
    <row r="527" customFormat="false" ht="16.5" hidden="false" customHeight="true" outlineLevel="0" collapsed="false"/>
    <row r="528" customFormat="false" ht="16.5" hidden="false" customHeight="true" outlineLevel="0" collapsed="false"/>
    <row r="529" customFormat="false" ht="16.5" hidden="false" customHeight="true" outlineLevel="0" collapsed="false"/>
    <row r="530" customFormat="false" ht="16.5" hidden="false" customHeight="true" outlineLevel="0" collapsed="false"/>
    <row r="531" customFormat="false" ht="16.5" hidden="false" customHeight="true" outlineLevel="0" collapsed="false"/>
    <row r="532" customFormat="false" ht="16.5" hidden="false" customHeight="true" outlineLevel="0" collapsed="false"/>
    <row r="533" customFormat="false" ht="16.5" hidden="false" customHeight="true" outlineLevel="0" collapsed="false"/>
    <row r="534" customFormat="false" ht="16.5" hidden="false" customHeight="true" outlineLevel="0" collapsed="false"/>
    <row r="535" customFormat="false" ht="16.5" hidden="false" customHeight="true" outlineLevel="0" collapsed="false"/>
    <row r="536" customFormat="false" ht="16.5" hidden="false" customHeight="true" outlineLevel="0" collapsed="false"/>
    <row r="537" customFormat="false" ht="16.5" hidden="false" customHeight="true" outlineLevel="0" collapsed="false"/>
    <row r="538" customFormat="false" ht="16.5" hidden="false" customHeight="true" outlineLevel="0" collapsed="false"/>
    <row r="539" customFormat="false" ht="16.5" hidden="false" customHeight="true" outlineLevel="0" collapsed="false"/>
    <row r="540" customFormat="false" ht="16.5" hidden="false" customHeight="true" outlineLevel="0" collapsed="false"/>
    <row r="541" customFormat="false" ht="16.5" hidden="false" customHeight="true" outlineLevel="0" collapsed="false"/>
    <row r="542" customFormat="false" ht="16.5" hidden="false" customHeight="true" outlineLevel="0" collapsed="false"/>
    <row r="543" customFormat="false" ht="16.5" hidden="false" customHeight="true" outlineLevel="0" collapsed="false"/>
    <row r="544" customFormat="false" ht="16.5" hidden="false" customHeight="true" outlineLevel="0" collapsed="false"/>
    <row r="545" customFormat="false" ht="16.5" hidden="false" customHeight="true" outlineLevel="0" collapsed="false"/>
    <row r="546" customFormat="false" ht="16.5" hidden="false" customHeight="true" outlineLevel="0" collapsed="false"/>
    <row r="547" customFormat="false" ht="16.5" hidden="false" customHeight="true" outlineLevel="0" collapsed="false"/>
    <row r="548" customFormat="false" ht="16.5" hidden="false" customHeight="true" outlineLevel="0" collapsed="false"/>
    <row r="549" customFormat="false" ht="16.5" hidden="false" customHeight="true" outlineLevel="0" collapsed="false"/>
    <row r="550" customFormat="false" ht="16.5" hidden="false" customHeight="true" outlineLevel="0" collapsed="false"/>
    <row r="551" customFormat="false" ht="16.5" hidden="false" customHeight="true" outlineLevel="0" collapsed="false"/>
    <row r="552" customFormat="false" ht="16.5" hidden="false" customHeight="true" outlineLevel="0" collapsed="false"/>
    <row r="553" customFormat="false" ht="16.5" hidden="false" customHeight="true" outlineLevel="0" collapsed="false"/>
    <row r="554" customFormat="false" ht="16.5" hidden="false" customHeight="true" outlineLevel="0" collapsed="false"/>
    <row r="555" customFormat="false" ht="16.5" hidden="false" customHeight="true" outlineLevel="0" collapsed="false"/>
    <row r="556" customFormat="false" ht="16.5" hidden="false" customHeight="true" outlineLevel="0" collapsed="false"/>
    <row r="557" customFormat="false" ht="16.5" hidden="false" customHeight="true" outlineLevel="0" collapsed="false"/>
    <row r="558" customFormat="false" ht="16.5" hidden="false" customHeight="true" outlineLevel="0" collapsed="false"/>
    <row r="559" customFormat="false" ht="16.5" hidden="false" customHeight="true" outlineLevel="0" collapsed="false"/>
    <row r="560" customFormat="false" ht="16.5" hidden="false" customHeight="true" outlineLevel="0" collapsed="false"/>
    <row r="561" customFormat="false" ht="16.5" hidden="false" customHeight="true" outlineLevel="0" collapsed="false"/>
    <row r="562" customFormat="false" ht="16.5" hidden="false" customHeight="true" outlineLevel="0" collapsed="false"/>
    <row r="563" customFormat="false" ht="16.5" hidden="false" customHeight="true" outlineLevel="0" collapsed="false"/>
    <row r="564" customFormat="false" ht="16.5" hidden="false" customHeight="true" outlineLevel="0" collapsed="false"/>
    <row r="565" customFormat="false" ht="16.5" hidden="false" customHeight="true" outlineLevel="0" collapsed="false"/>
    <row r="566" customFormat="false" ht="16.5" hidden="false" customHeight="true" outlineLevel="0" collapsed="false"/>
    <row r="567" customFormat="false" ht="16.5" hidden="false" customHeight="true" outlineLevel="0" collapsed="false"/>
    <row r="568" customFormat="false" ht="16.5" hidden="false" customHeight="true" outlineLevel="0" collapsed="false"/>
    <row r="569" customFormat="false" ht="16.5" hidden="false" customHeight="true" outlineLevel="0" collapsed="false"/>
    <row r="570" customFormat="false" ht="16.5" hidden="false" customHeight="true" outlineLevel="0" collapsed="false"/>
    <row r="571" customFormat="false" ht="16.5" hidden="false" customHeight="true" outlineLevel="0" collapsed="false"/>
    <row r="572" customFormat="false" ht="16.5" hidden="false" customHeight="true" outlineLevel="0" collapsed="false"/>
    <row r="573" customFormat="false" ht="16.5" hidden="false" customHeight="true" outlineLevel="0" collapsed="false"/>
    <row r="574" customFormat="false" ht="16.5" hidden="false" customHeight="true" outlineLevel="0" collapsed="false"/>
    <row r="575" customFormat="false" ht="16.5" hidden="false" customHeight="true" outlineLevel="0" collapsed="false"/>
    <row r="576" customFormat="false" ht="16.5" hidden="false" customHeight="true" outlineLevel="0" collapsed="false"/>
    <row r="577" customFormat="false" ht="16.5" hidden="false" customHeight="true" outlineLevel="0" collapsed="false"/>
    <row r="578" customFormat="false" ht="16.5" hidden="false" customHeight="true" outlineLevel="0" collapsed="false"/>
    <row r="579" customFormat="false" ht="16.5" hidden="false" customHeight="true" outlineLevel="0" collapsed="false"/>
    <row r="580" customFormat="false" ht="16.5" hidden="false" customHeight="true" outlineLevel="0" collapsed="false"/>
    <row r="581" customFormat="false" ht="16.5" hidden="false" customHeight="true" outlineLevel="0" collapsed="false"/>
    <row r="582" customFormat="false" ht="16.5" hidden="false" customHeight="true" outlineLevel="0" collapsed="false"/>
    <row r="583" customFormat="false" ht="16.5" hidden="false" customHeight="true" outlineLevel="0" collapsed="false"/>
    <row r="584" customFormat="false" ht="16.5" hidden="false" customHeight="true" outlineLevel="0" collapsed="false"/>
    <row r="585" customFormat="false" ht="16.5" hidden="false" customHeight="true" outlineLevel="0" collapsed="false"/>
    <row r="586" customFormat="false" ht="16.5" hidden="false" customHeight="true" outlineLevel="0" collapsed="false"/>
    <row r="587" customFormat="false" ht="16.5" hidden="false" customHeight="true" outlineLevel="0" collapsed="false"/>
    <row r="588" customFormat="false" ht="16.5" hidden="false" customHeight="true" outlineLevel="0" collapsed="false"/>
    <row r="589" customFormat="false" ht="16.5" hidden="false" customHeight="true" outlineLevel="0" collapsed="false"/>
    <row r="590" customFormat="false" ht="16.5" hidden="false" customHeight="true" outlineLevel="0" collapsed="false"/>
    <row r="591" customFormat="false" ht="16.5" hidden="false" customHeight="true" outlineLevel="0" collapsed="false"/>
    <row r="592" customFormat="false" ht="16.5" hidden="false" customHeight="true" outlineLevel="0" collapsed="false"/>
    <row r="593" customFormat="false" ht="16.5" hidden="false" customHeight="true" outlineLevel="0" collapsed="false"/>
    <row r="594" customFormat="false" ht="16.5" hidden="false" customHeight="true" outlineLevel="0" collapsed="false"/>
    <row r="595" customFormat="false" ht="16.5" hidden="false" customHeight="true" outlineLevel="0" collapsed="false"/>
    <row r="596" customFormat="false" ht="16.5" hidden="false" customHeight="true" outlineLevel="0" collapsed="false"/>
    <row r="597" customFormat="false" ht="16.5" hidden="false" customHeight="true" outlineLevel="0" collapsed="false"/>
    <row r="598" customFormat="false" ht="16.5" hidden="false" customHeight="true" outlineLevel="0" collapsed="false"/>
    <row r="599" customFormat="false" ht="16.5" hidden="false" customHeight="true" outlineLevel="0" collapsed="false"/>
    <row r="600" customFormat="false" ht="16.5" hidden="false" customHeight="true" outlineLevel="0" collapsed="false"/>
    <row r="601" customFormat="false" ht="16.5" hidden="false" customHeight="true" outlineLevel="0" collapsed="false"/>
    <row r="602" customFormat="false" ht="16.5" hidden="false" customHeight="true" outlineLevel="0" collapsed="false"/>
    <row r="603" customFormat="false" ht="16.5" hidden="false" customHeight="true" outlineLevel="0" collapsed="false"/>
    <row r="604" customFormat="false" ht="16.5" hidden="false" customHeight="true" outlineLevel="0" collapsed="false"/>
    <row r="605" customFormat="false" ht="16.5" hidden="false" customHeight="true" outlineLevel="0" collapsed="false"/>
    <row r="606" customFormat="false" ht="16.5" hidden="false" customHeight="true" outlineLevel="0" collapsed="false"/>
    <row r="607" customFormat="false" ht="16.5" hidden="false" customHeight="true" outlineLevel="0" collapsed="false"/>
    <row r="608" customFormat="false" ht="16.5" hidden="false" customHeight="true" outlineLevel="0" collapsed="false"/>
    <row r="609" customFormat="false" ht="16.5" hidden="false" customHeight="true" outlineLevel="0" collapsed="false"/>
    <row r="610" customFormat="false" ht="16.5" hidden="false" customHeight="true" outlineLevel="0" collapsed="false"/>
    <row r="611" customFormat="false" ht="16.5" hidden="false" customHeight="true" outlineLevel="0" collapsed="false"/>
    <row r="612" customFormat="false" ht="16.5" hidden="false" customHeight="true" outlineLevel="0" collapsed="false"/>
    <row r="613" customFormat="false" ht="16.5" hidden="false" customHeight="true" outlineLevel="0" collapsed="false"/>
    <row r="614" customFormat="false" ht="16.5" hidden="false" customHeight="true" outlineLevel="0" collapsed="false"/>
    <row r="615" customFormat="false" ht="16.5" hidden="false" customHeight="true" outlineLevel="0" collapsed="false"/>
    <row r="616" customFormat="false" ht="16.5" hidden="false" customHeight="true" outlineLevel="0" collapsed="false"/>
    <row r="617" customFormat="false" ht="16.5" hidden="false" customHeight="true" outlineLevel="0" collapsed="false"/>
    <row r="618" customFormat="false" ht="16.5" hidden="false" customHeight="true" outlineLevel="0" collapsed="false"/>
    <row r="619" customFormat="false" ht="16.5" hidden="false" customHeight="true" outlineLevel="0" collapsed="false"/>
    <row r="620" customFormat="false" ht="16.5" hidden="false" customHeight="true" outlineLevel="0" collapsed="false"/>
    <row r="621" customFormat="false" ht="16.5" hidden="false" customHeight="true" outlineLevel="0" collapsed="false"/>
    <row r="622" customFormat="false" ht="16.5" hidden="false" customHeight="true" outlineLevel="0" collapsed="false"/>
    <row r="623" customFormat="false" ht="16.5" hidden="false" customHeight="true" outlineLevel="0" collapsed="false"/>
    <row r="624" customFormat="false" ht="16.5" hidden="false" customHeight="true" outlineLevel="0" collapsed="false"/>
    <row r="625" customFormat="false" ht="16.5" hidden="false" customHeight="true" outlineLevel="0" collapsed="false"/>
    <row r="626" customFormat="false" ht="16.5" hidden="false" customHeight="true" outlineLevel="0" collapsed="false"/>
    <row r="627" customFormat="false" ht="16.5" hidden="false" customHeight="true" outlineLevel="0" collapsed="false"/>
    <row r="628" customFormat="false" ht="16.5" hidden="false" customHeight="true" outlineLevel="0" collapsed="false"/>
    <row r="629" customFormat="false" ht="16.5" hidden="false" customHeight="true" outlineLevel="0" collapsed="false"/>
    <row r="630" customFormat="false" ht="16.5" hidden="false" customHeight="true" outlineLevel="0" collapsed="false"/>
    <row r="631" customFormat="false" ht="16.5" hidden="false" customHeight="true" outlineLevel="0" collapsed="false"/>
    <row r="632" customFormat="false" ht="16.5" hidden="false" customHeight="true" outlineLevel="0" collapsed="false"/>
    <row r="633" customFormat="false" ht="16.5" hidden="false" customHeight="true" outlineLevel="0" collapsed="false"/>
    <row r="634" customFormat="false" ht="16.5" hidden="false" customHeight="true" outlineLevel="0" collapsed="false"/>
    <row r="635" customFormat="false" ht="16.5" hidden="false" customHeight="true" outlineLevel="0" collapsed="false"/>
    <row r="636" customFormat="false" ht="16.5" hidden="false" customHeight="true" outlineLevel="0" collapsed="false"/>
    <row r="637" customFormat="false" ht="16.5" hidden="false" customHeight="true" outlineLevel="0" collapsed="false"/>
    <row r="638" customFormat="false" ht="16.5" hidden="false" customHeight="true" outlineLevel="0" collapsed="false"/>
    <row r="639" customFormat="false" ht="16.5" hidden="false" customHeight="true" outlineLevel="0" collapsed="false"/>
    <row r="640" customFormat="false" ht="16.5" hidden="false" customHeight="true" outlineLevel="0" collapsed="false"/>
    <row r="641" customFormat="false" ht="16.5" hidden="false" customHeight="true" outlineLevel="0" collapsed="false"/>
    <row r="642" customFormat="false" ht="16.5" hidden="false" customHeight="true" outlineLevel="0" collapsed="false"/>
    <row r="643" customFormat="false" ht="16.5" hidden="false" customHeight="true" outlineLevel="0" collapsed="false"/>
    <row r="644" customFormat="false" ht="16.5" hidden="false" customHeight="true" outlineLevel="0" collapsed="false"/>
    <row r="645" customFormat="false" ht="16.5" hidden="false" customHeight="true" outlineLevel="0" collapsed="false"/>
    <row r="646" customFormat="false" ht="16.5" hidden="false" customHeight="true" outlineLevel="0" collapsed="false"/>
    <row r="647" customFormat="false" ht="16.5" hidden="false" customHeight="true" outlineLevel="0" collapsed="false"/>
    <row r="648" customFormat="false" ht="16.5" hidden="false" customHeight="true" outlineLevel="0" collapsed="false"/>
    <row r="649" customFormat="false" ht="16.5" hidden="false" customHeight="true" outlineLevel="0" collapsed="false"/>
    <row r="650" customFormat="false" ht="16.5" hidden="false" customHeight="true" outlineLevel="0" collapsed="false"/>
    <row r="651" customFormat="false" ht="16.5" hidden="false" customHeight="true" outlineLevel="0" collapsed="false"/>
    <row r="652" customFormat="false" ht="16.5" hidden="false" customHeight="true" outlineLevel="0" collapsed="false"/>
    <row r="653" customFormat="false" ht="16.5" hidden="false" customHeight="true" outlineLevel="0" collapsed="false"/>
    <row r="654" customFormat="false" ht="16.5" hidden="false" customHeight="true" outlineLevel="0" collapsed="false"/>
    <row r="655" customFormat="false" ht="16.5" hidden="false" customHeight="true" outlineLevel="0" collapsed="false"/>
    <row r="656" customFormat="false" ht="16.5" hidden="false" customHeight="true" outlineLevel="0" collapsed="false"/>
    <row r="657" customFormat="false" ht="16.5" hidden="false" customHeight="true" outlineLevel="0" collapsed="false"/>
    <row r="658" customFormat="false" ht="16.5" hidden="false" customHeight="true" outlineLevel="0" collapsed="false"/>
    <row r="659" customFormat="false" ht="16.5" hidden="false" customHeight="true" outlineLevel="0" collapsed="false"/>
    <row r="660" customFormat="false" ht="16.5" hidden="false" customHeight="true" outlineLevel="0" collapsed="false"/>
    <row r="661" customFormat="false" ht="16.5" hidden="false" customHeight="true" outlineLevel="0" collapsed="false"/>
    <row r="662" customFormat="false" ht="16.5" hidden="false" customHeight="true" outlineLevel="0" collapsed="false"/>
    <row r="663" customFormat="false" ht="16.5" hidden="false" customHeight="true" outlineLevel="0" collapsed="false"/>
    <row r="664" customFormat="false" ht="16.5" hidden="false" customHeight="true" outlineLevel="0" collapsed="false"/>
    <row r="665" customFormat="false" ht="16.5" hidden="false" customHeight="true" outlineLevel="0" collapsed="false"/>
    <row r="666" customFormat="false" ht="16.5" hidden="false" customHeight="true" outlineLevel="0" collapsed="false"/>
    <row r="667" customFormat="false" ht="16.5" hidden="false" customHeight="true" outlineLevel="0" collapsed="false"/>
    <row r="668" customFormat="false" ht="16.5" hidden="false" customHeight="true" outlineLevel="0" collapsed="false"/>
    <row r="669" customFormat="false" ht="16.5" hidden="false" customHeight="true" outlineLevel="0" collapsed="false"/>
    <row r="670" customFormat="false" ht="16.5" hidden="false" customHeight="true" outlineLevel="0" collapsed="false"/>
    <row r="671" customFormat="false" ht="16.5" hidden="false" customHeight="true" outlineLevel="0" collapsed="false"/>
    <row r="672" customFormat="false" ht="16.5" hidden="false" customHeight="true" outlineLevel="0" collapsed="false"/>
    <row r="673" customFormat="false" ht="16.5" hidden="false" customHeight="true" outlineLevel="0" collapsed="false"/>
    <row r="674" customFormat="false" ht="16.5" hidden="false" customHeight="true" outlineLevel="0" collapsed="false"/>
    <row r="675" customFormat="false" ht="16.5" hidden="false" customHeight="true" outlineLevel="0" collapsed="false"/>
    <row r="676" customFormat="false" ht="16.5" hidden="false" customHeight="true" outlineLevel="0" collapsed="false"/>
    <row r="677" customFormat="false" ht="16.5" hidden="false" customHeight="true" outlineLevel="0" collapsed="false"/>
    <row r="678" customFormat="false" ht="16.5" hidden="false" customHeight="true" outlineLevel="0" collapsed="false"/>
    <row r="679" customFormat="false" ht="16.5" hidden="false" customHeight="true" outlineLevel="0" collapsed="false"/>
    <row r="680" customFormat="false" ht="16.5" hidden="false" customHeight="true" outlineLevel="0" collapsed="false"/>
    <row r="681" customFormat="false" ht="16.5" hidden="false" customHeight="true" outlineLevel="0" collapsed="false"/>
    <row r="682" customFormat="false" ht="16.5" hidden="false" customHeight="true" outlineLevel="0" collapsed="false"/>
    <row r="683" customFormat="false" ht="16.5" hidden="false" customHeight="true" outlineLevel="0" collapsed="false"/>
    <row r="684" customFormat="false" ht="16.5" hidden="false" customHeight="true" outlineLevel="0" collapsed="false"/>
    <row r="685" customFormat="false" ht="16.5" hidden="false" customHeight="true" outlineLevel="0" collapsed="false"/>
    <row r="686" customFormat="false" ht="16.5" hidden="false" customHeight="true" outlineLevel="0" collapsed="false"/>
    <row r="687" customFormat="false" ht="16.5" hidden="false" customHeight="true" outlineLevel="0" collapsed="false"/>
    <row r="688" customFormat="false" ht="16.5" hidden="false" customHeight="true" outlineLevel="0" collapsed="false"/>
    <row r="689" customFormat="false" ht="16.5" hidden="false" customHeight="true" outlineLevel="0" collapsed="false"/>
    <row r="690" customFormat="false" ht="16.5" hidden="false" customHeight="true" outlineLevel="0" collapsed="false"/>
    <row r="691" customFormat="false" ht="16.5" hidden="false" customHeight="true" outlineLevel="0" collapsed="false"/>
    <row r="692" customFormat="false" ht="16.5" hidden="false" customHeight="true" outlineLevel="0" collapsed="false"/>
    <row r="693" customFormat="false" ht="16.5" hidden="false" customHeight="true" outlineLevel="0" collapsed="false"/>
    <row r="694" customFormat="false" ht="16.5" hidden="false" customHeight="true" outlineLevel="0" collapsed="false"/>
    <row r="695" customFormat="false" ht="16.5" hidden="false" customHeight="true" outlineLevel="0" collapsed="false"/>
    <row r="696" customFormat="false" ht="16.5" hidden="false" customHeight="true" outlineLevel="0" collapsed="false"/>
    <row r="697" customFormat="false" ht="16.5" hidden="false" customHeight="true" outlineLevel="0" collapsed="false"/>
    <row r="698" customFormat="false" ht="16.5" hidden="false" customHeight="true" outlineLevel="0" collapsed="false"/>
    <row r="699" customFormat="false" ht="16.5" hidden="false" customHeight="true" outlineLevel="0" collapsed="false"/>
    <row r="700" customFormat="false" ht="16.5" hidden="false" customHeight="true" outlineLevel="0" collapsed="false"/>
    <row r="701" customFormat="false" ht="16.5" hidden="false" customHeight="true" outlineLevel="0" collapsed="false"/>
    <row r="702" customFormat="false" ht="16.5" hidden="false" customHeight="true" outlineLevel="0" collapsed="false"/>
    <row r="703" customFormat="false" ht="16.5" hidden="false" customHeight="true" outlineLevel="0" collapsed="false"/>
    <row r="704" customFormat="false" ht="16.5" hidden="false" customHeight="true" outlineLevel="0" collapsed="false"/>
    <row r="705" customFormat="false" ht="16.5" hidden="false" customHeight="true" outlineLevel="0" collapsed="false"/>
    <row r="706" customFormat="false" ht="16.5" hidden="false" customHeight="true" outlineLevel="0" collapsed="false"/>
    <row r="707" customFormat="false" ht="16.5" hidden="false" customHeight="true" outlineLevel="0" collapsed="false"/>
    <row r="708" customFormat="false" ht="16.5" hidden="false" customHeight="true" outlineLevel="0" collapsed="false"/>
    <row r="709" customFormat="false" ht="16.5" hidden="false" customHeight="true" outlineLevel="0" collapsed="false"/>
    <row r="710" customFormat="false" ht="16.5" hidden="false" customHeight="true" outlineLevel="0" collapsed="false"/>
    <row r="711" customFormat="false" ht="16.5" hidden="false" customHeight="true" outlineLevel="0" collapsed="false"/>
    <row r="712" customFormat="false" ht="16.5" hidden="false" customHeight="true" outlineLevel="0" collapsed="false"/>
    <row r="713" customFormat="false" ht="16.5" hidden="false" customHeight="true" outlineLevel="0" collapsed="false"/>
    <row r="714" customFormat="false" ht="16.5" hidden="false" customHeight="true" outlineLevel="0" collapsed="false"/>
    <row r="715" customFormat="false" ht="16.5" hidden="false" customHeight="true" outlineLevel="0" collapsed="false"/>
    <row r="716" customFormat="false" ht="16.5" hidden="false" customHeight="true" outlineLevel="0" collapsed="false"/>
    <row r="717" customFormat="false" ht="16.5" hidden="false" customHeight="true" outlineLevel="0" collapsed="false"/>
    <row r="718" customFormat="false" ht="16.5" hidden="false" customHeight="true" outlineLevel="0" collapsed="false"/>
    <row r="719" customFormat="false" ht="16.5" hidden="false" customHeight="true" outlineLevel="0" collapsed="false"/>
    <row r="720" customFormat="false" ht="16.5" hidden="false" customHeight="true" outlineLevel="0" collapsed="false"/>
    <row r="721" customFormat="false" ht="16.5" hidden="false" customHeight="true" outlineLevel="0" collapsed="false"/>
    <row r="722" customFormat="false" ht="16.5" hidden="false" customHeight="true" outlineLevel="0" collapsed="false"/>
    <row r="723" customFormat="false" ht="16.5" hidden="false" customHeight="true" outlineLevel="0" collapsed="false"/>
    <row r="724" customFormat="false" ht="16.5" hidden="false" customHeight="true" outlineLevel="0" collapsed="false"/>
    <row r="725" customFormat="false" ht="16.5" hidden="false" customHeight="true" outlineLevel="0" collapsed="false"/>
    <row r="726" customFormat="false" ht="16.5" hidden="false" customHeight="true" outlineLevel="0" collapsed="false"/>
    <row r="727" customFormat="false" ht="16.5" hidden="false" customHeight="true" outlineLevel="0" collapsed="false"/>
    <row r="728" customFormat="false" ht="16.5" hidden="false" customHeight="true" outlineLevel="0" collapsed="false"/>
    <row r="729" customFormat="false" ht="16.5" hidden="false" customHeight="true" outlineLevel="0" collapsed="false"/>
    <row r="730" customFormat="false" ht="16.5" hidden="false" customHeight="true" outlineLevel="0" collapsed="false"/>
    <row r="731" customFormat="false" ht="16.5" hidden="false" customHeight="true" outlineLevel="0" collapsed="false"/>
    <row r="732" customFormat="false" ht="16.5" hidden="false" customHeight="true" outlineLevel="0" collapsed="false"/>
    <row r="733" customFormat="false" ht="16.5" hidden="false" customHeight="true" outlineLevel="0" collapsed="false"/>
    <row r="734" customFormat="false" ht="16.5" hidden="false" customHeight="true" outlineLevel="0" collapsed="false"/>
    <row r="735" customFormat="false" ht="16.5" hidden="false" customHeight="true" outlineLevel="0" collapsed="false"/>
    <row r="736" customFormat="false" ht="16.5" hidden="false" customHeight="true" outlineLevel="0" collapsed="false"/>
    <row r="737" customFormat="false" ht="16.5" hidden="false" customHeight="true" outlineLevel="0" collapsed="false"/>
    <row r="738" customFormat="false" ht="16.5" hidden="false" customHeight="true" outlineLevel="0" collapsed="false"/>
    <row r="739" customFormat="false" ht="16.5" hidden="false" customHeight="true" outlineLevel="0" collapsed="false"/>
    <row r="740" customFormat="false" ht="16.5" hidden="false" customHeight="true" outlineLevel="0" collapsed="false"/>
    <row r="741" customFormat="false" ht="16.5" hidden="false" customHeight="true" outlineLevel="0" collapsed="false"/>
    <row r="742" customFormat="false" ht="16.5" hidden="false" customHeight="true" outlineLevel="0" collapsed="false"/>
    <row r="743" customFormat="false" ht="16.5" hidden="false" customHeight="true" outlineLevel="0" collapsed="false"/>
    <row r="744" customFormat="false" ht="16.5" hidden="false" customHeight="true" outlineLevel="0" collapsed="false"/>
    <row r="745" customFormat="false" ht="16.5" hidden="false" customHeight="true" outlineLevel="0" collapsed="false"/>
    <row r="746" customFormat="false" ht="16.5" hidden="false" customHeight="true" outlineLevel="0" collapsed="false"/>
    <row r="747" customFormat="false" ht="16.5" hidden="false" customHeight="true" outlineLevel="0" collapsed="false"/>
    <row r="748" customFormat="false" ht="16.5" hidden="false" customHeight="true" outlineLevel="0" collapsed="false"/>
    <row r="749" customFormat="false" ht="16.5" hidden="false" customHeight="true" outlineLevel="0" collapsed="false"/>
    <row r="750" customFormat="false" ht="16.5" hidden="false" customHeight="true" outlineLevel="0" collapsed="false"/>
    <row r="751" customFormat="false" ht="16.5" hidden="false" customHeight="true" outlineLevel="0" collapsed="false"/>
    <row r="752" customFormat="false" ht="16.5" hidden="false" customHeight="true" outlineLevel="0" collapsed="false"/>
    <row r="753" customFormat="false" ht="16.5" hidden="false" customHeight="true" outlineLevel="0" collapsed="false"/>
    <row r="754" customFormat="false" ht="16.5" hidden="false" customHeight="true" outlineLevel="0" collapsed="false"/>
    <row r="755" customFormat="false" ht="16.5" hidden="false" customHeight="true" outlineLevel="0" collapsed="false"/>
    <row r="756" customFormat="false" ht="16.5" hidden="false" customHeight="true" outlineLevel="0" collapsed="false"/>
    <row r="757" customFormat="false" ht="16.5" hidden="false" customHeight="true" outlineLevel="0" collapsed="false"/>
    <row r="758" customFormat="false" ht="16.5" hidden="false" customHeight="true" outlineLevel="0" collapsed="false"/>
    <row r="759" customFormat="false" ht="16.5" hidden="false" customHeight="true" outlineLevel="0" collapsed="false"/>
    <row r="760" customFormat="false" ht="16.5" hidden="false" customHeight="true" outlineLevel="0" collapsed="false"/>
    <row r="761" customFormat="false" ht="16.5" hidden="false" customHeight="true" outlineLevel="0" collapsed="false"/>
    <row r="762" customFormat="false" ht="16.5" hidden="false" customHeight="true" outlineLevel="0" collapsed="false"/>
    <row r="763" customFormat="false" ht="16.5" hidden="false" customHeight="true" outlineLevel="0" collapsed="false"/>
    <row r="764" customFormat="false" ht="16.5" hidden="false" customHeight="true" outlineLevel="0" collapsed="false"/>
    <row r="765" customFormat="false" ht="16.5" hidden="false" customHeight="true" outlineLevel="0" collapsed="false"/>
    <row r="766" customFormat="false" ht="16.5" hidden="false" customHeight="true" outlineLevel="0" collapsed="false"/>
    <row r="767" customFormat="false" ht="16.5" hidden="false" customHeight="true" outlineLevel="0" collapsed="false"/>
    <row r="768" customFormat="false" ht="16.5" hidden="false" customHeight="true" outlineLevel="0" collapsed="false"/>
    <row r="769" customFormat="false" ht="16.5" hidden="false" customHeight="true" outlineLevel="0" collapsed="false"/>
    <row r="770" customFormat="false" ht="16.5" hidden="false" customHeight="true" outlineLevel="0" collapsed="false"/>
    <row r="771" customFormat="false" ht="16.5" hidden="false" customHeight="true" outlineLevel="0" collapsed="false"/>
    <row r="772" customFormat="false" ht="16.5" hidden="false" customHeight="true" outlineLevel="0" collapsed="false"/>
    <row r="773" customFormat="false" ht="16.5" hidden="false" customHeight="true" outlineLevel="0" collapsed="false"/>
    <row r="774" customFormat="false" ht="16.5" hidden="false" customHeight="true" outlineLevel="0" collapsed="false"/>
    <row r="775" customFormat="false" ht="16.5" hidden="false" customHeight="true" outlineLevel="0" collapsed="false"/>
    <row r="776" customFormat="false" ht="16.5" hidden="false" customHeight="true" outlineLevel="0" collapsed="false"/>
    <row r="777" customFormat="false" ht="16.5" hidden="false" customHeight="true" outlineLevel="0" collapsed="false"/>
    <row r="778" customFormat="false" ht="16.5" hidden="false" customHeight="true" outlineLevel="0" collapsed="false"/>
    <row r="779" customFormat="false" ht="16.5" hidden="false" customHeight="true" outlineLevel="0" collapsed="false"/>
    <row r="780" customFormat="false" ht="16.5" hidden="false" customHeight="true" outlineLevel="0" collapsed="false"/>
    <row r="781" customFormat="false" ht="16.5" hidden="false" customHeight="true" outlineLevel="0" collapsed="false"/>
    <row r="782" customFormat="false" ht="16.5" hidden="false" customHeight="true" outlineLevel="0" collapsed="false"/>
    <row r="783" customFormat="false" ht="16.5" hidden="false" customHeight="true" outlineLevel="0" collapsed="false"/>
    <row r="784" customFormat="false" ht="16.5" hidden="false" customHeight="true" outlineLevel="0" collapsed="false"/>
    <row r="785" customFormat="false" ht="16.5" hidden="false" customHeight="true" outlineLevel="0" collapsed="false"/>
    <row r="786" customFormat="false" ht="16.5" hidden="false" customHeight="true" outlineLevel="0" collapsed="false"/>
    <row r="787" customFormat="false" ht="16.5" hidden="false" customHeight="true" outlineLevel="0" collapsed="false"/>
    <row r="788" customFormat="false" ht="16.5" hidden="false" customHeight="true" outlineLevel="0" collapsed="false"/>
    <row r="789" customFormat="false" ht="16.5" hidden="false" customHeight="true" outlineLevel="0" collapsed="false"/>
    <row r="790" customFormat="false" ht="16.5" hidden="false" customHeight="true" outlineLevel="0" collapsed="false"/>
    <row r="791" customFormat="false" ht="16.5" hidden="false" customHeight="true" outlineLevel="0" collapsed="false"/>
    <row r="792" customFormat="false" ht="16.5" hidden="false" customHeight="true" outlineLevel="0" collapsed="false"/>
    <row r="793" customFormat="false" ht="16.5" hidden="false" customHeight="true" outlineLevel="0" collapsed="false"/>
    <row r="794" customFormat="false" ht="16.5" hidden="false" customHeight="true" outlineLevel="0" collapsed="false"/>
    <row r="795" customFormat="false" ht="16.5" hidden="false" customHeight="true" outlineLevel="0" collapsed="false"/>
    <row r="796" customFormat="false" ht="16.5" hidden="false" customHeight="true" outlineLevel="0" collapsed="false"/>
    <row r="797" customFormat="false" ht="16.5" hidden="false" customHeight="true" outlineLevel="0" collapsed="false"/>
    <row r="798" customFormat="false" ht="16.5" hidden="false" customHeight="true" outlineLevel="0" collapsed="false"/>
    <row r="799" customFormat="false" ht="16.5" hidden="false" customHeight="true" outlineLevel="0" collapsed="false"/>
    <row r="800" customFormat="false" ht="16.5" hidden="false" customHeight="true" outlineLevel="0" collapsed="false"/>
    <row r="801" customFormat="false" ht="16.5" hidden="false" customHeight="true" outlineLevel="0" collapsed="false"/>
    <row r="802" customFormat="false" ht="16.5" hidden="false" customHeight="true" outlineLevel="0" collapsed="false"/>
    <row r="803" customFormat="false" ht="16.5" hidden="false" customHeight="true" outlineLevel="0" collapsed="false"/>
    <row r="804" customFormat="false" ht="16.5" hidden="false" customHeight="true" outlineLevel="0" collapsed="false"/>
    <row r="805" customFormat="false" ht="16.5" hidden="false" customHeight="true" outlineLevel="0" collapsed="false"/>
    <row r="806" customFormat="false" ht="16.5" hidden="false" customHeight="true" outlineLevel="0" collapsed="false"/>
    <row r="807" customFormat="false" ht="16.5" hidden="false" customHeight="true" outlineLevel="0" collapsed="false"/>
    <row r="808" customFormat="false" ht="16.5" hidden="false" customHeight="true" outlineLevel="0" collapsed="false"/>
    <row r="809" customFormat="false" ht="16.5" hidden="false" customHeight="true" outlineLevel="0" collapsed="false"/>
    <row r="810" customFormat="false" ht="16.5" hidden="false" customHeight="true" outlineLevel="0" collapsed="false"/>
    <row r="811" customFormat="false" ht="16.5" hidden="false" customHeight="true" outlineLevel="0" collapsed="false"/>
    <row r="812" customFormat="false" ht="16.5" hidden="false" customHeight="true" outlineLevel="0" collapsed="false"/>
    <row r="813" customFormat="false" ht="16.5" hidden="false" customHeight="true" outlineLevel="0" collapsed="false"/>
    <row r="814" customFormat="false" ht="16.5" hidden="false" customHeight="true" outlineLevel="0" collapsed="false"/>
    <row r="815" customFormat="false" ht="16.5" hidden="false" customHeight="true" outlineLevel="0" collapsed="false"/>
    <row r="816" customFormat="false" ht="16.5" hidden="false" customHeight="true" outlineLevel="0" collapsed="false"/>
    <row r="817" customFormat="false" ht="16.5" hidden="false" customHeight="true" outlineLevel="0" collapsed="false"/>
    <row r="818" customFormat="false" ht="16.5" hidden="false" customHeight="true" outlineLevel="0" collapsed="false"/>
    <row r="819" customFormat="false" ht="16.5" hidden="false" customHeight="true" outlineLevel="0" collapsed="false"/>
    <row r="820" customFormat="false" ht="16.5" hidden="false" customHeight="true" outlineLevel="0" collapsed="false"/>
    <row r="821" customFormat="false" ht="16.5" hidden="false" customHeight="true" outlineLevel="0" collapsed="false"/>
    <row r="822" customFormat="false" ht="16.5" hidden="false" customHeight="true" outlineLevel="0" collapsed="false"/>
    <row r="823" customFormat="false" ht="16.5" hidden="false" customHeight="true" outlineLevel="0" collapsed="false"/>
    <row r="824" customFormat="false" ht="16.5" hidden="false" customHeight="true" outlineLevel="0" collapsed="false"/>
    <row r="825" customFormat="false" ht="16.5" hidden="false" customHeight="true" outlineLevel="0" collapsed="false"/>
    <row r="826" customFormat="false" ht="16.5" hidden="false" customHeight="true" outlineLevel="0" collapsed="false"/>
    <row r="827" customFormat="false" ht="16.5" hidden="false" customHeight="true" outlineLevel="0" collapsed="false"/>
    <row r="828" customFormat="false" ht="16.5" hidden="false" customHeight="true" outlineLevel="0" collapsed="false"/>
    <row r="829" customFormat="false" ht="16.5" hidden="false" customHeight="true" outlineLevel="0" collapsed="false"/>
    <row r="830" customFormat="false" ht="16.5" hidden="false" customHeight="true" outlineLevel="0" collapsed="false"/>
    <row r="831" customFormat="false" ht="16.5" hidden="false" customHeight="true" outlineLevel="0" collapsed="false"/>
    <row r="832" customFormat="false" ht="16.5" hidden="false" customHeight="true" outlineLevel="0" collapsed="false"/>
    <row r="833" customFormat="false" ht="16.5" hidden="false" customHeight="true" outlineLevel="0" collapsed="false"/>
    <row r="834" customFormat="false" ht="16.5" hidden="false" customHeight="true" outlineLevel="0" collapsed="false"/>
    <row r="835" customFormat="false" ht="16.5" hidden="false" customHeight="true" outlineLevel="0" collapsed="false"/>
    <row r="836" customFormat="false" ht="16.5" hidden="false" customHeight="true" outlineLevel="0" collapsed="false"/>
    <row r="837" customFormat="false" ht="16.5" hidden="false" customHeight="true" outlineLevel="0" collapsed="false"/>
    <row r="838" customFormat="false" ht="16.5" hidden="false" customHeight="true" outlineLevel="0" collapsed="false"/>
    <row r="839" customFormat="false" ht="16.5" hidden="false" customHeight="true" outlineLevel="0" collapsed="false"/>
    <row r="840" customFormat="false" ht="16.5" hidden="false" customHeight="true" outlineLevel="0" collapsed="false"/>
    <row r="841" customFormat="false" ht="16.5" hidden="false" customHeight="true" outlineLevel="0" collapsed="false"/>
    <row r="842" customFormat="false" ht="16.5" hidden="false" customHeight="true" outlineLevel="0" collapsed="false"/>
    <row r="843" customFormat="false" ht="16.5" hidden="false" customHeight="true" outlineLevel="0" collapsed="false"/>
    <row r="844" customFormat="false" ht="16.5" hidden="false" customHeight="true" outlineLevel="0" collapsed="false"/>
    <row r="845" customFormat="false" ht="16.5" hidden="false" customHeight="true" outlineLevel="0" collapsed="false"/>
    <row r="846" customFormat="false" ht="16.5" hidden="false" customHeight="true" outlineLevel="0" collapsed="false"/>
    <row r="847" customFormat="false" ht="16.5" hidden="false" customHeight="true" outlineLevel="0" collapsed="false"/>
    <row r="848" customFormat="false" ht="16.5" hidden="false" customHeight="true" outlineLevel="0" collapsed="false"/>
    <row r="849" customFormat="false" ht="16.5" hidden="false" customHeight="true" outlineLevel="0" collapsed="false"/>
    <row r="850" customFormat="false" ht="16.5" hidden="false" customHeight="true" outlineLevel="0" collapsed="false"/>
    <row r="851" customFormat="false" ht="16.5" hidden="false" customHeight="true" outlineLevel="0" collapsed="false"/>
    <row r="852" customFormat="false" ht="16.5" hidden="false" customHeight="true" outlineLevel="0" collapsed="false"/>
    <row r="853" customFormat="false" ht="16.5" hidden="false" customHeight="true" outlineLevel="0" collapsed="false"/>
    <row r="854" customFormat="false" ht="16.5" hidden="false" customHeight="true" outlineLevel="0" collapsed="false"/>
    <row r="855" customFormat="false" ht="16.5" hidden="false" customHeight="true" outlineLevel="0" collapsed="false"/>
    <row r="856" customFormat="false" ht="16.5" hidden="false" customHeight="true" outlineLevel="0" collapsed="false"/>
    <row r="857" customFormat="false" ht="16.5" hidden="false" customHeight="true" outlineLevel="0" collapsed="false"/>
    <row r="858" customFormat="false" ht="16.5" hidden="false" customHeight="true" outlineLevel="0" collapsed="false"/>
    <row r="859" customFormat="false" ht="16.5" hidden="false" customHeight="true" outlineLevel="0" collapsed="false"/>
    <row r="860" customFormat="false" ht="16.5" hidden="false" customHeight="true" outlineLevel="0" collapsed="false"/>
    <row r="861" customFormat="false" ht="16.5" hidden="false" customHeight="true" outlineLevel="0" collapsed="false"/>
    <row r="862" customFormat="false" ht="16.5" hidden="false" customHeight="true" outlineLevel="0" collapsed="false"/>
    <row r="863" customFormat="false" ht="16.5" hidden="false" customHeight="true" outlineLevel="0" collapsed="false"/>
    <row r="864" customFormat="false" ht="16.5" hidden="false" customHeight="true" outlineLevel="0" collapsed="false"/>
    <row r="865" customFormat="false" ht="16.5" hidden="false" customHeight="true" outlineLevel="0" collapsed="false"/>
    <row r="866" customFormat="false" ht="16.5" hidden="false" customHeight="true" outlineLevel="0" collapsed="false"/>
    <row r="867" customFormat="false" ht="16.5" hidden="false" customHeight="true" outlineLevel="0" collapsed="false"/>
    <row r="868" customFormat="false" ht="16.5" hidden="false" customHeight="true" outlineLevel="0" collapsed="false"/>
    <row r="869" customFormat="false" ht="16.5" hidden="false" customHeight="true" outlineLevel="0" collapsed="false"/>
    <row r="870" customFormat="false" ht="16.5" hidden="false" customHeight="true" outlineLevel="0" collapsed="false"/>
    <row r="871" customFormat="false" ht="16.5" hidden="false" customHeight="true" outlineLevel="0" collapsed="false"/>
    <row r="872" customFormat="false" ht="16.5" hidden="false" customHeight="true" outlineLevel="0" collapsed="false"/>
    <row r="873" customFormat="false" ht="16.5" hidden="false" customHeight="true" outlineLevel="0" collapsed="false"/>
    <row r="874" customFormat="false" ht="16.5" hidden="false" customHeight="true" outlineLevel="0" collapsed="false"/>
    <row r="875" customFormat="false" ht="16.5" hidden="false" customHeight="true" outlineLevel="0" collapsed="false"/>
    <row r="876" customFormat="false" ht="16.5" hidden="false" customHeight="true" outlineLevel="0" collapsed="false"/>
    <row r="877" customFormat="false" ht="16.5" hidden="false" customHeight="true" outlineLevel="0" collapsed="false"/>
    <row r="878" customFormat="false" ht="16.5" hidden="false" customHeight="true" outlineLevel="0" collapsed="false"/>
    <row r="879" customFormat="false" ht="16.5" hidden="false" customHeight="true" outlineLevel="0" collapsed="false"/>
    <row r="880" customFormat="false" ht="16.5" hidden="false" customHeight="true" outlineLevel="0" collapsed="false"/>
    <row r="881" customFormat="false" ht="16.5" hidden="false" customHeight="true" outlineLevel="0" collapsed="false"/>
    <row r="882" customFormat="false" ht="16.5" hidden="false" customHeight="true" outlineLevel="0" collapsed="false"/>
    <row r="883" customFormat="false" ht="16.5" hidden="false" customHeight="true" outlineLevel="0" collapsed="false"/>
    <row r="884" customFormat="false" ht="16.5" hidden="false" customHeight="true" outlineLevel="0" collapsed="false"/>
    <row r="885" customFormat="false" ht="16.5" hidden="false" customHeight="true" outlineLevel="0" collapsed="false"/>
    <row r="886" customFormat="false" ht="16.5" hidden="false" customHeight="true" outlineLevel="0" collapsed="false"/>
    <row r="887" customFormat="false" ht="16.5" hidden="false" customHeight="true" outlineLevel="0" collapsed="false"/>
    <row r="888" customFormat="false" ht="16.5" hidden="false" customHeight="true" outlineLevel="0" collapsed="false"/>
    <row r="889" customFormat="false" ht="16.5" hidden="false" customHeight="true" outlineLevel="0" collapsed="false"/>
    <row r="890" customFormat="false" ht="16.5" hidden="false" customHeight="true" outlineLevel="0" collapsed="false"/>
    <row r="891" customFormat="false" ht="16.5" hidden="false" customHeight="true" outlineLevel="0" collapsed="false"/>
    <row r="892" customFormat="false" ht="16.5" hidden="false" customHeight="true" outlineLevel="0" collapsed="false"/>
    <row r="893" customFormat="false" ht="16.5" hidden="false" customHeight="true" outlineLevel="0" collapsed="false"/>
    <row r="894" customFormat="false" ht="16.5" hidden="false" customHeight="true" outlineLevel="0" collapsed="false"/>
    <row r="895" customFormat="false" ht="16.5" hidden="false" customHeight="true" outlineLevel="0" collapsed="false"/>
    <row r="896" customFormat="false" ht="16.5" hidden="false" customHeight="true" outlineLevel="0" collapsed="false"/>
    <row r="897" customFormat="false" ht="16.5" hidden="false" customHeight="true" outlineLevel="0" collapsed="false"/>
    <row r="898" customFormat="false" ht="16.5" hidden="false" customHeight="true" outlineLevel="0" collapsed="false"/>
    <row r="899" customFormat="false" ht="16.5" hidden="false" customHeight="true" outlineLevel="0" collapsed="false"/>
    <row r="900" customFormat="false" ht="16.5" hidden="false" customHeight="true" outlineLevel="0" collapsed="false"/>
    <row r="901" customFormat="false" ht="16.5" hidden="false" customHeight="true" outlineLevel="0" collapsed="false"/>
    <row r="902" customFormat="false" ht="16.5" hidden="false" customHeight="true" outlineLevel="0" collapsed="false"/>
    <row r="903" customFormat="false" ht="16.5" hidden="false" customHeight="true" outlineLevel="0" collapsed="false"/>
    <row r="904" customFormat="false" ht="16.5" hidden="false" customHeight="true" outlineLevel="0" collapsed="false"/>
    <row r="905" customFormat="false" ht="16.5" hidden="false" customHeight="true" outlineLevel="0" collapsed="false"/>
    <row r="906" customFormat="false" ht="16.5" hidden="false" customHeight="true" outlineLevel="0" collapsed="false"/>
    <row r="907" customFormat="false" ht="16.5" hidden="false" customHeight="true" outlineLevel="0" collapsed="false"/>
    <row r="908" customFormat="false" ht="16.5" hidden="false" customHeight="true" outlineLevel="0" collapsed="false"/>
    <row r="909" customFormat="false" ht="16.5" hidden="false" customHeight="true" outlineLevel="0" collapsed="false"/>
    <row r="910" customFormat="false" ht="16.5" hidden="false" customHeight="true" outlineLevel="0" collapsed="false"/>
    <row r="911" customFormat="false" ht="16.5" hidden="false" customHeight="true" outlineLevel="0" collapsed="false"/>
    <row r="912" customFormat="false" ht="16.5" hidden="false" customHeight="true" outlineLevel="0" collapsed="false"/>
    <row r="913" customFormat="false" ht="16.5" hidden="false" customHeight="true" outlineLevel="0" collapsed="false"/>
    <row r="914" customFormat="false" ht="16.5" hidden="false" customHeight="true" outlineLevel="0" collapsed="false"/>
    <row r="915" customFormat="false" ht="16.5" hidden="false" customHeight="true" outlineLevel="0" collapsed="false"/>
    <row r="916" customFormat="false" ht="16.5" hidden="false" customHeight="true" outlineLevel="0" collapsed="false"/>
    <row r="917" customFormat="false" ht="16.5" hidden="false" customHeight="true" outlineLevel="0" collapsed="false"/>
    <row r="918" customFormat="false" ht="16.5" hidden="false" customHeight="true" outlineLevel="0" collapsed="false"/>
    <row r="919" customFormat="false" ht="16.5" hidden="false" customHeight="true" outlineLevel="0" collapsed="false"/>
    <row r="920" customFormat="false" ht="16.5" hidden="false" customHeight="true" outlineLevel="0" collapsed="false"/>
    <row r="921" customFormat="false" ht="16.5" hidden="false" customHeight="true" outlineLevel="0" collapsed="false"/>
    <row r="922" customFormat="false" ht="16.5" hidden="false" customHeight="true" outlineLevel="0" collapsed="false"/>
    <row r="923" customFormat="false" ht="16.5" hidden="false" customHeight="true" outlineLevel="0" collapsed="false"/>
    <row r="924" customFormat="false" ht="16.5" hidden="false" customHeight="true" outlineLevel="0" collapsed="false"/>
    <row r="925" customFormat="false" ht="16.5" hidden="false" customHeight="true" outlineLevel="0" collapsed="false"/>
    <row r="926" customFormat="false" ht="16.5" hidden="false" customHeight="true" outlineLevel="0" collapsed="false"/>
    <row r="927" customFormat="false" ht="16.5" hidden="false" customHeight="true" outlineLevel="0" collapsed="false"/>
    <row r="928" customFormat="false" ht="16.5" hidden="false" customHeight="true" outlineLevel="0" collapsed="false"/>
    <row r="929" customFormat="false" ht="16.5" hidden="false" customHeight="true" outlineLevel="0" collapsed="false"/>
    <row r="930" customFormat="false" ht="16.5" hidden="false" customHeight="true" outlineLevel="0" collapsed="false"/>
    <row r="931" customFormat="false" ht="16.5" hidden="false" customHeight="true" outlineLevel="0" collapsed="false"/>
    <row r="932" customFormat="false" ht="16.5" hidden="false" customHeight="true" outlineLevel="0" collapsed="false"/>
    <row r="933" customFormat="false" ht="16.5" hidden="false" customHeight="true" outlineLevel="0" collapsed="false"/>
    <row r="934" customFormat="false" ht="16.5" hidden="false" customHeight="true" outlineLevel="0" collapsed="false"/>
    <row r="935" customFormat="false" ht="16.5" hidden="false" customHeight="true" outlineLevel="0" collapsed="false"/>
    <row r="936" customFormat="false" ht="16.5" hidden="false" customHeight="true" outlineLevel="0" collapsed="false"/>
    <row r="937" customFormat="false" ht="16.5" hidden="false" customHeight="true" outlineLevel="0" collapsed="false"/>
    <row r="938" customFormat="false" ht="16.5" hidden="false" customHeight="true" outlineLevel="0" collapsed="false"/>
    <row r="939" customFormat="false" ht="16.5" hidden="false" customHeight="true" outlineLevel="0" collapsed="false"/>
    <row r="940" customFormat="false" ht="16.5" hidden="false" customHeight="true" outlineLevel="0" collapsed="false"/>
    <row r="941" customFormat="false" ht="16.5" hidden="false" customHeight="true" outlineLevel="0" collapsed="false"/>
    <row r="942" customFormat="false" ht="16.5" hidden="false" customHeight="true" outlineLevel="0" collapsed="false"/>
    <row r="943" customFormat="false" ht="16.5" hidden="false" customHeight="true" outlineLevel="0" collapsed="false"/>
    <row r="944" customFormat="false" ht="16.5" hidden="false" customHeight="true" outlineLevel="0" collapsed="false"/>
    <row r="945" customFormat="false" ht="16.5" hidden="false" customHeight="true" outlineLevel="0" collapsed="false"/>
    <row r="946" customFormat="false" ht="16.5" hidden="false" customHeight="true" outlineLevel="0" collapsed="false"/>
    <row r="947" customFormat="false" ht="16.5" hidden="false" customHeight="true" outlineLevel="0" collapsed="false"/>
    <row r="948" customFormat="false" ht="16.5" hidden="false" customHeight="true" outlineLevel="0" collapsed="false"/>
    <row r="949" customFormat="false" ht="16.5" hidden="false" customHeight="true" outlineLevel="0" collapsed="false"/>
    <row r="950" customFormat="false" ht="16.5" hidden="false" customHeight="true" outlineLevel="0" collapsed="false"/>
    <row r="951" customFormat="false" ht="16.5" hidden="false" customHeight="true" outlineLevel="0" collapsed="false"/>
    <row r="952" customFormat="false" ht="16.5" hidden="false" customHeight="true" outlineLevel="0" collapsed="false"/>
    <row r="953" customFormat="false" ht="16.5" hidden="false" customHeight="true" outlineLevel="0" collapsed="false"/>
    <row r="954" customFormat="false" ht="16.5" hidden="false" customHeight="true" outlineLevel="0" collapsed="false"/>
    <row r="955" customFormat="false" ht="16.5" hidden="false" customHeight="true" outlineLevel="0" collapsed="false"/>
    <row r="956" customFormat="false" ht="16.5" hidden="false" customHeight="true" outlineLevel="0" collapsed="false"/>
    <row r="957" customFormat="false" ht="16.5" hidden="false" customHeight="true" outlineLevel="0" collapsed="false"/>
    <row r="958" customFormat="false" ht="16.5" hidden="false" customHeight="true" outlineLevel="0" collapsed="false"/>
    <row r="959" customFormat="false" ht="16.5" hidden="false" customHeight="true" outlineLevel="0" collapsed="false"/>
    <row r="960" customFormat="false" ht="16.5" hidden="false" customHeight="true" outlineLevel="0" collapsed="false"/>
    <row r="961" customFormat="false" ht="16.5" hidden="false" customHeight="true" outlineLevel="0" collapsed="false"/>
    <row r="962" customFormat="false" ht="16.5" hidden="false" customHeight="true" outlineLevel="0" collapsed="false"/>
    <row r="963" customFormat="false" ht="16.5" hidden="false" customHeight="true" outlineLevel="0" collapsed="false"/>
    <row r="964" customFormat="false" ht="16.5" hidden="false" customHeight="true" outlineLevel="0" collapsed="false"/>
    <row r="965" customFormat="false" ht="16.5" hidden="false" customHeight="true" outlineLevel="0" collapsed="false"/>
    <row r="966" customFormat="false" ht="16.5" hidden="false" customHeight="true" outlineLevel="0" collapsed="false"/>
    <row r="967" customFormat="false" ht="16.5" hidden="false" customHeight="true" outlineLevel="0" collapsed="false"/>
    <row r="968" customFormat="false" ht="16.5" hidden="false" customHeight="true" outlineLevel="0" collapsed="false"/>
    <row r="969" customFormat="false" ht="16.5" hidden="false" customHeight="true" outlineLevel="0" collapsed="false"/>
    <row r="970" customFormat="false" ht="16.5" hidden="false" customHeight="true" outlineLevel="0" collapsed="false"/>
    <row r="971" customFormat="false" ht="16.5" hidden="false" customHeight="true" outlineLevel="0" collapsed="false"/>
    <row r="972" customFormat="false" ht="16.5" hidden="false" customHeight="true" outlineLevel="0" collapsed="false"/>
    <row r="973" customFormat="false" ht="16.5" hidden="false" customHeight="true" outlineLevel="0" collapsed="false"/>
    <row r="974" customFormat="false" ht="16.5" hidden="false" customHeight="true" outlineLevel="0" collapsed="false"/>
    <row r="975" customFormat="false" ht="16.5" hidden="false" customHeight="true" outlineLevel="0" collapsed="false"/>
    <row r="976" customFormat="false" ht="16.5" hidden="false" customHeight="true" outlineLevel="0" collapsed="false"/>
    <row r="977" customFormat="false" ht="16.5" hidden="false" customHeight="true" outlineLevel="0" collapsed="false"/>
    <row r="978" customFormat="false" ht="16.5" hidden="false" customHeight="true" outlineLevel="0" collapsed="false"/>
    <row r="979" customFormat="false" ht="16.5" hidden="false" customHeight="true" outlineLevel="0" collapsed="false"/>
    <row r="980" customFormat="false" ht="16.5" hidden="false" customHeight="true" outlineLevel="0" collapsed="false"/>
    <row r="981" customFormat="false" ht="16.5" hidden="false" customHeight="true" outlineLevel="0" collapsed="false"/>
    <row r="982" customFormat="false" ht="16.5" hidden="false" customHeight="true" outlineLevel="0" collapsed="false"/>
    <row r="983" customFormat="false" ht="16.5" hidden="false" customHeight="true" outlineLevel="0" collapsed="false"/>
    <row r="984" customFormat="false" ht="16.5" hidden="false" customHeight="true" outlineLevel="0" collapsed="false"/>
    <row r="985" customFormat="false" ht="16.5" hidden="false" customHeight="true" outlineLevel="0" collapsed="false"/>
    <row r="986" customFormat="false" ht="16.5" hidden="false" customHeight="true" outlineLevel="0" collapsed="false"/>
    <row r="987" customFormat="false" ht="16.5" hidden="false" customHeight="true" outlineLevel="0" collapsed="false"/>
    <row r="988" customFormat="false" ht="16.5" hidden="false" customHeight="true" outlineLevel="0" collapsed="false"/>
    <row r="989" customFormat="false" ht="16.5" hidden="false" customHeight="true" outlineLevel="0" collapsed="false"/>
    <row r="990" customFormat="false" ht="16.5" hidden="false" customHeight="true" outlineLevel="0" collapsed="false"/>
    <row r="991" customFormat="false" ht="16.5" hidden="false" customHeight="true" outlineLevel="0" collapsed="false"/>
    <row r="992" customFormat="false" ht="16.5" hidden="false" customHeight="true" outlineLevel="0" collapsed="false"/>
    <row r="993" customFormat="false" ht="16.5" hidden="false" customHeight="true" outlineLevel="0" collapsed="false"/>
    <row r="994" customFormat="false" ht="16.5" hidden="false" customHeight="true" outlineLevel="0" collapsed="false"/>
    <row r="995" customFormat="false" ht="16.5" hidden="false" customHeight="true" outlineLevel="0" collapsed="false"/>
    <row r="996" customFormat="false" ht="16.5" hidden="false" customHeight="true" outlineLevel="0" collapsed="false"/>
    <row r="997" customFormat="false" ht="16.5" hidden="false" customHeight="true" outlineLevel="0" collapsed="false"/>
    <row r="998" customFormat="false" ht="16.5" hidden="false" customHeight="true" outlineLevel="0" collapsed="false"/>
    <row r="999" customFormat="false" ht="16.5" hidden="false" customHeight="true" outlineLevel="0" collapsed="false"/>
    <row r="1000" customFormat="false" ht="16.5" hidden="false" customHeight="true" outlineLevel="0" collapsed="false"/>
  </sheetData>
  <sheetProtection sheet="true" sort="false" autoFilter="false"/>
  <mergeCells count="14">
    <mergeCell ref="A1:J1"/>
    <mergeCell ref="A2:J2"/>
    <mergeCell ref="A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8:J8"/>
  </mergeCells>
  <conditionalFormatting sqref="A10:J44">
    <cfRule type="expression" priority="2" aboveAverage="0" equalAverage="0" bottom="0" percent="0" rank="0" text="" dxfId="24">
      <formula>$A10=""</formula>
    </cfRule>
  </conditionalFormatting>
  <printOptions headings="false" gridLines="false" gridLinesSet="true" horizontalCentered="true" verticalCentered="false"/>
  <pageMargins left="0.4" right="0.4" top="0.6" bottom="0.6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&amp;R&amp;"Calibri,Bold"&amp;K1f3864Controle Vivo de Climatização&amp;"Calibri,Regular"&amp;10 &amp;K595959  ·  GOP / 3ª CRE</oddHeader>
    <oddFooter>&amp;C&amp;9 &amp;K595959Página &amp;P de &amp;N  ·  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36"/>
    <col collapsed="false" customWidth="true" hidden="false" outlineLevel="0" max="4" min="4" style="1" width="30"/>
    <col collapsed="false" customWidth="true" hidden="false" outlineLevel="0" max="5" min="5" style="1" width="18"/>
    <col collapsed="false" customWidth="true" hidden="false" outlineLevel="0" max="6" min="6" style="1" width="28"/>
    <col collapsed="false" customWidth="true" hidden="false" outlineLevel="0" max="7" min="7" style="1" width="18"/>
    <col collapsed="false" customWidth="true" hidden="false" outlineLevel="0" max="8" min="8" style="1" width="24"/>
    <col collapsed="false" customWidth="true" hidden="false" outlineLevel="0" max="9" min="9" style="1" width="14"/>
    <col collapsed="false" customWidth="true" hidden="false" outlineLevel="0" max="10" min="10" style="1" width="12"/>
  </cols>
  <sheetData>
    <row r="1" customFormat="false" ht="37.5" hidden="false" customHeight="true" outlineLevel="0" collapsed="false">
      <c r="A1" s="93" t="s">
        <v>293</v>
      </c>
      <c r="B1" s="93"/>
      <c r="C1" s="93"/>
      <c r="D1" s="93"/>
      <c r="E1" s="93"/>
      <c r="F1" s="93"/>
      <c r="G1" s="93"/>
      <c r="H1" s="93"/>
      <c r="I1" s="93"/>
      <c r="J1" s="93"/>
    </row>
    <row r="2" customFormat="false" ht="19.5" hidden="false" customHeight="true" outlineLevel="0" collapsed="false">
      <c r="A2" s="21" t="s">
        <v>294</v>
      </c>
      <c r="B2" s="21"/>
      <c r="C2" s="21"/>
      <c r="D2" s="21"/>
      <c r="E2" s="21"/>
      <c r="F2" s="21"/>
      <c r="G2" s="21"/>
      <c r="H2" s="21"/>
      <c r="I2" s="21"/>
      <c r="J2" s="21"/>
    </row>
    <row r="3" customFormat="false" ht="15.75" hidden="false" customHeight="true" outlineLevel="0" collapsed="false"/>
    <row r="4" customFormat="false" ht="15.75" hidden="false" customHeight="true" outlineLevel="0" collapsed="false">
      <c r="A4" s="109" t="s">
        <v>281</v>
      </c>
      <c r="B4" s="109"/>
      <c r="C4" s="109"/>
      <c r="D4" s="109"/>
      <c r="E4" s="109"/>
      <c r="F4" s="109"/>
      <c r="G4" s="109"/>
      <c r="H4" s="109"/>
      <c r="I4" s="109"/>
      <c r="J4" s="109"/>
    </row>
    <row r="5" customFormat="false" ht="15.75" hidden="false" customHeight="true" outlineLevel="0" collapsed="false">
      <c r="A5" s="98" t="s">
        <v>295</v>
      </c>
      <c r="B5" s="98"/>
      <c r="C5" s="95" t="s">
        <v>296</v>
      </c>
      <c r="D5" s="95"/>
      <c r="E5" s="96" t="s">
        <v>297</v>
      </c>
      <c r="F5" s="96"/>
      <c r="G5" s="97" t="s">
        <v>298</v>
      </c>
      <c r="H5" s="97"/>
      <c r="I5" s="110" t="s">
        <v>299</v>
      </c>
      <c r="J5" s="110"/>
    </row>
    <row r="6" customFormat="false" ht="39.75" hidden="false" customHeight="true" outlineLevel="0" collapsed="false">
      <c r="A6" s="102" t="n">
        <f aca="false">COUNTIF(CHAMADOS_GOP!P2:P1000,"*CTIN*")</f>
        <v>0</v>
      </c>
      <c r="B6" s="102"/>
      <c r="C6" s="99" t="n">
        <f aca="false">COUNTIFS(CHAMADOS_GOP!O2:O1000,"07 - Relatório recebido — unidade apta")+COUNTIFS(CHAMADOS_GOP!O2:O1000,"11 - Orçamentos em análise técnica")</f>
        <v>1</v>
      </c>
      <c r="D6" s="99"/>
      <c r="E6" s="100" t="n">
        <f aca="false">COUNTIFS(CHAMADOS_GOP!U2:U1000,"Alta")</f>
        <v>0</v>
      </c>
      <c r="F6" s="100"/>
      <c r="G6" s="101" t="n">
        <f aca="false">COUNTIFS(CHAMADOS_GOP!O2:O1000,"22 - Instalação/substituição autorizada")</f>
        <v>0</v>
      </c>
      <c r="H6" s="101"/>
      <c r="I6" s="111" t="n">
        <f aca="false">COUNTIF(CHAMADOS_GOP!P2:P1000,"*CTIN*")+COUNTIFS(CHAMADOS_GOP!U2:U1000,"Alta")</f>
        <v>0</v>
      </c>
      <c r="J6" s="111"/>
    </row>
    <row r="7" customFormat="false" ht="15.75" hidden="false" customHeight="true" outlineLevel="0" collapsed="false"/>
    <row r="8" customFormat="false" ht="18" hidden="false" customHeight="true" outlineLevel="0" collapsed="false">
      <c r="A8" s="109" t="s">
        <v>300</v>
      </c>
      <c r="B8" s="109"/>
      <c r="C8" s="109"/>
      <c r="D8" s="109"/>
      <c r="E8" s="109"/>
      <c r="F8" s="109"/>
      <c r="G8" s="109"/>
      <c r="H8" s="109"/>
      <c r="I8" s="109"/>
      <c r="J8" s="109"/>
    </row>
    <row r="9" customFormat="false" ht="31.5" hidden="false" customHeight="true" outlineLevel="0" collapsed="false">
      <c r="A9" s="68" t="s">
        <v>83</v>
      </c>
      <c r="B9" s="68" t="s">
        <v>91</v>
      </c>
      <c r="C9" s="68" t="s">
        <v>60</v>
      </c>
      <c r="D9" s="68" t="s">
        <v>288</v>
      </c>
      <c r="E9" s="68" t="s">
        <v>289</v>
      </c>
      <c r="F9" s="68" t="s">
        <v>84</v>
      </c>
      <c r="G9" s="68" t="s">
        <v>290</v>
      </c>
      <c r="H9" s="68" t="s">
        <v>291</v>
      </c>
      <c r="I9" s="68" t="s">
        <v>292</v>
      </c>
      <c r="J9" s="68" t="s">
        <v>86</v>
      </c>
    </row>
    <row r="10" customFormat="false" ht="18" hidden="false" customHeight="true" outlineLevel="0" collapsed="false">
      <c r="A10" s="103" t="str">
        <f aca="false">IFERROR(INDEX(CHAMADOS_GOP!B$2:B$500,MATCH(1,CHAMADOS_GOP!$AC$2:$AC$500,0)),"")</f>
        <v>GOP-AR-2026-0019</v>
      </c>
      <c r="B10" s="103" t="n">
        <f aca="false">IFERROR(INDEX(CHAMADOS_GOP!C$2:C$500,MATCH(1,CHAMADOS_GOP!$AC$2:$AC$500,0)),"")</f>
        <v>312035</v>
      </c>
      <c r="C10" s="103" t="str">
        <f aca="false">IFERROR(INDEX(CHAMADOS_GOP!D$2:D$500,MATCH(1,CHAMADOS_GOP!$AC$2:$AC$500,0)),"")</f>
        <v>Escola Municipal Antônio Pereira</v>
      </c>
      <c r="D10" s="103" t="str">
        <f aca="false">IFERROR(INDEX(CHAMADOS_GOP!E$2:E$500,MATCH(1,CHAMADOS_GOP!$AC$2:$AC$500,0)),"")</f>
        <v>salas 2 e 4</v>
      </c>
      <c r="E10" s="103" t="str">
        <f aca="false">IFERROR(INDEX(CHAMADOS_GOP!F$2:F$500,MATCH(1,CHAMADOS_GOP!$AC$2:$AC$500,0)),"")</f>
        <v>Substituição/Instalação de Aparelho</v>
      </c>
      <c r="F10" s="103" t="str">
        <f aca="false">IFERROR(INDEX(CHAMADOS_GOP!O$2:O$500,MATCH(1,CHAMADOS_GOP!$AC$2:$AC$500,0)),"")</f>
        <v>07 - Relatório recebido — unidade apta</v>
      </c>
      <c r="G10" s="103" t="str">
        <f aca="false">IFERROR(INDEX(CHAMADOS_GOP!P$2:P$500,MATCH(1,CHAMADOS_GOP!$AC$2:$AC$500,0)),"")</f>
        <v>GIN / CPS</v>
      </c>
      <c r="H10" s="103" t="str">
        <f aca="false">IFERROR(INDEX(CHAMADOS_GOP!Q$2:Q$500,MATCH(1,CHAMADOS_GOP!$AC$2:$AC$500,0)),"")</f>
        <v>Preparar comunicação para CTO, se a demanda já estiver autorizada.</v>
      </c>
      <c r="I10" s="104" t="n">
        <f aca="false">IFERROR(INDEX(CHAMADOS_GOP!R$2:R$500,MATCH(1,CHAMADOS_GOP!$AC$2:$AC$500,0)),"")</f>
        <v>46168</v>
      </c>
      <c r="J10" s="105" t="n">
        <f aca="false">IFERROR(INDEX(CHAMADOS_GOP!S$2:S$500,MATCH(1,CHAMADOS_GOP!$AC$2:$AC$500,0)),"")</f>
        <v>3</v>
      </c>
    </row>
    <row r="11" customFormat="false" ht="18" hidden="false" customHeight="true" outlineLevel="0" collapsed="false">
      <c r="A11" s="106" t="str">
        <f aca="false">IFERROR(INDEX(CHAMADOS_GOP!B$2:B$500,MATCH(2,CHAMADOS_GOP!$AC$2:$AC$500,0)),"")</f>
        <v/>
      </c>
      <c r="B11" s="106" t="str">
        <f aca="false">IFERROR(INDEX(CHAMADOS_GOP!C$2:C$500,MATCH(2,CHAMADOS_GOP!$AC$2:$AC$500,0)),"")</f>
        <v/>
      </c>
      <c r="C11" s="106" t="str">
        <f aca="false">IFERROR(INDEX(CHAMADOS_GOP!D$2:D$500,MATCH(2,CHAMADOS_GOP!$AC$2:$AC$500,0)),"")</f>
        <v/>
      </c>
      <c r="D11" s="106" t="str">
        <f aca="false">IFERROR(INDEX(CHAMADOS_GOP!E$2:E$500,MATCH(2,CHAMADOS_GOP!$AC$2:$AC$500,0)),"")</f>
        <v/>
      </c>
      <c r="E11" s="106" t="str">
        <f aca="false">IFERROR(INDEX(CHAMADOS_GOP!F$2:F$500,MATCH(2,CHAMADOS_GOP!$AC$2:$AC$500,0)),"")</f>
        <v/>
      </c>
      <c r="F11" s="106" t="str">
        <f aca="false">IFERROR(INDEX(CHAMADOS_GOP!O$2:O$500,MATCH(2,CHAMADOS_GOP!$AC$2:$AC$500,0)),"")</f>
        <v/>
      </c>
      <c r="G11" s="106" t="str">
        <f aca="false">IFERROR(INDEX(CHAMADOS_GOP!P$2:P$500,MATCH(2,CHAMADOS_GOP!$AC$2:$AC$500,0)),"")</f>
        <v/>
      </c>
      <c r="H11" s="106" t="str">
        <f aca="false">IFERROR(INDEX(CHAMADOS_GOP!Q$2:Q$500,MATCH(2,CHAMADOS_GOP!$AC$2:$AC$500,0)),"")</f>
        <v/>
      </c>
      <c r="I11" s="107" t="str">
        <f aca="false">IFERROR(INDEX(CHAMADOS_GOP!R$2:R$500,MATCH(2,CHAMADOS_GOP!$AC$2:$AC$500,0)),"")</f>
        <v/>
      </c>
      <c r="J11" s="108" t="str">
        <f aca="false">IFERROR(INDEX(CHAMADOS_GOP!S$2:S$500,MATCH(2,CHAMADOS_GOP!$AC$2:$AC$500,0)),"")</f>
        <v/>
      </c>
    </row>
    <row r="12" customFormat="false" ht="18" hidden="false" customHeight="true" outlineLevel="0" collapsed="false">
      <c r="A12" s="103" t="str">
        <f aca="false">IFERROR(INDEX(CHAMADOS_GOP!B$2:B$500,MATCH(3,CHAMADOS_GOP!$AC$2:$AC$500,0)),"")</f>
        <v/>
      </c>
      <c r="B12" s="103" t="str">
        <f aca="false">IFERROR(INDEX(CHAMADOS_GOP!C$2:C$500,MATCH(3,CHAMADOS_GOP!$AC$2:$AC$500,0)),"")</f>
        <v/>
      </c>
      <c r="C12" s="103" t="str">
        <f aca="false">IFERROR(INDEX(CHAMADOS_GOP!D$2:D$500,MATCH(3,CHAMADOS_GOP!$AC$2:$AC$500,0)),"")</f>
        <v/>
      </c>
      <c r="D12" s="103" t="str">
        <f aca="false">IFERROR(INDEX(CHAMADOS_GOP!E$2:E$500,MATCH(3,CHAMADOS_GOP!$AC$2:$AC$500,0)),"")</f>
        <v/>
      </c>
      <c r="E12" s="103" t="str">
        <f aca="false">IFERROR(INDEX(CHAMADOS_GOP!F$2:F$500,MATCH(3,CHAMADOS_GOP!$AC$2:$AC$500,0)),"")</f>
        <v/>
      </c>
      <c r="F12" s="103" t="str">
        <f aca="false">IFERROR(INDEX(CHAMADOS_GOP!O$2:O$500,MATCH(3,CHAMADOS_GOP!$AC$2:$AC$500,0)),"")</f>
        <v/>
      </c>
      <c r="G12" s="103" t="str">
        <f aca="false">IFERROR(INDEX(CHAMADOS_GOP!P$2:P$500,MATCH(3,CHAMADOS_GOP!$AC$2:$AC$500,0)),"")</f>
        <v/>
      </c>
      <c r="H12" s="103" t="str">
        <f aca="false">IFERROR(INDEX(CHAMADOS_GOP!Q$2:Q$500,MATCH(3,CHAMADOS_GOP!$AC$2:$AC$500,0)),"")</f>
        <v/>
      </c>
      <c r="I12" s="104" t="str">
        <f aca="false">IFERROR(INDEX(CHAMADOS_GOP!R$2:R$500,MATCH(3,CHAMADOS_GOP!$AC$2:$AC$500,0)),"")</f>
        <v/>
      </c>
      <c r="J12" s="105" t="str">
        <f aca="false">IFERROR(INDEX(CHAMADOS_GOP!S$2:S$500,MATCH(3,CHAMADOS_GOP!$AC$2:$AC$500,0)),"")</f>
        <v/>
      </c>
    </row>
    <row r="13" customFormat="false" ht="18" hidden="false" customHeight="true" outlineLevel="0" collapsed="false">
      <c r="A13" s="106" t="str">
        <f aca="false">IFERROR(INDEX(CHAMADOS_GOP!B$2:B$500,MATCH(4,CHAMADOS_GOP!$AC$2:$AC$500,0)),"")</f>
        <v/>
      </c>
      <c r="B13" s="106" t="str">
        <f aca="false">IFERROR(INDEX(CHAMADOS_GOP!C$2:C$500,MATCH(4,CHAMADOS_GOP!$AC$2:$AC$500,0)),"")</f>
        <v/>
      </c>
      <c r="C13" s="106" t="str">
        <f aca="false">IFERROR(INDEX(CHAMADOS_GOP!D$2:D$500,MATCH(4,CHAMADOS_GOP!$AC$2:$AC$500,0)),"")</f>
        <v/>
      </c>
      <c r="D13" s="106" t="str">
        <f aca="false">IFERROR(INDEX(CHAMADOS_GOP!E$2:E$500,MATCH(4,CHAMADOS_GOP!$AC$2:$AC$500,0)),"")</f>
        <v/>
      </c>
      <c r="E13" s="106" t="str">
        <f aca="false">IFERROR(INDEX(CHAMADOS_GOP!F$2:F$500,MATCH(4,CHAMADOS_GOP!$AC$2:$AC$500,0)),"")</f>
        <v/>
      </c>
      <c r="F13" s="106" t="str">
        <f aca="false">IFERROR(INDEX(CHAMADOS_GOP!O$2:O$500,MATCH(4,CHAMADOS_GOP!$AC$2:$AC$500,0)),"")</f>
        <v/>
      </c>
      <c r="G13" s="106" t="str">
        <f aca="false">IFERROR(INDEX(CHAMADOS_GOP!P$2:P$500,MATCH(4,CHAMADOS_GOP!$AC$2:$AC$500,0)),"")</f>
        <v/>
      </c>
      <c r="H13" s="106" t="str">
        <f aca="false">IFERROR(INDEX(CHAMADOS_GOP!Q$2:Q$500,MATCH(4,CHAMADOS_GOP!$AC$2:$AC$500,0)),"")</f>
        <v/>
      </c>
      <c r="I13" s="107" t="str">
        <f aca="false">IFERROR(INDEX(CHAMADOS_GOP!R$2:R$500,MATCH(4,CHAMADOS_GOP!$AC$2:$AC$500,0)),"")</f>
        <v/>
      </c>
      <c r="J13" s="108" t="str">
        <f aca="false">IFERROR(INDEX(CHAMADOS_GOP!S$2:S$500,MATCH(4,CHAMADOS_GOP!$AC$2:$AC$500,0)),"")</f>
        <v/>
      </c>
    </row>
    <row r="14" customFormat="false" ht="18" hidden="false" customHeight="true" outlineLevel="0" collapsed="false">
      <c r="A14" s="103" t="str">
        <f aca="false">IFERROR(INDEX(CHAMADOS_GOP!B$2:B$500,MATCH(5,CHAMADOS_GOP!$AC$2:$AC$500,0)),"")</f>
        <v/>
      </c>
      <c r="B14" s="103" t="str">
        <f aca="false">IFERROR(INDEX(CHAMADOS_GOP!C$2:C$500,MATCH(5,CHAMADOS_GOP!$AC$2:$AC$500,0)),"")</f>
        <v/>
      </c>
      <c r="C14" s="103" t="str">
        <f aca="false">IFERROR(INDEX(CHAMADOS_GOP!D$2:D$500,MATCH(5,CHAMADOS_GOP!$AC$2:$AC$500,0)),"")</f>
        <v/>
      </c>
      <c r="D14" s="103" t="str">
        <f aca="false">IFERROR(INDEX(CHAMADOS_GOP!E$2:E$500,MATCH(5,CHAMADOS_GOP!$AC$2:$AC$500,0)),"")</f>
        <v/>
      </c>
      <c r="E14" s="103" t="str">
        <f aca="false">IFERROR(INDEX(CHAMADOS_GOP!F$2:F$500,MATCH(5,CHAMADOS_GOP!$AC$2:$AC$500,0)),"")</f>
        <v/>
      </c>
      <c r="F14" s="103" t="str">
        <f aca="false">IFERROR(INDEX(CHAMADOS_GOP!O$2:O$500,MATCH(5,CHAMADOS_GOP!$AC$2:$AC$500,0)),"")</f>
        <v/>
      </c>
      <c r="G14" s="103" t="str">
        <f aca="false">IFERROR(INDEX(CHAMADOS_GOP!P$2:P$500,MATCH(5,CHAMADOS_GOP!$AC$2:$AC$500,0)),"")</f>
        <v/>
      </c>
      <c r="H14" s="103" t="str">
        <f aca="false">IFERROR(INDEX(CHAMADOS_GOP!Q$2:Q$500,MATCH(5,CHAMADOS_GOP!$AC$2:$AC$500,0)),"")</f>
        <v/>
      </c>
      <c r="I14" s="104" t="str">
        <f aca="false">IFERROR(INDEX(CHAMADOS_GOP!R$2:R$500,MATCH(5,CHAMADOS_GOP!$AC$2:$AC$500,0)),"")</f>
        <v/>
      </c>
      <c r="J14" s="105" t="str">
        <f aca="false">IFERROR(INDEX(CHAMADOS_GOP!S$2:S$500,MATCH(5,CHAMADOS_GOP!$AC$2:$AC$500,0)),"")</f>
        <v/>
      </c>
    </row>
    <row r="15" customFormat="false" ht="18" hidden="false" customHeight="true" outlineLevel="0" collapsed="false">
      <c r="A15" s="106" t="str">
        <f aca="false">IFERROR(INDEX(CHAMADOS_GOP!B$2:B$500,MATCH(6,CHAMADOS_GOP!$AC$2:$AC$500,0)),"")</f>
        <v/>
      </c>
      <c r="B15" s="106" t="str">
        <f aca="false">IFERROR(INDEX(CHAMADOS_GOP!C$2:C$500,MATCH(6,CHAMADOS_GOP!$AC$2:$AC$500,0)),"")</f>
        <v/>
      </c>
      <c r="C15" s="106" t="str">
        <f aca="false">IFERROR(INDEX(CHAMADOS_GOP!D$2:D$500,MATCH(6,CHAMADOS_GOP!$AC$2:$AC$500,0)),"")</f>
        <v/>
      </c>
      <c r="D15" s="106" t="str">
        <f aca="false">IFERROR(INDEX(CHAMADOS_GOP!E$2:E$500,MATCH(6,CHAMADOS_GOP!$AC$2:$AC$500,0)),"")</f>
        <v/>
      </c>
      <c r="E15" s="106" t="str">
        <f aca="false">IFERROR(INDEX(CHAMADOS_GOP!F$2:F$500,MATCH(6,CHAMADOS_GOP!$AC$2:$AC$500,0)),"")</f>
        <v/>
      </c>
      <c r="F15" s="106" t="str">
        <f aca="false">IFERROR(INDEX(CHAMADOS_GOP!O$2:O$500,MATCH(6,CHAMADOS_GOP!$AC$2:$AC$500,0)),"")</f>
        <v/>
      </c>
      <c r="G15" s="106" t="str">
        <f aca="false">IFERROR(INDEX(CHAMADOS_GOP!P$2:P$500,MATCH(6,CHAMADOS_GOP!$AC$2:$AC$500,0)),"")</f>
        <v/>
      </c>
      <c r="H15" s="106" t="str">
        <f aca="false">IFERROR(INDEX(CHAMADOS_GOP!Q$2:Q$500,MATCH(6,CHAMADOS_GOP!$AC$2:$AC$500,0)),"")</f>
        <v/>
      </c>
      <c r="I15" s="107" t="str">
        <f aca="false">IFERROR(INDEX(CHAMADOS_GOP!R$2:R$500,MATCH(6,CHAMADOS_GOP!$AC$2:$AC$500,0)),"")</f>
        <v/>
      </c>
      <c r="J15" s="108" t="str">
        <f aca="false">IFERROR(INDEX(CHAMADOS_GOP!S$2:S$500,MATCH(6,CHAMADOS_GOP!$AC$2:$AC$500,0)),"")</f>
        <v/>
      </c>
    </row>
    <row r="16" customFormat="false" ht="18" hidden="false" customHeight="true" outlineLevel="0" collapsed="false">
      <c r="A16" s="103" t="str">
        <f aca="false">IFERROR(INDEX(CHAMADOS_GOP!B$2:B$500,MATCH(7,CHAMADOS_GOP!$AC$2:$AC$500,0)),"")</f>
        <v/>
      </c>
      <c r="B16" s="103" t="str">
        <f aca="false">IFERROR(INDEX(CHAMADOS_GOP!C$2:C$500,MATCH(7,CHAMADOS_GOP!$AC$2:$AC$500,0)),"")</f>
        <v/>
      </c>
      <c r="C16" s="103" t="str">
        <f aca="false">IFERROR(INDEX(CHAMADOS_GOP!D$2:D$500,MATCH(7,CHAMADOS_GOP!$AC$2:$AC$500,0)),"")</f>
        <v/>
      </c>
      <c r="D16" s="103" t="str">
        <f aca="false">IFERROR(INDEX(CHAMADOS_GOP!E$2:E$500,MATCH(7,CHAMADOS_GOP!$AC$2:$AC$500,0)),"")</f>
        <v/>
      </c>
      <c r="E16" s="103" t="str">
        <f aca="false">IFERROR(INDEX(CHAMADOS_GOP!F$2:F$500,MATCH(7,CHAMADOS_GOP!$AC$2:$AC$500,0)),"")</f>
        <v/>
      </c>
      <c r="F16" s="103" t="str">
        <f aca="false">IFERROR(INDEX(CHAMADOS_GOP!O$2:O$500,MATCH(7,CHAMADOS_GOP!$AC$2:$AC$500,0)),"")</f>
        <v/>
      </c>
      <c r="G16" s="103" t="str">
        <f aca="false">IFERROR(INDEX(CHAMADOS_GOP!P$2:P$500,MATCH(7,CHAMADOS_GOP!$AC$2:$AC$500,0)),"")</f>
        <v/>
      </c>
      <c r="H16" s="103" t="str">
        <f aca="false">IFERROR(INDEX(CHAMADOS_GOP!Q$2:Q$500,MATCH(7,CHAMADOS_GOP!$AC$2:$AC$500,0)),"")</f>
        <v/>
      </c>
      <c r="I16" s="104" t="str">
        <f aca="false">IFERROR(INDEX(CHAMADOS_GOP!R$2:R$500,MATCH(7,CHAMADOS_GOP!$AC$2:$AC$500,0)),"")</f>
        <v/>
      </c>
      <c r="J16" s="105" t="str">
        <f aca="false">IFERROR(INDEX(CHAMADOS_GOP!S$2:S$500,MATCH(7,CHAMADOS_GOP!$AC$2:$AC$500,0)),"")</f>
        <v/>
      </c>
    </row>
    <row r="17" customFormat="false" ht="18" hidden="false" customHeight="true" outlineLevel="0" collapsed="false">
      <c r="A17" s="106" t="str">
        <f aca="false">IFERROR(INDEX(CHAMADOS_GOP!B$2:B$500,MATCH(8,CHAMADOS_GOP!$AC$2:$AC$500,0)),"")</f>
        <v/>
      </c>
      <c r="B17" s="106" t="str">
        <f aca="false">IFERROR(INDEX(CHAMADOS_GOP!C$2:C$500,MATCH(8,CHAMADOS_GOP!$AC$2:$AC$500,0)),"")</f>
        <v/>
      </c>
      <c r="C17" s="106" t="str">
        <f aca="false">IFERROR(INDEX(CHAMADOS_GOP!D$2:D$500,MATCH(8,CHAMADOS_GOP!$AC$2:$AC$500,0)),"")</f>
        <v/>
      </c>
      <c r="D17" s="106" t="str">
        <f aca="false">IFERROR(INDEX(CHAMADOS_GOP!E$2:E$500,MATCH(8,CHAMADOS_GOP!$AC$2:$AC$500,0)),"")</f>
        <v/>
      </c>
      <c r="E17" s="106" t="str">
        <f aca="false">IFERROR(INDEX(CHAMADOS_GOP!F$2:F$500,MATCH(8,CHAMADOS_GOP!$AC$2:$AC$500,0)),"")</f>
        <v/>
      </c>
      <c r="F17" s="106" t="str">
        <f aca="false">IFERROR(INDEX(CHAMADOS_GOP!O$2:O$500,MATCH(8,CHAMADOS_GOP!$AC$2:$AC$500,0)),"")</f>
        <v/>
      </c>
      <c r="G17" s="106" t="str">
        <f aca="false">IFERROR(INDEX(CHAMADOS_GOP!P$2:P$500,MATCH(8,CHAMADOS_GOP!$AC$2:$AC$500,0)),"")</f>
        <v/>
      </c>
      <c r="H17" s="106" t="str">
        <f aca="false">IFERROR(INDEX(CHAMADOS_GOP!Q$2:Q$500,MATCH(8,CHAMADOS_GOP!$AC$2:$AC$500,0)),"")</f>
        <v/>
      </c>
      <c r="I17" s="107" t="str">
        <f aca="false">IFERROR(INDEX(CHAMADOS_GOP!R$2:R$500,MATCH(8,CHAMADOS_GOP!$AC$2:$AC$500,0)),"")</f>
        <v/>
      </c>
      <c r="J17" s="108" t="str">
        <f aca="false">IFERROR(INDEX(CHAMADOS_GOP!S$2:S$500,MATCH(8,CHAMADOS_GOP!$AC$2:$AC$500,0)),"")</f>
        <v/>
      </c>
    </row>
    <row r="18" customFormat="false" ht="18" hidden="false" customHeight="true" outlineLevel="0" collapsed="false">
      <c r="A18" s="103" t="str">
        <f aca="false">IFERROR(INDEX(CHAMADOS_GOP!B$2:B$500,MATCH(9,CHAMADOS_GOP!$AC$2:$AC$500,0)),"")</f>
        <v/>
      </c>
      <c r="B18" s="103" t="str">
        <f aca="false">IFERROR(INDEX(CHAMADOS_GOP!C$2:C$500,MATCH(9,CHAMADOS_GOP!$AC$2:$AC$500,0)),"")</f>
        <v/>
      </c>
      <c r="C18" s="103" t="str">
        <f aca="false">IFERROR(INDEX(CHAMADOS_GOP!D$2:D$500,MATCH(9,CHAMADOS_GOP!$AC$2:$AC$500,0)),"")</f>
        <v/>
      </c>
      <c r="D18" s="103" t="str">
        <f aca="false">IFERROR(INDEX(CHAMADOS_GOP!E$2:E$500,MATCH(9,CHAMADOS_GOP!$AC$2:$AC$500,0)),"")</f>
        <v/>
      </c>
      <c r="E18" s="103" t="str">
        <f aca="false">IFERROR(INDEX(CHAMADOS_GOP!F$2:F$500,MATCH(9,CHAMADOS_GOP!$AC$2:$AC$500,0)),"")</f>
        <v/>
      </c>
      <c r="F18" s="103" t="str">
        <f aca="false">IFERROR(INDEX(CHAMADOS_GOP!O$2:O$500,MATCH(9,CHAMADOS_GOP!$AC$2:$AC$500,0)),"")</f>
        <v/>
      </c>
      <c r="G18" s="103" t="str">
        <f aca="false">IFERROR(INDEX(CHAMADOS_GOP!P$2:P$500,MATCH(9,CHAMADOS_GOP!$AC$2:$AC$500,0)),"")</f>
        <v/>
      </c>
      <c r="H18" s="103" t="str">
        <f aca="false">IFERROR(INDEX(CHAMADOS_GOP!Q$2:Q$500,MATCH(9,CHAMADOS_GOP!$AC$2:$AC$500,0)),"")</f>
        <v/>
      </c>
      <c r="I18" s="104" t="str">
        <f aca="false">IFERROR(INDEX(CHAMADOS_GOP!R$2:R$500,MATCH(9,CHAMADOS_GOP!$AC$2:$AC$500,0)),"")</f>
        <v/>
      </c>
      <c r="J18" s="105" t="str">
        <f aca="false">IFERROR(INDEX(CHAMADOS_GOP!S$2:S$500,MATCH(9,CHAMADOS_GOP!$AC$2:$AC$500,0)),"")</f>
        <v/>
      </c>
    </row>
    <row r="19" customFormat="false" ht="18" hidden="false" customHeight="true" outlineLevel="0" collapsed="false">
      <c r="A19" s="106" t="str">
        <f aca="false">IFERROR(INDEX(CHAMADOS_GOP!B$2:B$500,MATCH(10,CHAMADOS_GOP!$AC$2:$AC$500,0)),"")</f>
        <v/>
      </c>
      <c r="B19" s="106" t="str">
        <f aca="false">IFERROR(INDEX(CHAMADOS_GOP!C$2:C$500,MATCH(10,CHAMADOS_GOP!$AC$2:$AC$500,0)),"")</f>
        <v/>
      </c>
      <c r="C19" s="106" t="str">
        <f aca="false">IFERROR(INDEX(CHAMADOS_GOP!D$2:D$500,MATCH(10,CHAMADOS_GOP!$AC$2:$AC$500,0)),"")</f>
        <v/>
      </c>
      <c r="D19" s="106" t="str">
        <f aca="false">IFERROR(INDEX(CHAMADOS_GOP!E$2:E$500,MATCH(10,CHAMADOS_GOP!$AC$2:$AC$500,0)),"")</f>
        <v/>
      </c>
      <c r="E19" s="106" t="str">
        <f aca="false">IFERROR(INDEX(CHAMADOS_GOP!F$2:F$500,MATCH(10,CHAMADOS_GOP!$AC$2:$AC$500,0)),"")</f>
        <v/>
      </c>
      <c r="F19" s="106" t="str">
        <f aca="false">IFERROR(INDEX(CHAMADOS_GOP!O$2:O$500,MATCH(10,CHAMADOS_GOP!$AC$2:$AC$500,0)),"")</f>
        <v/>
      </c>
      <c r="G19" s="106" t="str">
        <f aca="false">IFERROR(INDEX(CHAMADOS_GOP!P$2:P$500,MATCH(10,CHAMADOS_GOP!$AC$2:$AC$500,0)),"")</f>
        <v/>
      </c>
      <c r="H19" s="106" t="str">
        <f aca="false">IFERROR(INDEX(CHAMADOS_GOP!Q$2:Q$500,MATCH(10,CHAMADOS_GOP!$AC$2:$AC$500,0)),"")</f>
        <v/>
      </c>
      <c r="I19" s="107" t="str">
        <f aca="false">IFERROR(INDEX(CHAMADOS_GOP!R$2:R$500,MATCH(10,CHAMADOS_GOP!$AC$2:$AC$500,0)),"")</f>
        <v/>
      </c>
      <c r="J19" s="108" t="str">
        <f aca="false">IFERROR(INDEX(CHAMADOS_GOP!S$2:S$500,MATCH(10,CHAMADOS_GOP!$AC$2:$AC$500,0)),"")</f>
        <v/>
      </c>
    </row>
    <row r="20" customFormat="false" ht="18" hidden="false" customHeight="true" outlineLevel="0" collapsed="false">
      <c r="A20" s="103" t="str">
        <f aca="false">IFERROR(INDEX(CHAMADOS_GOP!B$2:B$500,MATCH(11,CHAMADOS_GOP!$AC$2:$AC$500,0)),"")</f>
        <v/>
      </c>
      <c r="B20" s="103" t="str">
        <f aca="false">IFERROR(INDEX(CHAMADOS_GOP!C$2:C$500,MATCH(11,CHAMADOS_GOP!$AC$2:$AC$500,0)),"")</f>
        <v/>
      </c>
      <c r="C20" s="103" t="str">
        <f aca="false">IFERROR(INDEX(CHAMADOS_GOP!D$2:D$500,MATCH(11,CHAMADOS_GOP!$AC$2:$AC$500,0)),"")</f>
        <v/>
      </c>
      <c r="D20" s="103" t="str">
        <f aca="false">IFERROR(INDEX(CHAMADOS_GOP!E$2:E$500,MATCH(11,CHAMADOS_GOP!$AC$2:$AC$500,0)),"")</f>
        <v/>
      </c>
      <c r="E20" s="103" t="str">
        <f aca="false">IFERROR(INDEX(CHAMADOS_GOP!F$2:F$500,MATCH(11,CHAMADOS_GOP!$AC$2:$AC$500,0)),"")</f>
        <v/>
      </c>
      <c r="F20" s="103" t="str">
        <f aca="false">IFERROR(INDEX(CHAMADOS_GOP!O$2:O$500,MATCH(11,CHAMADOS_GOP!$AC$2:$AC$500,0)),"")</f>
        <v/>
      </c>
      <c r="G20" s="103" t="str">
        <f aca="false">IFERROR(INDEX(CHAMADOS_GOP!P$2:P$500,MATCH(11,CHAMADOS_GOP!$AC$2:$AC$500,0)),"")</f>
        <v/>
      </c>
      <c r="H20" s="103" t="str">
        <f aca="false">IFERROR(INDEX(CHAMADOS_GOP!Q$2:Q$500,MATCH(11,CHAMADOS_GOP!$AC$2:$AC$500,0)),"")</f>
        <v/>
      </c>
      <c r="I20" s="104" t="str">
        <f aca="false">IFERROR(INDEX(CHAMADOS_GOP!R$2:R$500,MATCH(11,CHAMADOS_GOP!$AC$2:$AC$500,0)),"")</f>
        <v/>
      </c>
      <c r="J20" s="105" t="str">
        <f aca="false">IFERROR(INDEX(CHAMADOS_GOP!S$2:S$500,MATCH(11,CHAMADOS_GOP!$AC$2:$AC$500,0)),"")</f>
        <v/>
      </c>
    </row>
    <row r="21" customFormat="false" ht="18" hidden="false" customHeight="true" outlineLevel="0" collapsed="false">
      <c r="A21" s="106" t="str">
        <f aca="false">IFERROR(INDEX(CHAMADOS_GOP!B$2:B$500,MATCH(12,CHAMADOS_GOP!$AC$2:$AC$500,0)),"")</f>
        <v/>
      </c>
      <c r="B21" s="106" t="str">
        <f aca="false">IFERROR(INDEX(CHAMADOS_GOP!C$2:C$500,MATCH(12,CHAMADOS_GOP!$AC$2:$AC$500,0)),"")</f>
        <v/>
      </c>
      <c r="C21" s="106" t="str">
        <f aca="false">IFERROR(INDEX(CHAMADOS_GOP!D$2:D$500,MATCH(12,CHAMADOS_GOP!$AC$2:$AC$500,0)),"")</f>
        <v/>
      </c>
      <c r="D21" s="106" t="str">
        <f aca="false">IFERROR(INDEX(CHAMADOS_GOP!E$2:E$500,MATCH(12,CHAMADOS_GOP!$AC$2:$AC$500,0)),"")</f>
        <v/>
      </c>
      <c r="E21" s="106" t="str">
        <f aca="false">IFERROR(INDEX(CHAMADOS_GOP!F$2:F$500,MATCH(12,CHAMADOS_GOP!$AC$2:$AC$500,0)),"")</f>
        <v/>
      </c>
      <c r="F21" s="106" t="str">
        <f aca="false">IFERROR(INDEX(CHAMADOS_GOP!O$2:O$500,MATCH(12,CHAMADOS_GOP!$AC$2:$AC$500,0)),"")</f>
        <v/>
      </c>
      <c r="G21" s="106" t="str">
        <f aca="false">IFERROR(INDEX(CHAMADOS_GOP!P$2:P$500,MATCH(12,CHAMADOS_GOP!$AC$2:$AC$500,0)),"")</f>
        <v/>
      </c>
      <c r="H21" s="106" t="str">
        <f aca="false">IFERROR(INDEX(CHAMADOS_GOP!Q$2:Q$500,MATCH(12,CHAMADOS_GOP!$AC$2:$AC$500,0)),"")</f>
        <v/>
      </c>
      <c r="I21" s="107" t="str">
        <f aca="false">IFERROR(INDEX(CHAMADOS_GOP!R$2:R$500,MATCH(12,CHAMADOS_GOP!$AC$2:$AC$500,0)),"")</f>
        <v/>
      </c>
      <c r="J21" s="108" t="str">
        <f aca="false">IFERROR(INDEX(CHAMADOS_GOP!S$2:S$500,MATCH(12,CHAMADOS_GOP!$AC$2:$AC$500,0)),"")</f>
        <v/>
      </c>
    </row>
    <row r="22" customFormat="false" ht="18" hidden="false" customHeight="true" outlineLevel="0" collapsed="false">
      <c r="A22" s="103" t="str">
        <f aca="false">IFERROR(INDEX(CHAMADOS_GOP!B$2:B$500,MATCH(13,CHAMADOS_GOP!$AC$2:$AC$500,0)),"")</f>
        <v/>
      </c>
      <c r="B22" s="103" t="str">
        <f aca="false">IFERROR(INDEX(CHAMADOS_GOP!C$2:C$500,MATCH(13,CHAMADOS_GOP!$AC$2:$AC$500,0)),"")</f>
        <v/>
      </c>
      <c r="C22" s="103" t="str">
        <f aca="false">IFERROR(INDEX(CHAMADOS_GOP!D$2:D$500,MATCH(13,CHAMADOS_GOP!$AC$2:$AC$500,0)),"")</f>
        <v/>
      </c>
      <c r="D22" s="103" t="str">
        <f aca="false">IFERROR(INDEX(CHAMADOS_GOP!E$2:E$500,MATCH(13,CHAMADOS_GOP!$AC$2:$AC$500,0)),"")</f>
        <v/>
      </c>
      <c r="E22" s="103" t="str">
        <f aca="false">IFERROR(INDEX(CHAMADOS_GOP!F$2:F$500,MATCH(13,CHAMADOS_GOP!$AC$2:$AC$500,0)),"")</f>
        <v/>
      </c>
      <c r="F22" s="103" t="str">
        <f aca="false">IFERROR(INDEX(CHAMADOS_GOP!O$2:O$500,MATCH(13,CHAMADOS_GOP!$AC$2:$AC$500,0)),"")</f>
        <v/>
      </c>
      <c r="G22" s="103" t="str">
        <f aca="false">IFERROR(INDEX(CHAMADOS_GOP!P$2:P$500,MATCH(13,CHAMADOS_GOP!$AC$2:$AC$500,0)),"")</f>
        <v/>
      </c>
      <c r="H22" s="103" t="str">
        <f aca="false">IFERROR(INDEX(CHAMADOS_GOP!Q$2:Q$500,MATCH(13,CHAMADOS_GOP!$AC$2:$AC$500,0)),"")</f>
        <v/>
      </c>
      <c r="I22" s="104" t="str">
        <f aca="false">IFERROR(INDEX(CHAMADOS_GOP!R$2:R$500,MATCH(13,CHAMADOS_GOP!$AC$2:$AC$500,0)),"")</f>
        <v/>
      </c>
      <c r="J22" s="105" t="str">
        <f aca="false">IFERROR(INDEX(CHAMADOS_GOP!S$2:S$500,MATCH(13,CHAMADOS_GOP!$AC$2:$AC$500,0)),"")</f>
        <v/>
      </c>
    </row>
    <row r="23" customFormat="false" ht="18" hidden="false" customHeight="true" outlineLevel="0" collapsed="false">
      <c r="A23" s="106" t="str">
        <f aca="false">IFERROR(INDEX(CHAMADOS_GOP!B$2:B$500,MATCH(14,CHAMADOS_GOP!$AC$2:$AC$500,0)),"")</f>
        <v/>
      </c>
      <c r="B23" s="106" t="str">
        <f aca="false">IFERROR(INDEX(CHAMADOS_GOP!C$2:C$500,MATCH(14,CHAMADOS_GOP!$AC$2:$AC$500,0)),"")</f>
        <v/>
      </c>
      <c r="C23" s="106" t="str">
        <f aca="false">IFERROR(INDEX(CHAMADOS_GOP!D$2:D$500,MATCH(14,CHAMADOS_GOP!$AC$2:$AC$500,0)),"")</f>
        <v/>
      </c>
      <c r="D23" s="106" t="str">
        <f aca="false">IFERROR(INDEX(CHAMADOS_GOP!E$2:E$500,MATCH(14,CHAMADOS_GOP!$AC$2:$AC$500,0)),"")</f>
        <v/>
      </c>
      <c r="E23" s="106" t="str">
        <f aca="false">IFERROR(INDEX(CHAMADOS_GOP!F$2:F$500,MATCH(14,CHAMADOS_GOP!$AC$2:$AC$500,0)),"")</f>
        <v/>
      </c>
      <c r="F23" s="106" t="str">
        <f aca="false">IFERROR(INDEX(CHAMADOS_GOP!O$2:O$500,MATCH(14,CHAMADOS_GOP!$AC$2:$AC$500,0)),"")</f>
        <v/>
      </c>
      <c r="G23" s="106" t="str">
        <f aca="false">IFERROR(INDEX(CHAMADOS_GOP!P$2:P$500,MATCH(14,CHAMADOS_GOP!$AC$2:$AC$500,0)),"")</f>
        <v/>
      </c>
      <c r="H23" s="106" t="str">
        <f aca="false">IFERROR(INDEX(CHAMADOS_GOP!Q$2:Q$500,MATCH(14,CHAMADOS_GOP!$AC$2:$AC$500,0)),"")</f>
        <v/>
      </c>
      <c r="I23" s="107" t="str">
        <f aca="false">IFERROR(INDEX(CHAMADOS_GOP!R$2:R$500,MATCH(14,CHAMADOS_GOP!$AC$2:$AC$500,0)),"")</f>
        <v/>
      </c>
      <c r="J23" s="108" t="str">
        <f aca="false">IFERROR(INDEX(CHAMADOS_GOP!S$2:S$500,MATCH(14,CHAMADOS_GOP!$AC$2:$AC$500,0)),"")</f>
        <v/>
      </c>
    </row>
    <row r="24" customFormat="false" ht="18" hidden="false" customHeight="true" outlineLevel="0" collapsed="false">
      <c r="A24" s="103" t="str">
        <f aca="false">IFERROR(INDEX(CHAMADOS_GOP!B$2:B$500,MATCH(15,CHAMADOS_GOP!$AC$2:$AC$500,0)),"")</f>
        <v/>
      </c>
      <c r="B24" s="103" t="str">
        <f aca="false">IFERROR(INDEX(CHAMADOS_GOP!C$2:C$500,MATCH(15,CHAMADOS_GOP!$AC$2:$AC$500,0)),"")</f>
        <v/>
      </c>
      <c r="C24" s="103" t="str">
        <f aca="false">IFERROR(INDEX(CHAMADOS_GOP!D$2:D$500,MATCH(15,CHAMADOS_GOP!$AC$2:$AC$500,0)),"")</f>
        <v/>
      </c>
      <c r="D24" s="103" t="str">
        <f aca="false">IFERROR(INDEX(CHAMADOS_GOP!E$2:E$500,MATCH(15,CHAMADOS_GOP!$AC$2:$AC$500,0)),"")</f>
        <v/>
      </c>
      <c r="E24" s="103" t="str">
        <f aca="false">IFERROR(INDEX(CHAMADOS_GOP!F$2:F$500,MATCH(15,CHAMADOS_GOP!$AC$2:$AC$500,0)),"")</f>
        <v/>
      </c>
      <c r="F24" s="103" t="str">
        <f aca="false">IFERROR(INDEX(CHAMADOS_GOP!O$2:O$500,MATCH(15,CHAMADOS_GOP!$AC$2:$AC$500,0)),"")</f>
        <v/>
      </c>
      <c r="G24" s="103" t="str">
        <f aca="false">IFERROR(INDEX(CHAMADOS_GOP!P$2:P$500,MATCH(15,CHAMADOS_GOP!$AC$2:$AC$500,0)),"")</f>
        <v/>
      </c>
      <c r="H24" s="103" t="str">
        <f aca="false">IFERROR(INDEX(CHAMADOS_GOP!Q$2:Q$500,MATCH(15,CHAMADOS_GOP!$AC$2:$AC$500,0)),"")</f>
        <v/>
      </c>
      <c r="I24" s="104" t="str">
        <f aca="false">IFERROR(INDEX(CHAMADOS_GOP!R$2:R$500,MATCH(15,CHAMADOS_GOP!$AC$2:$AC$500,0)),"")</f>
        <v/>
      </c>
      <c r="J24" s="105" t="str">
        <f aca="false">IFERROR(INDEX(CHAMADOS_GOP!S$2:S$500,MATCH(15,CHAMADOS_GOP!$AC$2:$AC$500,0)),"")</f>
        <v/>
      </c>
    </row>
    <row r="25" customFormat="false" ht="18" hidden="false" customHeight="true" outlineLevel="0" collapsed="false">
      <c r="A25" s="106" t="str">
        <f aca="false">IFERROR(INDEX(CHAMADOS_GOP!B$2:B$500,MATCH(16,CHAMADOS_GOP!$AC$2:$AC$500,0)),"")</f>
        <v/>
      </c>
      <c r="B25" s="106" t="str">
        <f aca="false">IFERROR(INDEX(CHAMADOS_GOP!C$2:C$500,MATCH(16,CHAMADOS_GOP!$AC$2:$AC$500,0)),"")</f>
        <v/>
      </c>
      <c r="C25" s="106" t="str">
        <f aca="false">IFERROR(INDEX(CHAMADOS_GOP!D$2:D$500,MATCH(16,CHAMADOS_GOP!$AC$2:$AC$500,0)),"")</f>
        <v/>
      </c>
      <c r="D25" s="106" t="str">
        <f aca="false">IFERROR(INDEX(CHAMADOS_GOP!E$2:E$500,MATCH(16,CHAMADOS_GOP!$AC$2:$AC$500,0)),"")</f>
        <v/>
      </c>
      <c r="E25" s="106" t="str">
        <f aca="false">IFERROR(INDEX(CHAMADOS_GOP!F$2:F$500,MATCH(16,CHAMADOS_GOP!$AC$2:$AC$500,0)),"")</f>
        <v/>
      </c>
      <c r="F25" s="106" t="str">
        <f aca="false">IFERROR(INDEX(CHAMADOS_GOP!O$2:O$500,MATCH(16,CHAMADOS_GOP!$AC$2:$AC$500,0)),"")</f>
        <v/>
      </c>
      <c r="G25" s="106" t="str">
        <f aca="false">IFERROR(INDEX(CHAMADOS_GOP!P$2:P$500,MATCH(16,CHAMADOS_GOP!$AC$2:$AC$500,0)),"")</f>
        <v/>
      </c>
      <c r="H25" s="106" t="str">
        <f aca="false">IFERROR(INDEX(CHAMADOS_GOP!Q$2:Q$500,MATCH(16,CHAMADOS_GOP!$AC$2:$AC$500,0)),"")</f>
        <v/>
      </c>
      <c r="I25" s="107" t="str">
        <f aca="false">IFERROR(INDEX(CHAMADOS_GOP!R$2:R$500,MATCH(16,CHAMADOS_GOP!$AC$2:$AC$500,0)),"")</f>
        <v/>
      </c>
      <c r="J25" s="108" t="str">
        <f aca="false">IFERROR(INDEX(CHAMADOS_GOP!S$2:S$500,MATCH(16,CHAMADOS_GOP!$AC$2:$AC$500,0)),"")</f>
        <v/>
      </c>
    </row>
    <row r="26" customFormat="false" ht="18" hidden="false" customHeight="true" outlineLevel="0" collapsed="false">
      <c r="A26" s="103" t="str">
        <f aca="false">IFERROR(INDEX(CHAMADOS_GOP!B$2:B$500,MATCH(17,CHAMADOS_GOP!$AC$2:$AC$500,0)),"")</f>
        <v/>
      </c>
      <c r="B26" s="103" t="str">
        <f aca="false">IFERROR(INDEX(CHAMADOS_GOP!C$2:C$500,MATCH(17,CHAMADOS_GOP!$AC$2:$AC$500,0)),"")</f>
        <v/>
      </c>
      <c r="C26" s="103" t="str">
        <f aca="false">IFERROR(INDEX(CHAMADOS_GOP!D$2:D$500,MATCH(17,CHAMADOS_GOP!$AC$2:$AC$500,0)),"")</f>
        <v/>
      </c>
      <c r="D26" s="103" t="str">
        <f aca="false">IFERROR(INDEX(CHAMADOS_GOP!E$2:E$500,MATCH(17,CHAMADOS_GOP!$AC$2:$AC$500,0)),"")</f>
        <v/>
      </c>
      <c r="E26" s="103" t="str">
        <f aca="false">IFERROR(INDEX(CHAMADOS_GOP!F$2:F$500,MATCH(17,CHAMADOS_GOP!$AC$2:$AC$500,0)),"")</f>
        <v/>
      </c>
      <c r="F26" s="103" t="str">
        <f aca="false">IFERROR(INDEX(CHAMADOS_GOP!O$2:O$500,MATCH(17,CHAMADOS_GOP!$AC$2:$AC$500,0)),"")</f>
        <v/>
      </c>
      <c r="G26" s="103" t="str">
        <f aca="false">IFERROR(INDEX(CHAMADOS_GOP!P$2:P$500,MATCH(17,CHAMADOS_GOP!$AC$2:$AC$500,0)),"")</f>
        <v/>
      </c>
      <c r="H26" s="103" t="str">
        <f aca="false">IFERROR(INDEX(CHAMADOS_GOP!Q$2:Q$500,MATCH(17,CHAMADOS_GOP!$AC$2:$AC$500,0)),"")</f>
        <v/>
      </c>
      <c r="I26" s="104" t="str">
        <f aca="false">IFERROR(INDEX(CHAMADOS_GOP!R$2:R$500,MATCH(17,CHAMADOS_GOP!$AC$2:$AC$500,0)),"")</f>
        <v/>
      </c>
      <c r="J26" s="105" t="str">
        <f aca="false">IFERROR(INDEX(CHAMADOS_GOP!S$2:S$500,MATCH(17,CHAMADOS_GOP!$AC$2:$AC$500,0)),"")</f>
        <v/>
      </c>
    </row>
    <row r="27" customFormat="false" ht="18" hidden="false" customHeight="true" outlineLevel="0" collapsed="false">
      <c r="A27" s="106" t="str">
        <f aca="false">IFERROR(INDEX(CHAMADOS_GOP!B$2:B$500,MATCH(18,CHAMADOS_GOP!$AC$2:$AC$500,0)),"")</f>
        <v/>
      </c>
      <c r="B27" s="106" t="str">
        <f aca="false">IFERROR(INDEX(CHAMADOS_GOP!C$2:C$500,MATCH(18,CHAMADOS_GOP!$AC$2:$AC$500,0)),"")</f>
        <v/>
      </c>
      <c r="C27" s="106" t="str">
        <f aca="false">IFERROR(INDEX(CHAMADOS_GOP!D$2:D$500,MATCH(18,CHAMADOS_GOP!$AC$2:$AC$500,0)),"")</f>
        <v/>
      </c>
      <c r="D27" s="106" t="str">
        <f aca="false">IFERROR(INDEX(CHAMADOS_GOP!E$2:E$500,MATCH(18,CHAMADOS_GOP!$AC$2:$AC$500,0)),"")</f>
        <v/>
      </c>
      <c r="E27" s="106" t="str">
        <f aca="false">IFERROR(INDEX(CHAMADOS_GOP!F$2:F$500,MATCH(18,CHAMADOS_GOP!$AC$2:$AC$500,0)),"")</f>
        <v/>
      </c>
      <c r="F27" s="106" t="str">
        <f aca="false">IFERROR(INDEX(CHAMADOS_GOP!O$2:O$500,MATCH(18,CHAMADOS_GOP!$AC$2:$AC$500,0)),"")</f>
        <v/>
      </c>
      <c r="G27" s="106" t="str">
        <f aca="false">IFERROR(INDEX(CHAMADOS_GOP!P$2:P$500,MATCH(18,CHAMADOS_GOP!$AC$2:$AC$500,0)),"")</f>
        <v/>
      </c>
      <c r="H27" s="106" t="str">
        <f aca="false">IFERROR(INDEX(CHAMADOS_GOP!Q$2:Q$500,MATCH(18,CHAMADOS_GOP!$AC$2:$AC$500,0)),"")</f>
        <v/>
      </c>
      <c r="I27" s="107" t="str">
        <f aca="false">IFERROR(INDEX(CHAMADOS_GOP!R$2:R$500,MATCH(18,CHAMADOS_GOP!$AC$2:$AC$500,0)),"")</f>
        <v/>
      </c>
      <c r="J27" s="108" t="str">
        <f aca="false">IFERROR(INDEX(CHAMADOS_GOP!S$2:S$500,MATCH(18,CHAMADOS_GOP!$AC$2:$AC$500,0)),"")</f>
        <v/>
      </c>
    </row>
    <row r="28" customFormat="false" ht="18" hidden="false" customHeight="true" outlineLevel="0" collapsed="false">
      <c r="A28" s="103" t="str">
        <f aca="false">IFERROR(INDEX(CHAMADOS_GOP!B$2:B$500,MATCH(19,CHAMADOS_GOP!$AC$2:$AC$500,0)),"")</f>
        <v/>
      </c>
      <c r="B28" s="103" t="str">
        <f aca="false">IFERROR(INDEX(CHAMADOS_GOP!C$2:C$500,MATCH(19,CHAMADOS_GOP!$AC$2:$AC$500,0)),"")</f>
        <v/>
      </c>
      <c r="C28" s="103" t="str">
        <f aca="false">IFERROR(INDEX(CHAMADOS_GOP!D$2:D$500,MATCH(19,CHAMADOS_GOP!$AC$2:$AC$500,0)),"")</f>
        <v/>
      </c>
      <c r="D28" s="103" t="str">
        <f aca="false">IFERROR(INDEX(CHAMADOS_GOP!E$2:E$500,MATCH(19,CHAMADOS_GOP!$AC$2:$AC$500,0)),"")</f>
        <v/>
      </c>
      <c r="E28" s="103" t="str">
        <f aca="false">IFERROR(INDEX(CHAMADOS_GOP!F$2:F$500,MATCH(19,CHAMADOS_GOP!$AC$2:$AC$500,0)),"")</f>
        <v/>
      </c>
      <c r="F28" s="103" t="str">
        <f aca="false">IFERROR(INDEX(CHAMADOS_GOP!O$2:O$500,MATCH(19,CHAMADOS_GOP!$AC$2:$AC$500,0)),"")</f>
        <v/>
      </c>
      <c r="G28" s="103" t="str">
        <f aca="false">IFERROR(INDEX(CHAMADOS_GOP!P$2:P$500,MATCH(19,CHAMADOS_GOP!$AC$2:$AC$500,0)),"")</f>
        <v/>
      </c>
      <c r="H28" s="103" t="str">
        <f aca="false">IFERROR(INDEX(CHAMADOS_GOP!Q$2:Q$500,MATCH(19,CHAMADOS_GOP!$AC$2:$AC$500,0)),"")</f>
        <v/>
      </c>
      <c r="I28" s="104" t="str">
        <f aca="false">IFERROR(INDEX(CHAMADOS_GOP!R$2:R$500,MATCH(19,CHAMADOS_GOP!$AC$2:$AC$500,0)),"")</f>
        <v/>
      </c>
      <c r="J28" s="105" t="str">
        <f aca="false">IFERROR(INDEX(CHAMADOS_GOP!S$2:S$500,MATCH(19,CHAMADOS_GOP!$AC$2:$AC$500,0)),"")</f>
        <v/>
      </c>
    </row>
    <row r="29" customFormat="false" ht="18" hidden="false" customHeight="true" outlineLevel="0" collapsed="false">
      <c r="A29" s="106" t="str">
        <f aca="false">IFERROR(INDEX(CHAMADOS_GOP!B$2:B$500,MATCH(20,CHAMADOS_GOP!$AC$2:$AC$500,0)),"")</f>
        <v/>
      </c>
      <c r="B29" s="106" t="str">
        <f aca="false">IFERROR(INDEX(CHAMADOS_GOP!C$2:C$500,MATCH(20,CHAMADOS_GOP!$AC$2:$AC$500,0)),"")</f>
        <v/>
      </c>
      <c r="C29" s="106" t="str">
        <f aca="false">IFERROR(INDEX(CHAMADOS_GOP!D$2:D$500,MATCH(20,CHAMADOS_GOP!$AC$2:$AC$500,0)),"")</f>
        <v/>
      </c>
      <c r="D29" s="106" t="str">
        <f aca="false">IFERROR(INDEX(CHAMADOS_GOP!E$2:E$500,MATCH(20,CHAMADOS_GOP!$AC$2:$AC$500,0)),"")</f>
        <v/>
      </c>
      <c r="E29" s="106" t="str">
        <f aca="false">IFERROR(INDEX(CHAMADOS_GOP!F$2:F$500,MATCH(20,CHAMADOS_GOP!$AC$2:$AC$500,0)),"")</f>
        <v/>
      </c>
      <c r="F29" s="106" t="str">
        <f aca="false">IFERROR(INDEX(CHAMADOS_GOP!O$2:O$500,MATCH(20,CHAMADOS_GOP!$AC$2:$AC$500,0)),"")</f>
        <v/>
      </c>
      <c r="G29" s="106" t="str">
        <f aca="false">IFERROR(INDEX(CHAMADOS_GOP!P$2:P$500,MATCH(20,CHAMADOS_GOP!$AC$2:$AC$500,0)),"")</f>
        <v/>
      </c>
      <c r="H29" s="106" t="str">
        <f aca="false">IFERROR(INDEX(CHAMADOS_GOP!Q$2:Q$500,MATCH(20,CHAMADOS_GOP!$AC$2:$AC$500,0)),"")</f>
        <v/>
      </c>
      <c r="I29" s="107" t="str">
        <f aca="false">IFERROR(INDEX(CHAMADOS_GOP!R$2:R$500,MATCH(20,CHAMADOS_GOP!$AC$2:$AC$500,0)),"")</f>
        <v/>
      </c>
      <c r="J29" s="108" t="str">
        <f aca="false">IFERROR(INDEX(CHAMADOS_GOP!S$2:S$500,MATCH(20,CHAMADOS_GOP!$AC$2:$AC$500,0)),"")</f>
        <v/>
      </c>
    </row>
    <row r="30" customFormat="false" ht="18" hidden="false" customHeight="true" outlineLevel="0" collapsed="false">
      <c r="A30" s="103" t="str">
        <f aca="false">IFERROR(INDEX(CHAMADOS_GOP!B$2:B$500,MATCH(21,CHAMADOS_GOP!$AC$2:$AC$500,0)),"")</f>
        <v/>
      </c>
      <c r="B30" s="103" t="str">
        <f aca="false">IFERROR(INDEX(CHAMADOS_GOP!C$2:C$500,MATCH(21,CHAMADOS_GOP!$AC$2:$AC$500,0)),"")</f>
        <v/>
      </c>
      <c r="C30" s="103" t="str">
        <f aca="false">IFERROR(INDEX(CHAMADOS_GOP!D$2:D$500,MATCH(21,CHAMADOS_GOP!$AC$2:$AC$500,0)),"")</f>
        <v/>
      </c>
      <c r="D30" s="103" t="str">
        <f aca="false">IFERROR(INDEX(CHAMADOS_GOP!E$2:E$500,MATCH(21,CHAMADOS_GOP!$AC$2:$AC$500,0)),"")</f>
        <v/>
      </c>
      <c r="E30" s="103" t="str">
        <f aca="false">IFERROR(INDEX(CHAMADOS_GOP!F$2:F$500,MATCH(21,CHAMADOS_GOP!$AC$2:$AC$500,0)),"")</f>
        <v/>
      </c>
      <c r="F30" s="103" t="str">
        <f aca="false">IFERROR(INDEX(CHAMADOS_GOP!O$2:O$500,MATCH(21,CHAMADOS_GOP!$AC$2:$AC$500,0)),"")</f>
        <v/>
      </c>
      <c r="G30" s="103" t="str">
        <f aca="false">IFERROR(INDEX(CHAMADOS_GOP!P$2:P$500,MATCH(21,CHAMADOS_GOP!$AC$2:$AC$500,0)),"")</f>
        <v/>
      </c>
      <c r="H30" s="103" t="str">
        <f aca="false">IFERROR(INDEX(CHAMADOS_GOP!Q$2:Q$500,MATCH(21,CHAMADOS_GOP!$AC$2:$AC$500,0)),"")</f>
        <v/>
      </c>
      <c r="I30" s="104" t="str">
        <f aca="false">IFERROR(INDEX(CHAMADOS_GOP!R$2:R$500,MATCH(21,CHAMADOS_GOP!$AC$2:$AC$500,0)),"")</f>
        <v/>
      </c>
      <c r="J30" s="105" t="str">
        <f aca="false">IFERROR(INDEX(CHAMADOS_GOP!S$2:S$500,MATCH(21,CHAMADOS_GOP!$AC$2:$AC$500,0)),"")</f>
        <v/>
      </c>
    </row>
    <row r="31" customFormat="false" ht="18" hidden="false" customHeight="true" outlineLevel="0" collapsed="false">
      <c r="A31" s="106" t="str">
        <f aca="false">IFERROR(INDEX(CHAMADOS_GOP!B$2:B$500,MATCH(22,CHAMADOS_GOP!$AC$2:$AC$500,0)),"")</f>
        <v/>
      </c>
      <c r="B31" s="106" t="str">
        <f aca="false">IFERROR(INDEX(CHAMADOS_GOP!C$2:C$500,MATCH(22,CHAMADOS_GOP!$AC$2:$AC$500,0)),"")</f>
        <v/>
      </c>
      <c r="C31" s="106" t="str">
        <f aca="false">IFERROR(INDEX(CHAMADOS_GOP!D$2:D$500,MATCH(22,CHAMADOS_GOP!$AC$2:$AC$500,0)),"")</f>
        <v/>
      </c>
      <c r="D31" s="106" t="str">
        <f aca="false">IFERROR(INDEX(CHAMADOS_GOP!E$2:E$500,MATCH(22,CHAMADOS_GOP!$AC$2:$AC$500,0)),"")</f>
        <v/>
      </c>
      <c r="E31" s="106" t="str">
        <f aca="false">IFERROR(INDEX(CHAMADOS_GOP!F$2:F$500,MATCH(22,CHAMADOS_GOP!$AC$2:$AC$500,0)),"")</f>
        <v/>
      </c>
      <c r="F31" s="106" t="str">
        <f aca="false">IFERROR(INDEX(CHAMADOS_GOP!O$2:O$500,MATCH(22,CHAMADOS_GOP!$AC$2:$AC$500,0)),"")</f>
        <v/>
      </c>
      <c r="G31" s="106" t="str">
        <f aca="false">IFERROR(INDEX(CHAMADOS_GOP!P$2:P$500,MATCH(22,CHAMADOS_GOP!$AC$2:$AC$500,0)),"")</f>
        <v/>
      </c>
      <c r="H31" s="106" t="str">
        <f aca="false">IFERROR(INDEX(CHAMADOS_GOP!Q$2:Q$500,MATCH(22,CHAMADOS_GOP!$AC$2:$AC$500,0)),"")</f>
        <v/>
      </c>
      <c r="I31" s="107" t="str">
        <f aca="false">IFERROR(INDEX(CHAMADOS_GOP!R$2:R$500,MATCH(22,CHAMADOS_GOP!$AC$2:$AC$500,0)),"")</f>
        <v/>
      </c>
      <c r="J31" s="108" t="str">
        <f aca="false">IFERROR(INDEX(CHAMADOS_GOP!S$2:S$500,MATCH(22,CHAMADOS_GOP!$AC$2:$AC$500,0)),"")</f>
        <v/>
      </c>
    </row>
    <row r="32" customFormat="false" ht="18" hidden="false" customHeight="true" outlineLevel="0" collapsed="false">
      <c r="A32" s="103" t="str">
        <f aca="false">IFERROR(INDEX(CHAMADOS_GOP!B$2:B$500,MATCH(23,CHAMADOS_GOP!$AC$2:$AC$500,0)),"")</f>
        <v/>
      </c>
      <c r="B32" s="103" t="str">
        <f aca="false">IFERROR(INDEX(CHAMADOS_GOP!C$2:C$500,MATCH(23,CHAMADOS_GOP!$AC$2:$AC$500,0)),"")</f>
        <v/>
      </c>
      <c r="C32" s="103" t="str">
        <f aca="false">IFERROR(INDEX(CHAMADOS_GOP!D$2:D$500,MATCH(23,CHAMADOS_GOP!$AC$2:$AC$500,0)),"")</f>
        <v/>
      </c>
      <c r="D32" s="103" t="str">
        <f aca="false">IFERROR(INDEX(CHAMADOS_GOP!E$2:E$500,MATCH(23,CHAMADOS_GOP!$AC$2:$AC$500,0)),"")</f>
        <v/>
      </c>
      <c r="E32" s="103" t="str">
        <f aca="false">IFERROR(INDEX(CHAMADOS_GOP!F$2:F$500,MATCH(23,CHAMADOS_GOP!$AC$2:$AC$500,0)),"")</f>
        <v/>
      </c>
      <c r="F32" s="103" t="str">
        <f aca="false">IFERROR(INDEX(CHAMADOS_GOP!O$2:O$500,MATCH(23,CHAMADOS_GOP!$AC$2:$AC$500,0)),"")</f>
        <v/>
      </c>
      <c r="G32" s="103" t="str">
        <f aca="false">IFERROR(INDEX(CHAMADOS_GOP!P$2:P$500,MATCH(23,CHAMADOS_GOP!$AC$2:$AC$500,0)),"")</f>
        <v/>
      </c>
      <c r="H32" s="103" t="str">
        <f aca="false">IFERROR(INDEX(CHAMADOS_GOP!Q$2:Q$500,MATCH(23,CHAMADOS_GOP!$AC$2:$AC$500,0)),"")</f>
        <v/>
      </c>
      <c r="I32" s="104" t="str">
        <f aca="false">IFERROR(INDEX(CHAMADOS_GOP!R$2:R$500,MATCH(23,CHAMADOS_GOP!$AC$2:$AC$500,0)),"")</f>
        <v/>
      </c>
      <c r="J32" s="105" t="str">
        <f aca="false">IFERROR(INDEX(CHAMADOS_GOP!S$2:S$500,MATCH(23,CHAMADOS_GOP!$AC$2:$AC$500,0)),"")</f>
        <v/>
      </c>
    </row>
    <row r="33" customFormat="false" ht="18" hidden="false" customHeight="true" outlineLevel="0" collapsed="false">
      <c r="A33" s="106" t="str">
        <f aca="false">IFERROR(INDEX(CHAMADOS_GOP!B$2:B$500,MATCH(24,CHAMADOS_GOP!$AC$2:$AC$500,0)),"")</f>
        <v/>
      </c>
      <c r="B33" s="106" t="str">
        <f aca="false">IFERROR(INDEX(CHAMADOS_GOP!C$2:C$500,MATCH(24,CHAMADOS_GOP!$AC$2:$AC$500,0)),"")</f>
        <v/>
      </c>
      <c r="C33" s="106" t="str">
        <f aca="false">IFERROR(INDEX(CHAMADOS_GOP!D$2:D$500,MATCH(24,CHAMADOS_GOP!$AC$2:$AC$500,0)),"")</f>
        <v/>
      </c>
      <c r="D33" s="106" t="str">
        <f aca="false">IFERROR(INDEX(CHAMADOS_GOP!E$2:E$500,MATCH(24,CHAMADOS_GOP!$AC$2:$AC$500,0)),"")</f>
        <v/>
      </c>
      <c r="E33" s="106" t="str">
        <f aca="false">IFERROR(INDEX(CHAMADOS_GOP!F$2:F$500,MATCH(24,CHAMADOS_GOP!$AC$2:$AC$500,0)),"")</f>
        <v/>
      </c>
      <c r="F33" s="106" t="str">
        <f aca="false">IFERROR(INDEX(CHAMADOS_GOP!O$2:O$500,MATCH(24,CHAMADOS_GOP!$AC$2:$AC$500,0)),"")</f>
        <v/>
      </c>
      <c r="G33" s="106" t="str">
        <f aca="false">IFERROR(INDEX(CHAMADOS_GOP!P$2:P$500,MATCH(24,CHAMADOS_GOP!$AC$2:$AC$500,0)),"")</f>
        <v/>
      </c>
      <c r="H33" s="106" t="str">
        <f aca="false">IFERROR(INDEX(CHAMADOS_GOP!Q$2:Q$500,MATCH(24,CHAMADOS_GOP!$AC$2:$AC$500,0)),"")</f>
        <v/>
      </c>
      <c r="I33" s="107" t="str">
        <f aca="false">IFERROR(INDEX(CHAMADOS_GOP!R$2:R$500,MATCH(24,CHAMADOS_GOP!$AC$2:$AC$500,0)),"")</f>
        <v/>
      </c>
      <c r="J33" s="108" t="str">
        <f aca="false">IFERROR(INDEX(CHAMADOS_GOP!S$2:S$500,MATCH(24,CHAMADOS_GOP!$AC$2:$AC$500,0)),"")</f>
        <v/>
      </c>
    </row>
    <row r="34" customFormat="false" ht="18" hidden="false" customHeight="true" outlineLevel="0" collapsed="false">
      <c r="A34" s="103" t="str">
        <f aca="false">IFERROR(INDEX(CHAMADOS_GOP!B$2:B$500,MATCH(25,CHAMADOS_GOP!$AC$2:$AC$500,0)),"")</f>
        <v/>
      </c>
      <c r="B34" s="103" t="str">
        <f aca="false">IFERROR(INDEX(CHAMADOS_GOP!C$2:C$500,MATCH(25,CHAMADOS_GOP!$AC$2:$AC$500,0)),"")</f>
        <v/>
      </c>
      <c r="C34" s="103" t="str">
        <f aca="false">IFERROR(INDEX(CHAMADOS_GOP!D$2:D$500,MATCH(25,CHAMADOS_GOP!$AC$2:$AC$500,0)),"")</f>
        <v/>
      </c>
      <c r="D34" s="103" t="str">
        <f aca="false">IFERROR(INDEX(CHAMADOS_GOP!E$2:E$500,MATCH(25,CHAMADOS_GOP!$AC$2:$AC$500,0)),"")</f>
        <v/>
      </c>
      <c r="E34" s="103" t="str">
        <f aca="false">IFERROR(INDEX(CHAMADOS_GOP!F$2:F$500,MATCH(25,CHAMADOS_GOP!$AC$2:$AC$500,0)),"")</f>
        <v/>
      </c>
      <c r="F34" s="103" t="str">
        <f aca="false">IFERROR(INDEX(CHAMADOS_GOP!O$2:O$500,MATCH(25,CHAMADOS_GOP!$AC$2:$AC$500,0)),"")</f>
        <v/>
      </c>
      <c r="G34" s="103" t="str">
        <f aca="false">IFERROR(INDEX(CHAMADOS_GOP!P$2:P$500,MATCH(25,CHAMADOS_GOP!$AC$2:$AC$500,0)),"")</f>
        <v/>
      </c>
      <c r="H34" s="103" t="str">
        <f aca="false">IFERROR(INDEX(CHAMADOS_GOP!Q$2:Q$500,MATCH(25,CHAMADOS_GOP!$AC$2:$AC$500,0)),"")</f>
        <v/>
      </c>
      <c r="I34" s="104" t="str">
        <f aca="false">IFERROR(INDEX(CHAMADOS_GOP!R$2:R$500,MATCH(25,CHAMADOS_GOP!$AC$2:$AC$500,0)),"")</f>
        <v/>
      </c>
      <c r="J34" s="105" t="str">
        <f aca="false">IFERROR(INDEX(CHAMADOS_GOP!S$2:S$500,MATCH(25,CHAMADOS_GOP!$AC$2:$AC$500,0)),"")</f>
        <v/>
      </c>
    </row>
    <row r="35" customFormat="false" ht="18" hidden="false" customHeight="true" outlineLevel="0" collapsed="false">
      <c r="A35" s="106" t="str">
        <f aca="false">IFERROR(INDEX(CHAMADOS_GOP!B$2:B$500,MATCH(26,CHAMADOS_GOP!$AC$2:$AC$500,0)),"")</f>
        <v/>
      </c>
      <c r="B35" s="106" t="str">
        <f aca="false">IFERROR(INDEX(CHAMADOS_GOP!C$2:C$500,MATCH(26,CHAMADOS_GOP!$AC$2:$AC$500,0)),"")</f>
        <v/>
      </c>
      <c r="C35" s="106" t="str">
        <f aca="false">IFERROR(INDEX(CHAMADOS_GOP!D$2:D$500,MATCH(26,CHAMADOS_GOP!$AC$2:$AC$500,0)),"")</f>
        <v/>
      </c>
      <c r="D35" s="106" t="str">
        <f aca="false">IFERROR(INDEX(CHAMADOS_GOP!E$2:E$500,MATCH(26,CHAMADOS_GOP!$AC$2:$AC$500,0)),"")</f>
        <v/>
      </c>
      <c r="E35" s="106" t="str">
        <f aca="false">IFERROR(INDEX(CHAMADOS_GOP!F$2:F$500,MATCH(26,CHAMADOS_GOP!$AC$2:$AC$500,0)),"")</f>
        <v/>
      </c>
      <c r="F35" s="106" t="str">
        <f aca="false">IFERROR(INDEX(CHAMADOS_GOP!O$2:O$500,MATCH(26,CHAMADOS_GOP!$AC$2:$AC$500,0)),"")</f>
        <v/>
      </c>
      <c r="G35" s="106" t="str">
        <f aca="false">IFERROR(INDEX(CHAMADOS_GOP!P$2:P$500,MATCH(26,CHAMADOS_GOP!$AC$2:$AC$500,0)),"")</f>
        <v/>
      </c>
      <c r="H35" s="106" t="str">
        <f aca="false">IFERROR(INDEX(CHAMADOS_GOP!Q$2:Q$500,MATCH(26,CHAMADOS_GOP!$AC$2:$AC$500,0)),"")</f>
        <v/>
      </c>
      <c r="I35" s="107" t="str">
        <f aca="false">IFERROR(INDEX(CHAMADOS_GOP!R$2:R$500,MATCH(26,CHAMADOS_GOP!$AC$2:$AC$500,0)),"")</f>
        <v/>
      </c>
      <c r="J35" s="108" t="str">
        <f aca="false">IFERROR(INDEX(CHAMADOS_GOP!S$2:S$500,MATCH(26,CHAMADOS_GOP!$AC$2:$AC$500,0)),"")</f>
        <v/>
      </c>
    </row>
    <row r="36" customFormat="false" ht="18" hidden="false" customHeight="true" outlineLevel="0" collapsed="false">
      <c r="A36" s="103" t="str">
        <f aca="false">IFERROR(INDEX(CHAMADOS_GOP!B$2:B$500,MATCH(27,CHAMADOS_GOP!$AC$2:$AC$500,0)),"")</f>
        <v/>
      </c>
      <c r="B36" s="103" t="str">
        <f aca="false">IFERROR(INDEX(CHAMADOS_GOP!C$2:C$500,MATCH(27,CHAMADOS_GOP!$AC$2:$AC$500,0)),"")</f>
        <v/>
      </c>
      <c r="C36" s="103" t="str">
        <f aca="false">IFERROR(INDEX(CHAMADOS_GOP!D$2:D$500,MATCH(27,CHAMADOS_GOP!$AC$2:$AC$500,0)),"")</f>
        <v/>
      </c>
      <c r="D36" s="103" t="str">
        <f aca="false">IFERROR(INDEX(CHAMADOS_GOP!E$2:E$500,MATCH(27,CHAMADOS_GOP!$AC$2:$AC$500,0)),"")</f>
        <v/>
      </c>
      <c r="E36" s="103" t="str">
        <f aca="false">IFERROR(INDEX(CHAMADOS_GOP!F$2:F$500,MATCH(27,CHAMADOS_GOP!$AC$2:$AC$500,0)),"")</f>
        <v/>
      </c>
      <c r="F36" s="103" t="str">
        <f aca="false">IFERROR(INDEX(CHAMADOS_GOP!O$2:O$500,MATCH(27,CHAMADOS_GOP!$AC$2:$AC$500,0)),"")</f>
        <v/>
      </c>
      <c r="G36" s="103" t="str">
        <f aca="false">IFERROR(INDEX(CHAMADOS_GOP!P$2:P$500,MATCH(27,CHAMADOS_GOP!$AC$2:$AC$500,0)),"")</f>
        <v/>
      </c>
      <c r="H36" s="103" t="str">
        <f aca="false">IFERROR(INDEX(CHAMADOS_GOP!Q$2:Q$500,MATCH(27,CHAMADOS_GOP!$AC$2:$AC$500,0)),"")</f>
        <v/>
      </c>
      <c r="I36" s="104" t="str">
        <f aca="false">IFERROR(INDEX(CHAMADOS_GOP!R$2:R$500,MATCH(27,CHAMADOS_GOP!$AC$2:$AC$500,0)),"")</f>
        <v/>
      </c>
      <c r="J36" s="105" t="str">
        <f aca="false">IFERROR(INDEX(CHAMADOS_GOP!S$2:S$500,MATCH(27,CHAMADOS_GOP!$AC$2:$AC$500,0)),"")</f>
        <v/>
      </c>
    </row>
    <row r="37" customFormat="false" ht="18" hidden="false" customHeight="true" outlineLevel="0" collapsed="false">
      <c r="A37" s="106" t="str">
        <f aca="false">IFERROR(INDEX(CHAMADOS_GOP!B$2:B$500,MATCH(28,CHAMADOS_GOP!$AC$2:$AC$500,0)),"")</f>
        <v/>
      </c>
      <c r="B37" s="106" t="str">
        <f aca="false">IFERROR(INDEX(CHAMADOS_GOP!C$2:C$500,MATCH(28,CHAMADOS_GOP!$AC$2:$AC$500,0)),"")</f>
        <v/>
      </c>
      <c r="C37" s="106" t="str">
        <f aca="false">IFERROR(INDEX(CHAMADOS_GOP!D$2:D$500,MATCH(28,CHAMADOS_GOP!$AC$2:$AC$500,0)),"")</f>
        <v/>
      </c>
      <c r="D37" s="106" t="str">
        <f aca="false">IFERROR(INDEX(CHAMADOS_GOP!E$2:E$500,MATCH(28,CHAMADOS_GOP!$AC$2:$AC$500,0)),"")</f>
        <v/>
      </c>
      <c r="E37" s="106" t="str">
        <f aca="false">IFERROR(INDEX(CHAMADOS_GOP!F$2:F$500,MATCH(28,CHAMADOS_GOP!$AC$2:$AC$500,0)),"")</f>
        <v/>
      </c>
      <c r="F37" s="106" t="str">
        <f aca="false">IFERROR(INDEX(CHAMADOS_GOP!O$2:O$500,MATCH(28,CHAMADOS_GOP!$AC$2:$AC$500,0)),"")</f>
        <v/>
      </c>
      <c r="G37" s="106" t="str">
        <f aca="false">IFERROR(INDEX(CHAMADOS_GOP!P$2:P$500,MATCH(28,CHAMADOS_GOP!$AC$2:$AC$500,0)),"")</f>
        <v/>
      </c>
      <c r="H37" s="106" t="str">
        <f aca="false">IFERROR(INDEX(CHAMADOS_GOP!Q$2:Q$500,MATCH(28,CHAMADOS_GOP!$AC$2:$AC$500,0)),"")</f>
        <v/>
      </c>
      <c r="I37" s="107" t="str">
        <f aca="false">IFERROR(INDEX(CHAMADOS_GOP!R$2:R$500,MATCH(28,CHAMADOS_GOP!$AC$2:$AC$500,0)),"")</f>
        <v/>
      </c>
      <c r="J37" s="108" t="str">
        <f aca="false">IFERROR(INDEX(CHAMADOS_GOP!S$2:S$500,MATCH(28,CHAMADOS_GOP!$AC$2:$AC$500,0)),"")</f>
        <v/>
      </c>
    </row>
    <row r="38" customFormat="false" ht="18" hidden="false" customHeight="true" outlineLevel="0" collapsed="false">
      <c r="A38" s="103" t="str">
        <f aca="false">IFERROR(INDEX(CHAMADOS_GOP!B$2:B$500,MATCH(29,CHAMADOS_GOP!$AC$2:$AC$500,0)),"")</f>
        <v/>
      </c>
      <c r="B38" s="103" t="str">
        <f aca="false">IFERROR(INDEX(CHAMADOS_GOP!C$2:C$500,MATCH(29,CHAMADOS_GOP!$AC$2:$AC$500,0)),"")</f>
        <v/>
      </c>
      <c r="C38" s="103" t="str">
        <f aca="false">IFERROR(INDEX(CHAMADOS_GOP!D$2:D$500,MATCH(29,CHAMADOS_GOP!$AC$2:$AC$500,0)),"")</f>
        <v/>
      </c>
      <c r="D38" s="103" t="str">
        <f aca="false">IFERROR(INDEX(CHAMADOS_GOP!E$2:E$500,MATCH(29,CHAMADOS_GOP!$AC$2:$AC$500,0)),"")</f>
        <v/>
      </c>
      <c r="E38" s="103" t="str">
        <f aca="false">IFERROR(INDEX(CHAMADOS_GOP!F$2:F$500,MATCH(29,CHAMADOS_GOP!$AC$2:$AC$500,0)),"")</f>
        <v/>
      </c>
      <c r="F38" s="103" t="str">
        <f aca="false">IFERROR(INDEX(CHAMADOS_GOP!O$2:O$500,MATCH(29,CHAMADOS_GOP!$AC$2:$AC$500,0)),"")</f>
        <v/>
      </c>
      <c r="G38" s="103" t="str">
        <f aca="false">IFERROR(INDEX(CHAMADOS_GOP!P$2:P$500,MATCH(29,CHAMADOS_GOP!$AC$2:$AC$500,0)),"")</f>
        <v/>
      </c>
      <c r="H38" s="103" t="str">
        <f aca="false">IFERROR(INDEX(CHAMADOS_GOP!Q$2:Q$500,MATCH(29,CHAMADOS_GOP!$AC$2:$AC$500,0)),"")</f>
        <v/>
      </c>
      <c r="I38" s="104" t="str">
        <f aca="false">IFERROR(INDEX(CHAMADOS_GOP!R$2:R$500,MATCH(29,CHAMADOS_GOP!$AC$2:$AC$500,0)),"")</f>
        <v/>
      </c>
      <c r="J38" s="105" t="str">
        <f aca="false">IFERROR(INDEX(CHAMADOS_GOP!S$2:S$500,MATCH(29,CHAMADOS_GOP!$AC$2:$AC$500,0)),"")</f>
        <v/>
      </c>
    </row>
    <row r="39" customFormat="false" ht="18" hidden="false" customHeight="true" outlineLevel="0" collapsed="false">
      <c r="A39" s="106" t="str">
        <f aca="false">IFERROR(INDEX(CHAMADOS_GOP!B$2:B$500,MATCH(30,CHAMADOS_GOP!$AC$2:$AC$500,0)),"")</f>
        <v/>
      </c>
      <c r="B39" s="106" t="str">
        <f aca="false">IFERROR(INDEX(CHAMADOS_GOP!C$2:C$500,MATCH(30,CHAMADOS_GOP!$AC$2:$AC$500,0)),"")</f>
        <v/>
      </c>
      <c r="C39" s="106" t="str">
        <f aca="false">IFERROR(INDEX(CHAMADOS_GOP!D$2:D$500,MATCH(30,CHAMADOS_GOP!$AC$2:$AC$500,0)),"")</f>
        <v/>
      </c>
      <c r="D39" s="106" t="str">
        <f aca="false">IFERROR(INDEX(CHAMADOS_GOP!E$2:E$500,MATCH(30,CHAMADOS_GOP!$AC$2:$AC$500,0)),"")</f>
        <v/>
      </c>
      <c r="E39" s="106" t="str">
        <f aca="false">IFERROR(INDEX(CHAMADOS_GOP!F$2:F$500,MATCH(30,CHAMADOS_GOP!$AC$2:$AC$500,0)),"")</f>
        <v/>
      </c>
      <c r="F39" s="106" t="str">
        <f aca="false">IFERROR(INDEX(CHAMADOS_GOP!O$2:O$500,MATCH(30,CHAMADOS_GOP!$AC$2:$AC$500,0)),"")</f>
        <v/>
      </c>
      <c r="G39" s="106" t="str">
        <f aca="false">IFERROR(INDEX(CHAMADOS_GOP!P$2:P$500,MATCH(30,CHAMADOS_GOP!$AC$2:$AC$500,0)),"")</f>
        <v/>
      </c>
      <c r="H39" s="106" t="str">
        <f aca="false">IFERROR(INDEX(CHAMADOS_GOP!Q$2:Q$500,MATCH(30,CHAMADOS_GOP!$AC$2:$AC$500,0)),"")</f>
        <v/>
      </c>
      <c r="I39" s="107" t="str">
        <f aca="false">IFERROR(INDEX(CHAMADOS_GOP!R$2:R$500,MATCH(30,CHAMADOS_GOP!$AC$2:$AC$500,0)),"")</f>
        <v/>
      </c>
      <c r="J39" s="108" t="str">
        <f aca="false">IFERROR(INDEX(CHAMADOS_GOP!S$2:S$500,MATCH(30,CHAMADOS_GOP!$AC$2:$AC$500,0)),"")</f>
        <v/>
      </c>
    </row>
    <row r="40" customFormat="false" ht="18" hidden="false" customHeight="true" outlineLevel="0" collapsed="false">
      <c r="A40" s="103" t="str">
        <f aca="false">IFERROR(INDEX(CHAMADOS_GOP!B$2:B$500,MATCH(31,CHAMADOS_GOP!$AC$2:$AC$500,0)),"")</f>
        <v/>
      </c>
      <c r="B40" s="103" t="str">
        <f aca="false">IFERROR(INDEX(CHAMADOS_GOP!C$2:C$500,MATCH(31,CHAMADOS_GOP!$AC$2:$AC$500,0)),"")</f>
        <v/>
      </c>
      <c r="C40" s="103" t="str">
        <f aca="false">IFERROR(INDEX(CHAMADOS_GOP!D$2:D$500,MATCH(31,CHAMADOS_GOP!$AC$2:$AC$500,0)),"")</f>
        <v/>
      </c>
      <c r="D40" s="103" t="str">
        <f aca="false">IFERROR(INDEX(CHAMADOS_GOP!E$2:E$500,MATCH(31,CHAMADOS_GOP!$AC$2:$AC$500,0)),"")</f>
        <v/>
      </c>
      <c r="E40" s="103" t="str">
        <f aca="false">IFERROR(INDEX(CHAMADOS_GOP!F$2:F$500,MATCH(31,CHAMADOS_GOP!$AC$2:$AC$500,0)),"")</f>
        <v/>
      </c>
      <c r="F40" s="103" t="str">
        <f aca="false">IFERROR(INDEX(CHAMADOS_GOP!O$2:O$500,MATCH(31,CHAMADOS_GOP!$AC$2:$AC$500,0)),"")</f>
        <v/>
      </c>
      <c r="G40" s="103" t="str">
        <f aca="false">IFERROR(INDEX(CHAMADOS_GOP!P$2:P$500,MATCH(31,CHAMADOS_GOP!$AC$2:$AC$500,0)),"")</f>
        <v/>
      </c>
      <c r="H40" s="103" t="str">
        <f aca="false">IFERROR(INDEX(CHAMADOS_GOP!Q$2:Q$500,MATCH(31,CHAMADOS_GOP!$AC$2:$AC$500,0)),"")</f>
        <v/>
      </c>
      <c r="I40" s="104" t="str">
        <f aca="false">IFERROR(INDEX(CHAMADOS_GOP!R$2:R$500,MATCH(31,CHAMADOS_GOP!$AC$2:$AC$500,0)),"")</f>
        <v/>
      </c>
      <c r="J40" s="105" t="str">
        <f aca="false">IFERROR(INDEX(CHAMADOS_GOP!S$2:S$500,MATCH(31,CHAMADOS_GOP!$AC$2:$AC$500,0)),"")</f>
        <v/>
      </c>
    </row>
    <row r="41" customFormat="false" ht="18" hidden="false" customHeight="true" outlineLevel="0" collapsed="false">
      <c r="A41" s="106" t="str">
        <f aca="false">IFERROR(INDEX(CHAMADOS_GOP!B$2:B$500,MATCH(32,CHAMADOS_GOP!$AC$2:$AC$500,0)),"")</f>
        <v/>
      </c>
      <c r="B41" s="106" t="str">
        <f aca="false">IFERROR(INDEX(CHAMADOS_GOP!C$2:C$500,MATCH(32,CHAMADOS_GOP!$AC$2:$AC$500,0)),"")</f>
        <v/>
      </c>
      <c r="C41" s="106" t="str">
        <f aca="false">IFERROR(INDEX(CHAMADOS_GOP!D$2:D$500,MATCH(32,CHAMADOS_GOP!$AC$2:$AC$500,0)),"")</f>
        <v/>
      </c>
      <c r="D41" s="106" t="str">
        <f aca="false">IFERROR(INDEX(CHAMADOS_GOP!E$2:E$500,MATCH(32,CHAMADOS_GOP!$AC$2:$AC$500,0)),"")</f>
        <v/>
      </c>
      <c r="E41" s="106" t="str">
        <f aca="false">IFERROR(INDEX(CHAMADOS_GOP!F$2:F$500,MATCH(32,CHAMADOS_GOP!$AC$2:$AC$500,0)),"")</f>
        <v/>
      </c>
      <c r="F41" s="106" t="str">
        <f aca="false">IFERROR(INDEX(CHAMADOS_GOP!O$2:O$500,MATCH(32,CHAMADOS_GOP!$AC$2:$AC$500,0)),"")</f>
        <v/>
      </c>
      <c r="G41" s="106" t="str">
        <f aca="false">IFERROR(INDEX(CHAMADOS_GOP!P$2:P$500,MATCH(32,CHAMADOS_GOP!$AC$2:$AC$500,0)),"")</f>
        <v/>
      </c>
      <c r="H41" s="106" t="str">
        <f aca="false">IFERROR(INDEX(CHAMADOS_GOP!Q$2:Q$500,MATCH(32,CHAMADOS_GOP!$AC$2:$AC$500,0)),"")</f>
        <v/>
      </c>
      <c r="I41" s="107" t="str">
        <f aca="false">IFERROR(INDEX(CHAMADOS_GOP!R$2:R$500,MATCH(32,CHAMADOS_GOP!$AC$2:$AC$500,0)),"")</f>
        <v/>
      </c>
      <c r="J41" s="108" t="str">
        <f aca="false">IFERROR(INDEX(CHAMADOS_GOP!S$2:S$500,MATCH(32,CHAMADOS_GOP!$AC$2:$AC$500,0)),"")</f>
        <v/>
      </c>
    </row>
    <row r="42" customFormat="false" ht="18" hidden="false" customHeight="true" outlineLevel="0" collapsed="false">
      <c r="A42" s="103" t="str">
        <f aca="false">IFERROR(INDEX(CHAMADOS_GOP!B$2:B$500,MATCH(33,CHAMADOS_GOP!$AC$2:$AC$500,0)),"")</f>
        <v/>
      </c>
      <c r="B42" s="103" t="str">
        <f aca="false">IFERROR(INDEX(CHAMADOS_GOP!C$2:C$500,MATCH(33,CHAMADOS_GOP!$AC$2:$AC$500,0)),"")</f>
        <v/>
      </c>
      <c r="C42" s="103" t="str">
        <f aca="false">IFERROR(INDEX(CHAMADOS_GOP!D$2:D$500,MATCH(33,CHAMADOS_GOP!$AC$2:$AC$500,0)),"")</f>
        <v/>
      </c>
      <c r="D42" s="103" t="str">
        <f aca="false">IFERROR(INDEX(CHAMADOS_GOP!E$2:E$500,MATCH(33,CHAMADOS_GOP!$AC$2:$AC$500,0)),"")</f>
        <v/>
      </c>
      <c r="E42" s="103" t="str">
        <f aca="false">IFERROR(INDEX(CHAMADOS_GOP!F$2:F$500,MATCH(33,CHAMADOS_GOP!$AC$2:$AC$500,0)),"")</f>
        <v/>
      </c>
      <c r="F42" s="103" t="str">
        <f aca="false">IFERROR(INDEX(CHAMADOS_GOP!O$2:O$500,MATCH(33,CHAMADOS_GOP!$AC$2:$AC$500,0)),"")</f>
        <v/>
      </c>
      <c r="G42" s="103" t="str">
        <f aca="false">IFERROR(INDEX(CHAMADOS_GOP!P$2:P$500,MATCH(33,CHAMADOS_GOP!$AC$2:$AC$500,0)),"")</f>
        <v/>
      </c>
      <c r="H42" s="103" t="str">
        <f aca="false">IFERROR(INDEX(CHAMADOS_GOP!Q$2:Q$500,MATCH(33,CHAMADOS_GOP!$AC$2:$AC$500,0)),"")</f>
        <v/>
      </c>
      <c r="I42" s="104" t="str">
        <f aca="false">IFERROR(INDEX(CHAMADOS_GOP!R$2:R$500,MATCH(33,CHAMADOS_GOP!$AC$2:$AC$500,0)),"")</f>
        <v/>
      </c>
      <c r="J42" s="105" t="str">
        <f aca="false">IFERROR(INDEX(CHAMADOS_GOP!S$2:S$500,MATCH(33,CHAMADOS_GOP!$AC$2:$AC$500,0)),"")</f>
        <v/>
      </c>
    </row>
    <row r="43" customFormat="false" ht="18" hidden="false" customHeight="true" outlineLevel="0" collapsed="false">
      <c r="A43" s="106" t="str">
        <f aca="false">IFERROR(INDEX(CHAMADOS_GOP!B$2:B$500,MATCH(34,CHAMADOS_GOP!$AC$2:$AC$500,0)),"")</f>
        <v/>
      </c>
      <c r="B43" s="106" t="str">
        <f aca="false">IFERROR(INDEX(CHAMADOS_GOP!C$2:C$500,MATCH(34,CHAMADOS_GOP!$AC$2:$AC$500,0)),"")</f>
        <v/>
      </c>
      <c r="C43" s="106" t="str">
        <f aca="false">IFERROR(INDEX(CHAMADOS_GOP!D$2:D$500,MATCH(34,CHAMADOS_GOP!$AC$2:$AC$500,0)),"")</f>
        <v/>
      </c>
      <c r="D43" s="106" t="str">
        <f aca="false">IFERROR(INDEX(CHAMADOS_GOP!E$2:E$500,MATCH(34,CHAMADOS_GOP!$AC$2:$AC$500,0)),"")</f>
        <v/>
      </c>
      <c r="E43" s="106" t="str">
        <f aca="false">IFERROR(INDEX(CHAMADOS_GOP!F$2:F$500,MATCH(34,CHAMADOS_GOP!$AC$2:$AC$500,0)),"")</f>
        <v/>
      </c>
      <c r="F43" s="106" t="str">
        <f aca="false">IFERROR(INDEX(CHAMADOS_GOP!O$2:O$500,MATCH(34,CHAMADOS_GOP!$AC$2:$AC$500,0)),"")</f>
        <v/>
      </c>
      <c r="G43" s="106" t="str">
        <f aca="false">IFERROR(INDEX(CHAMADOS_GOP!P$2:P$500,MATCH(34,CHAMADOS_GOP!$AC$2:$AC$500,0)),"")</f>
        <v/>
      </c>
      <c r="H43" s="106" t="str">
        <f aca="false">IFERROR(INDEX(CHAMADOS_GOP!Q$2:Q$500,MATCH(34,CHAMADOS_GOP!$AC$2:$AC$500,0)),"")</f>
        <v/>
      </c>
      <c r="I43" s="107" t="str">
        <f aca="false">IFERROR(INDEX(CHAMADOS_GOP!R$2:R$500,MATCH(34,CHAMADOS_GOP!$AC$2:$AC$500,0)),"")</f>
        <v/>
      </c>
      <c r="J43" s="108" t="str">
        <f aca="false">IFERROR(INDEX(CHAMADOS_GOP!S$2:S$500,MATCH(34,CHAMADOS_GOP!$AC$2:$AC$500,0)),"")</f>
        <v/>
      </c>
    </row>
    <row r="44" customFormat="false" ht="18" hidden="false" customHeight="true" outlineLevel="0" collapsed="false">
      <c r="A44" s="103" t="str">
        <f aca="false">IFERROR(INDEX(CHAMADOS_GOP!B$2:B$500,MATCH(35,CHAMADOS_GOP!$AC$2:$AC$500,0)),"")</f>
        <v/>
      </c>
      <c r="B44" s="103" t="str">
        <f aca="false">IFERROR(INDEX(CHAMADOS_GOP!C$2:C$500,MATCH(35,CHAMADOS_GOP!$AC$2:$AC$500,0)),"")</f>
        <v/>
      </c>
      <c r="C44" s="103" t="str">
        <f aca="false">IFERROR(INDEX(CHAMADOS_GOP!D$2:D$500,MATCH(35,CHAMADOS_GOP!$AC$2:$AC$500,0)),"")</f>
        <v/>
      </c>
      <c r="D44" s="103" t="str">
        <f aca="false">IFERROR(INDEX(CHAMADOS_GOP!E$2:E$500,MATCH(35,CHAMADOS_GOP!$AC$2:$AC$500,0)),"")</f>
        <v/>
      </c>
      <c r="E44" s="103" t="str">
        <f aca="false">IFERROR(INDEX(CHAMADOS_GOP!F$2:F$500,MATCH(35,CHAMADOS_GOP!$AC$2:$AC$500,0)),"")</f>
        <v/>
      </c>
      <c r="F44" s="103" t="str">
        <f aca="false">IFERROR(INDEX(CHAMADOS_GOP!O$2:O$500,MATCH(35,CHAMADOS_GOP!$AC$2:$AC$500,0)),"")</f>
        <v/>
      </c>
      <c r="G44" s="103" t="str">
        <f aca="false">IFERROR(INDEX(CHAMADOS_GOP!P$2:P$500,MATCH(35,CHAMADOS_GOP!$AC$2:$AC$500,0)),"")</f>
        <v/>
      </c>
      <c r="H44" s="103" t="str">
        <f aca="false">IFERROR(INDEX(CHAMADOS_GOP!Q$2:Q$500,MATCH(35,CHAMADOS_GOP!$AC$2:$AC$500,0)),"")</f>
        <v/>
      </c>
      <c r="I44" s="104" t="str">
        <f aca="false">IFERROR(INDEX(CHAMADOS_GOP!R$2:R$500,MATCH(35,CHAMADOS_GOP!$AC$2:$AC$500,0)),"")</f>
        <v/>
      </c>
      <c r="J44" s="105" t="str">
        <f aca="false">IFERROR(INDEX(CHAMADOS_GOP!S$2:S$500,MATCH(35,CHAMADOS_GOP!$AC$2:$AC$500,0)),"")</f>
        <v/>
      </c>
    </row>
    <row r="45" customFormat="false" ht="15" hidden="false" customHeight="true" outlineLevel="0" collapsed="false">
      <c r="A45" s="106"/>
      <c r="B45" s="106"/>
      <c r="C45" s="106"/>
      <c r="D45" s="106"/>
      <c r="E45" s="106"/>
      <c r="F45" s="106"/>
      <c r="G45" s="106"/>
      <c r="H45" s="106"/>
      <c r="I45" s="107"/>
      <c r="J45" s="108"/>
    </row>
    <row r="46" customFormat="false" ht="15" hidden="false" customHeight="true" outlineLevel="0" collapsed="false">
      <c r="A46" s="103"/>
      <c r="B46" s="103"/>
      <c r="C46" s="103"/>
      <c r="D46" s="103"/>
      <c r="E46" s="103"/>
      <c r="F46" s="103"/>
      <c r="G46" s="103"/>
      <c r="H46" s="103"/>
      <c r="I46" s="104"/>
      <c r="J46" s="105"/>
    </row>
  </sheetData>
  <sheetProtection sheet="true" sort="false" autoFilter="false"/>
  <mergeCells count="14">
    <mergeCell ref="A1:J1"/>
    <mergeCell ref="A2:J2"/>
    <mergeCell ref="A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8:J8"/>
  </mergeCells>
  <conditionalFormatting sqref="A10:J44">
    <cfRule type="expression" priority="2" aboveAverage="0" equalAverage="0" bottom="0" percent="0" rank="0" text="" dxfId="24">
      <formula>$A10=""</formula>
    </cfRule>
  </conditionalFormatting>
  <printOptions headings="false" gridLines="false" gridLinesSet="true" horizontalCentered="true" verticalCentered="false"/>
  <pageMargins left="0.4" right="0.4" top="0.6" bottom="0.6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&amp;R&amp;"Calibri,Bold"&amp;K1f3864Controle Vivo de Climatização&amp;"Calibri,Regular"&amp;10 &amp;K595959  ·  GOP / 3ª CRE</oddHeader>
    <oddFooter>&amp;C&amp;9 &amp;K595959Página &amp;P de &amp;N  ·  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3.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36"/>
    <col collapsed="false" customWidth="true" hidden="false" outlineLevel="0" max="4" min="4" style="1" width="30"/>
    <col collapsed="false" customWidth="true" hidden="false" outlineLevel="0" max="5" min="5" style="1" width="18"/>
    <col collapsed="false" customWidth="true" hidden="false" outlineLevel="0" max="6" min="6" style="1" width="28"/>
    <col collapsed="false" customWidth="true" hidden="false" outlineLevel="0" max="7" min="7" style="1" width="18"/>
    <col collapsed="false" customWidth="true" hidden="false" outlineLevel="0" max="9" min="8" style="1" width="24"/>
    <col collapsed="false" customWidth="true" hidden="false" outlineLevel="0" max="10" min="10" style="1" width="12"/>
    <col collapsed="false" customWidth="true" hidden="false" outlineLevel="0" max="12" min="11" style="1" width="14"/>
    <col collapsed="false" customWidth="true" hidden="false" outlineLevel="0" max="14" min="13" style="1" width="18"/>
    <col collapsed="false" customWidth="true" hidden="false" outlineLevel="0" max="15" min="15" style="1" width="32"/>
    <col collapsed="false" customWidth="true" hidden="false" outlineLevel="0" max="16" min="16" style="1" width="18"/>
    <col collapsed="false" customWidth="true" hidden="false" outlineLevel="0" max="17" min="17" style="1" width="42"/>
    <col collapsed="false" customWidth="true" hidden="false" outlineLevel="0" max="18" min="18" style="1" width="16"/>
    <col collapsed="false" customWidth="true" hidden="false" outlineLevel="0" max="19" min="19" style="1" width="12"/>
    <col collapsed="false" customWidth="true" hidden="false" outlineLevel="0" max="20" min="20" style="1" width="18"/>
    <col collapsed="false" customWidth="true" hidden="false" outlineLevel="0" max="21" min="21" style="1" width="14"/>
    <col collapsed="false" customWidth="true" hidden="false" outlineLevel="0" max="22" min="22" style="1" width="36"/>
  </cols>
  <sheetData>
    <row r="1" customFormat="false" ht="31.5" hidden="false" customHeight="true" outlineLevel="0" collapsed="false">
      <c r="A1" s="93" t="s">
        <v>301</v>
      </c>
      <c r="B1" s="93"/>
      <c r="C1" s="93"/>
      <c r="D1" s="93"/>
      <c r="E1" s="93"/>
      <c r="F1" s="93"/>
      <c r="G1" s="93"/>
      <c r="H1" s="93"/>
      <c r="I1" s="93"/>
      <c r="J1" s="93"/>
    </row>
    <row r="2" customFormat="false" ht="18" hidden="false" customHeight="true" outlineLevel="0" collapsed="false">
      <c r="A2" s="21" t="s">
        <v>302</v>
      </c>
      <c r="B2" s="21"/>
      <c r="C2" s="21"/>
      <c r="D2" s="21"/>
      <c r="E2" s="21"/>
      <c r="F2" s="21"/>
      <c r="G2" s="21"/>
      <c r="H2" s="21"/>
      <c r="I2" s="21"/>
      <c r="J2" s="21"/>
    </row>
    <row r="3" customFormat="false" ht="15.75" hidden="false" customHeight="true" outlineLevel="0" collapsed="false"/>
    <row r="4" customFormat="false" ht="15.75" hidden="false" customHeight="true" outlineLevel="0" collapsed="false">
      <c r="A4" s="94" t="s">
        <v>281</v>
      </c>
      <c r="B4" s="94"/>
      <c r="C4" s="94"/>
      <c r="D4" s="94"/>
      <c r="E4" s="94"/>
      <c r="F4" s="94"/>
      <c r="G4" s="94"/>
      <c r="H4" s="94"/>
      <c r="I4" s="94"/>
      <c r="J4" s="94"/>
    </row>
    <row r="5" customFormat="false" ht="15.75" hidden="false" customHeight="true" outlineLevel="0" collapsed="false">
      <c r="A5" s="98" t="s">
        <v>303</v>
      </c>
      <c r="B5" s="98"/>
      <c r="C5" s="97" t="s">
        <v>304</v>
      </c>
      <c r="D5" s="97"/>
      <c r="E5" s="95" t="s">
        <v>305</v>
      </c>
      <c r="F5" s="95"/>
      <c r="G5" s="95" t="s">
        <v>306</v>
      </c>
      <c r="H5" s="95"/>
      <c r="I5" s="112" t="s">
        <v>307</v>
      </c>
      <c r="J5" s="112"/>
    </row>
    <row r="6" customFormat="false" ht="39.75" hidden="false" customHeight="true" outlineLevel="0" collapsed="false">
      <c r="A6" s="102" t="n">
        <f aca="false">COUNTIF(CHAMADOS_GOP!P2:P1000,"*CTO*")</f>
        <v>1</v>
      </c>
      <c r="B6" s="102"/>
      <c r="C6" s="101" t="n">
        <f aca="false">COUNTIF(CHAMADOS_GOP!O2:O1000,"22 - Instalação/substituição autorizada")</f>
        <v>0</v>
      </c>
      <c r="D6" s="101"/>
      <c r="E6" s="99" t="n">
        <f aca="false">COUNTIF(CHAMADOS_GOP!O2:O1000,"25 - Aparelho requisitado")</f>
        <v>0</v>
      </c>
      <c r="F6" s="99"/>
      <c r="G6" s="99" t="n">
        <f aca="false">COUNTIF(CHAMADOS_GOP!O2:O1000,"26 - Entrega em acompanhamento")</f>
        <v>0</v>
      </c>
      <c r="H6" s="99"/>
      <c r="I6" s="113" t="n">
        <f aca="false">COUNTIF(CHAMADOS_GOP!O2:O1000,"27 - Instalação concluída")</f>
        <v>11</v>
      </c>
      <c r="J6" s="113"/>
    </row>
    <row r="7" customFormat="false" ht="15.75" hidden="false" customHeight="true" outlineLevel="0" collapsed="false"/>
    <row r="8" customFormat="false" ht="18" hidden="false" customHeight="true" outlineLevel="0" collapsed="false">
      <c r="A8" s="94" t="s">
        <v>308</v>
      </c>
      <c r="B8" s="94"/>
      <c r="C8" s="94"/>
      <c r="D8" s="94"/>
      <c r="E8" s="94"/>
      <c r="F8" s="94"/>
      <c r="G8" s="94"/>
      <c r="H8" s="94"/>
      <c r="I8" s="94"/>
      <c r="J8" s="94"/>
    </row>
    <row r="9" customFormat="false" ht="31.5" hidden="false" customHeight="true" outlineLevel="0" collapsed="false">
      <c r="A9" s="68" t="s">
        <v>83</v>
      </c>
      <c r="B9" s="68" t="s">
        <v>91</v>
      </c>
      <c r="C9" s="68" t="s">
        <v>60</v>
      </c>
      <c r="D9" s="68" t="s">
        <v>288</v>
      </c>
      <c r="E9" s="68" t="s">
        <v>289</v>
      </c>
      <c r="F9" s="68" t="s">
        <v>84</v>
      </c>
      <c r="G9" s="68" t="s">
        <v>290</v>
      </c>
      <c r="H9" s="68" t="s">
        <v>291</v>
      </c>
      <c r="I9" s="68" t="s">
        <v>292</v>
      </c>
      <c r="J9" s="68" t="s">
        <v>86</v>
      </c>
    </row>
    <row r="10" customFormat="false" ht="18" hidden="false" customHeight="true" outlineLevel="0" collapsed="false">
      <c r="A10" s="103" t="str">
        <f aca="false">IFERROR(INDEX(CHAMADOS_GOP!B$2:B$500,MATCH(1,CHAMADOS_GOP!$AD$2:$AD$500,0)),"")</f>
        <v>GOP-AR-2026-0003</v>
      </c>
      <c r="B10" s="103" t="n">
        <f aca="false">IFERROR(INDEX(CHAMADOS_GOP!C$2:C$500,MATCH(1,CHAMADOS_GOP!$AD$2:$AD$500,0)),"")</f>
        <v>312805</v>
      </c>
      <c r="C10" s="103" t="str">
        <f aca="false">IFERROR(INDEX(CHAMADOS_GOP!D$2:D$500,MATCH(1,CHAMADOS_GOP!$AD$2:$AD$500,0)),"")</f>
        <v>Espaço de Desenvolvimento Infantil Tânia Cristina Moreira</v>
      </c>
      <c r="D10" s="103" t="str">
        <f aca="false">IFERROR(INDEX(CHAMADOS_GOP!E$2:E$500,MATCH(1,CHAMADOS_GOP!$AD$2:$AD$500,0)),"")</f>
        <v>Salas: 1, 2, 3, 4, 5, 6, 7 e 8</v>
      </c>
      <c r="E10" s="103" t="str">
        <f aca="false">IFERROR(INDEX(CHAMADOS_GOP!F$2:F$500,MATCH(1,CHAMADOS_GOP!$AD$2:$AD$500,0)),"")</f>
        <v>Substituição/Instalação de Aparelho</v>
      </c>
      <c r="F10" s="103" t="str">
        <f aca="false">IFERROR(INDEX(CHAMADOS_GOP!O$2:O$500,MATCH(1,CHAMADOS_GOP!$AD$2:$AD$500,0)),"")</f>
        <v>27 - Instalação concluída</v>
      </c>
      <c r="G10" s="103" t="str">
        <f aca="false">IFERROR(INDEX(CHAMADOS_GOP!P$2:P$500,MATCH(1,CHAMADOS_GOP!$AD$2:$AD$500,0)),"")</f>
        <v>GOP</v>
      </c>
      <c r="H10" s="103" t="str">
        <f aca="false">IFERROR(INDEX(CHAMADOS_GOP!Q$2:Q$500,MATCH(1,CHAMADOS_GOP!$AD$2:$AD$500,0)),"")</f>
        <v>Confirmar encerramento e atualizar cadastro vivo da unidade.</v>
      </c>
      <c r="I10" s="104" t="n">
        <f aca="false">IFERROR(INDEX(CHAMADOS_GOP!R$2:R$500,MATCH(1,CHAMADOS_GOP!$AD$2:$AD$500,0)),"")</f>
        <v>46169</v>
      </c>
      <c r="J10" s="105" t="n">
        <f aca="false">IFERROR(INDEX(CHAMADOS_GOP!S$2:S$500,MATCH(1,CHAMADOS_GOP!$AD$2:$AD$500,0)),"")</f>
        <v>2</v>
      </c>
    </row>
    <row r="11" customFormat="false" ht="18" hidden="false" customHeight="true" outlineLevel="0" collapsed="false">
      <c r="A11" s="106" t="str">
        <f aca="false">IFERROR(INDEX(CHAMADOS_GOP!B$2:B$500,MATCH(2,CHAMADOS_GOP!$AD$2:$AD$500,0)),"")</f>
        <v>GOP-AR-2026-0005</v>
      </c>
      <c r="B11" s="106" t="n">
        <f aca="false">IFERROR(INDEX(CHAMADOS_GOP!C$2:C$500,MATCH(2,CHAMADOS_GOP!$AD$2:$AD$500,0)),"")</f>
        <v>328601</v>
      </c>
      <c r="C11" s="106" t="str">
        <f aca="false">IFERROR(INDEX(CHAMADOS_GOP!D$2:D$500,MATCH(2,CHAMADOS_GOP!$AD$2:$AD$500,0)),"")</f>
        <v>Creche Municipal Geralda de Jesus Aleixo</v>
      </c>
      <c r="D11" s="106" t="str">
        <f aca="false">IFERROR(INDEX(CHAMADOS_GOP!E$2:E$500,MATCH(2,CHAMADOS_GOP!$AD$2:$AD$500,0)),"")</f>
        <v>Berçário</v>
      </c>
      <c r="E11" s="106" t="str">
        <f aca="false">IFERROR(INDEX(CHAMADOS_GOP!F$2:F$500,MATCH(2,CHAMADOS_GOP!$AD$2:$AD$500,0)),"")</f>
        <v>Substituição/Instalação de Aparelho</v>
      </c>
      <c r="F11" s="106" t="str">
        <f aca="false">IFERROR(INDEX(CHAMADOS_GOP!O$2:O$500,MATCH(2,CHAMADOS_GOP!$AD$2:$AD$500,0)),"")</f>
        <v>27 - Instalação concluída</v>
      </c>
      <c r="G11" s="106" t="str">
        <f aca="false">IFERROR(INDEX(CHAMADOS_GOP!P$2:P$500,MATCH(2,CHAMADOS_GOP!$AD$2:$AD$500,0)),"")</f>
        <v>GOP</v>
      </c>
      <c r="H11" s="106" t="str">
        <f aca="false">IFERROR(INDEX(CHAMADOS_GOP!Q$2:Q$500,MATCH(2,CHAMADOS_GOP!$AD$2:$AD$500,0)),"")</f>
        <v>Confirmar encerramento e atualizar cadastro vivo da unidade.</v>
      </c>
      <c r="I11" s="107" t="n">
        <f aca="false">IFERROR(INDEX(CHAMADOS_GOP!R$2:R$500,MATCH(2,CHAMADOS_GOP!$AD$2:$AD$500,0)),"")</f>
        <v>46164</v>
      </c>
      <c r="J11" s="108" t="n">
        <f aca="false">IFERROR(INDEX(CHAMADOS_GOP!S$2:S$500,MATCH(2,CHAMADOS_GOP!$AD$2:$AD$500,0)),"")</f>
        <v>7</v>
      </c>
    </row>
    <row r="12" customFormat="false" ht="18" hidden="false" customHeight="true" outlineLevel="0" collapsed="false">
      <c r="A12" s="103" t="str">
        <f aca="false">IFERROR(INDEX(CHAMADOS_GOP!B$2:B$500,MATCH(3,CHAMADOS_GOP!$AD$2:$AD$500,0)),"")</f>
        <v>GOP-AR-2026-0013</v>
      </c>
      <c r="B12" s="103" t="n">
        <f aca="false">IFERROR(INDEX(CHAMADOS_GOP!C$2:C$500,MATCH(3,CHAMADOS_GOP!$AD$2:$AD$500,0)),"")</f>
        <v>313040</v>
      </c>
      <c r="C12" s="103" t="str">
        <f aca="false">IFERROR(INDEX(CHAMADOS_GOP!D$2:D$500,MATCH(3,CHAMADOS_GOP!$AD$2:$AD$500,0)),"")</f>
        <v>Escola Municipal Brigadeiro Faria Lima</v>
      </c>
      <c r="D12" s="103" t="str">
        <f aca="false">IFERROR(INDEX(CHAMADOS_GOP!E$2:E$500,MATCH(3,CHAMADOS_GOP!$AD$2:$AD$500,0)),"")</f>
        <v>Salas 7 e 12</v>
      </c>
      <c r="E12" s="103" t="str">
        <f aca="false">IFERROR(INDEX(CHAMADOS_GOP!F$2:F$500,MATCH(3,CHAMADOS_GOP!$AD$2:$AD$500,0)),"")</f>
        <v>Substituição/Instalação de Aparelho</v>
      </c>
      <c r="F12" s="103" t="str">
        <f aca="false">IFERROR(INDEX(CHAMADOS_GOP!O$2:O$500,MATCH(3,CHAMADOS_GOP!$AD$2:$AD$500,0)),"")</f>
        <v>27 - Instalação concluída</v>
      </c>
      <c r="G12" s="103" t="str">
        <f aca="false">IFERROR(INDEX(CHAMADOS_GOP!P$2:P$500,MATCH(3,CHAMADOS_GOP!$AD$2:$AD$500,0)),"")</f>
        <v>GOP</v>
      </c>
      <c r="H12" s="103" t="str">
        <f aca="false">IFERROR(INDEX(CHAMADOS_GOP!Q$2:Q$500,MATCH(3,CHAMADOS_GOP!$AD$2:$AD$500,0)),"")</f>
        <v>Confirmar encerramento e atualizar cadastro vivo da unidade.</v>
      </c>
      <c r="I12" s="104" t="n">
        <f aca="false">IFERROR(INDEX(CHAMADOS_GOP!R$2:R$500,MATCH(3,CHAMADOS_GOP!$AD$2:$AD$500,0)),"")</f>
        <v>46164</v>
      </c>
      <c r="J12" s="105" t="n">
        <f aca="false">IFERROR(INDEX(CHAMADOS_GOP!S$2:S$500,MATCH(3,CHAMADOS_GOP!$AD$2:$AD$500,0)),"")</f>
        <v>7</v>
      </c>
    </row>
    <row r="13" customFormat="false" ht="18" hidden="false" customHeight="true" outlineLevel="0" collapsed="false">
      <c r="A13" s="106" t="str">
        <f aca="false">IFERROR(INDEX(CHAMADOS_GOP!B$2:B$500,MATCH(4,CHAMADOS_GOP!$AD$2:$AD$500,0)),"")</f>
        <v>GOP-AR-2026-0015</v>
      </c>
      <c r="B13" s="106" t="n">
        <f aca="false">IFERROR(INDEX(CHAMADOS_GOP!C$2:C$500,MATCH(4,CHAMADOS_GOP!$AD$2:$AD$500,0)),"")</f>
        <v>312043</v>
      </c>
      <c r="C13" s="106" t="str">
        <f aca="false">IFERROR(INDEX(CHAMADOS_GOP!D$2:D$500,MATCH(4,CHAMADOS_GOP!$AD$2:$AD$500,0)),"")</f>
        <v>Escola Municipal Cívico Militar Carioca</v>
      </c>
      <c r="D13" s="106" t="str">
        <f aca="false">IFERROR(INDEX(CHAMADOS_GOP!E$2:E$500,MATCH(4,CHAMADOS_GOP!$AD$2:$AD$500,0)),"")</f>
        <v>Salas 1,2,4,5,6,7,8,9,10,11 artes, sala inteligente</v>
      </c>
      <c r="E13" s="106" t="str">
        <f aca="false">IFERROR(INDEX(CHAMADOS_GOP!F$2:F$500,MATCH(4,CHAMADOS_GOP!$AD$2:$AD$500,0)),"")</f>
        <v>Substituição/Instalação de Aparelho</v>
      </c>
      <c r="F13" s="106" t="str">
        <f aca="false">IFERROR(INDEX(CHAMADOS_GOP!O$2:O$500,MATCH(4,CHAMADOS_GOP!$AD$2:$AD$500,0)),"")</f>
        <v>27 - Instalação concluída</v>
      </c>
      <c r="G13" s="106" t="str">
        <f aca="false">IFERROR(INDEX(CHAMADOS_GOP!P$2:P$500,MATCH(4,CHAMADOS_GOP!$AD$2:$AD$500,0)),"")</f>
        <v>GOP</v>
      </c>
      <c r="H13" s="106" t="str">
        <f aca="false">IFERROR(INDEX(CHAMADOS_GOP!Q$2:Q$500,MATCH(4,CHAMADOS_GOP!$AD$2:$AD$500,0)),"")</f>
        <v>Confirmar encerramento e atualizar cadastro vivo da unidade.</v>
      </c>
      <c r="I13" s="107" t="n">
        <f aca="false">IFERROR(INDEX(CHAMADOS_GOP!R$2:R$500,MATCH(4,CHAMADOS_GOP!$AD$2:$AD$500,0)),"")</f>
        <v>46164</v>
      </c>
      <c r="J13" s="108" t="n">
        <f aca="false">IFERROR(INDEX(CHAMADOS_GOP!S$2:S$500,MATCH(4,CHAMADOS_GOP!$AD$2:$AD$500,0)),"")</f>
        <v>7</v>
      </c>
    </row>
    <row r="14" customFormat="false" ht="18" hidden="false" customHeight="true" outlineLevel="0" collapsed="false">
      <c r="A14" s="103" t="str">
        <f aca="false">IFERROR(INDEX(CHAMADOS_GOP!B$2:B$500,MATCH(5,CHAMADOS_GOP!$AD$2:$AD$500,0)),"")</f>
        <v>GOP-AR-2026-0016</v>
      </c>
      <c r="B14" s="103" t="n">
        <f aca="false">IFERROR(INDEX(CHAMADOS_GOP!C$2:C$500,MATCH(5,CHAMADOS_GOP!$AD$2:$AD$500,0)),"")</f>
        <v>312023</v>
      </c>
      <c r="C14" s="103" t="str">
        <f aca="false">IFERROR(INDEX(CHAMADOS_GOP!D$2:D$500,MATCH(5,CHAMADOS_GOP!$AD$2:$AD$500,0)),"")</f>
        <v>Escola Municipal Joaquim Ribeiro</v>
      </c>
      <c r="D14" s="103" t="str">
        <f aca="false">IFERROR(INDEX(CHAMADOS_GOP!E$2:E$500,MATCH(5,CHAMADOS_GOP!$AD$2:$AD$500,0)),"")</f>
        <v>Colaboratório - 2 janelas de 18 mil BTU
Sala 308 - 1 split de 18 mil BTU (2° ...</v>
      </c>
      <c r="E14" s="103" t="str">
        <f aca="false">IFERROR(INDEX(CHAMADOS_GOP!F$2:F$500,MATCH(5,CHAMADOS_GOP!$AD$2:$AD$500,0)),"")</f>
        <v>Substituição/Instalação de Aparelho</v>
      </c>
      <c r="F14" s="103" t="str">
        <f aca="false">IFERROR(INDEX(CHAMADOS_GOP!O$2:O$500,MATCH(5,CHAMADOS_GOP!$AD$2:$AD$500,0)),"")</f>
        <v>27 - Instalação concluída</v>
      </c>
      <c r="G14" s="103" t="str">
        <f aca="false">IFERROR(INDEX(CHAMADOS_GOP!P$2:P$500,MATCH(5,CHAMADOS_GOP!$AD$2:$AD$500,0)),"")</f>
        <v>GOP</v>
      </c>
      <c r="H14" s="103" t="str">
        <f aca="false">IFERROR(INDEX(CHAMADOS_GOP!Q$2:Q$500,MATCH(5,CHAMADOS_GOP!$AD$2:$AD$500,0)),"")</f>
        <v>Confirmar encerramento e atualizar cadastro vivo da unidade.</v>
      </c>
      <c r="I14" s="104" t="n">
        <f aca="false">IFERROR(INDEX(CHAMADOS_GOP!R$2:R$500,MATCH(5,CHAMADOS_GOP!$AD$2:$AD$500,0)),"")</f>
        <v>46164</v>
      </c>
      <c r="J14" s="105" t="n">
        <f aca="false">IFERROR(INDEX(CHAMADOS_GOP!S$2:S$500,MATCH(5,CHAMADOS_GOP!$AD$2:$AD$500,0)),"")</f>
        <v>7</v>
      </c>
    </row>
    <row r="15" customFormat="false" ht="18" hidden="false" customHeight="true" outlineLevel="0" collapsed="false">
      <c r="A15" s="106" t="str">
        <f aca="false">IFERROR(INDEX(CHAMADOS_GOP!B$2:B$500,MATCH(6,CHAMADOS_GOP!$AD$2:$AD$500,0)),"")</f>
        <v>GOP-AR-2026-0018</v>
      </c>
      <c r="B15" s="106" t="n">
        <f aca="false">IFERROR(INDEX(CHAMADOS_GOP!C$2:C$500,MATCH(6,CHAMADOS_GOP!$AD$2:$AD$500,0)),"")</f>
        <v>312012</v>
      </c>
      <c r="C15" s="106" t="str">
        <f aca="false">IFERROR(INDEX(CHAMADOS_GOP!D$2:D$500,MATCH(6,CHAMADOS_GOP!$AD$2:$AD$500,0)),"")</f>
        <v>Escola Municipal Manoel Bomfim</v>
      </c>
      <c r="D15" s="106" t="str">
        <f aca="false">IFERROR(INDEX(CHAMADOS_GOP!E$2:E$500,MATCH(6,CHAMADOS_GOP!$AD$2:$AD$500,0)),"")</f>
        <v>Sala 5</v>
      </c>
      <c r="E15" s="106" t="str">
        <f aca="false">IFERROR(INDEX(CHAMADOS_GOP!F$2:F$500,MATCH(6,CHAMADOS_GOP!$AD$2:$AD$500,0)),"")</f>
        <v>Substituição/Instalação de Aparelho</v>
      </c>
      <c r="F15" s="106" t="str">
        <f aca="false">IFERROR(INDEX(CHAMADOS_GOP!O$2:O$500,MATCH(6,CHAMADOS_GOP!$AD$2:$AD$500,0)),"")</f>
        <v>27 - Instalação concluída</v>
      </c>
      <c r="G15" s="106" t="str">
        <f aca="false">IFERROR(INDEX(CHAMADOS_GOP!P$2:P$500,MATCH(6,CHAMADOS_GOP!$AD$2:$AD$500,0)),"")</f>
        <v>GOP</v>
      </c>
      <c r="H15" s="106" t="str">
        <f aca="false">IFERROR(INDEX(CHAMADOS_GOP!Q$2:Q$500,MATCH(6,CHAMADOS_GOP!$AD$2:$AD$500,0)),"")</f>
        <v>Confirmar encerramento e atualizar cadastro vivo da unidade.</v>
      </c>
      <c r="I15" s="107" t="n">
        <f aca="false">IFERROR(INDEX(CHAMADOS_GOP!R$2:R$500,MATCH(6,CHAMADOS_GOP!$AD$2:$AD$500,0)),"")</f>
        <v>46164</v>
      </c>
      <c r="J15" s="108" t="n">
        <f aca="false">IFERROR(INDEX(CHAMADOS_GOP!S$2:S$500,MATCH(6,CHAMADOS_GOP!$AD$2:$AD$500,0)),"")</f>
        <v>7</v>
      </c>
    </row>
    <row r="16" customFormat="false" ht="18" hidden="false" customHeight="true" outlineLevel="0" collapsed="false">
      <c r="A16" s="103" t="str">
        <f aca="false">IFERROR(INDEX(CHAMADOS_GOP!B$2:B$500,MATCH(7,CHAMADOS_GOP!$AD$2:$AD$500,0)),"")</f>
        <v>GOP-AR-2026-0020</v>
      </c>
      <c r="B16" s="103" t="n">
        <f aca="false">IFERROR(INDEX(CHAMADOS_GOP!C$2:C$500,MATCH(7,CHAMADOS_GOP!$AD$2:$AD$500,0)),"")</f>
        <v>312801</v>
      </c>
      <c r="C16" s="103" t="str">
        <f aca="false">IFERROR(INDEX(CHAMADOS_GOP!D$2:D$500,MATCH(7,CHAMADOS_GOP!$AD$2:$AD$500,0)),"")</f>
        <v>Espaço de Desenvolvimento Infantil Henrique Foréis</v>
      </c>
      <c r="D16" s="103" t="str">
        <f aca="false">IFERROR(INDEX(CHAMADOS_GOP!E$2:E$500,MATCH(7,CHAMADOS_GOP!$AD$2:$AD$500,0)),"")</f>
        <v>berçário  | berçário</v>
      </c>
      <c r="E16" s="103" t="str">
        <f aca="false">IFERROR(INDEX(CHAMADOS_GOP!F$2:F$500,MATCH(7,CHAMADOS_GOP!$AD$2:$AD$500,0)),"")</f>
        <v>Substituição/Instalação de Aparelho</v>
      </c>
      <c r="F16" s="103" t="str">
        <f aca="false">IFERROR(INDEX(CHAMADOS_GOP!O$2:O$500,MATCH(7,CHAMADOS_GOP!$AD$2:$AD$500,0)),"")</f>
        <v>27 - Instalação concluída</v>
      </c>
      <c r="G16" s="103" t="str">
        <f aca="false">IFERROR(INDEX(CHAMADOS_GOP!P$2:P$500,MATCH(7,CHAMADOS_GOP!$AD$2:$AD$500,0)),"")</f>
        <v>GOP</v>
      </c>
      <c r="H16" s="103" t="str">
        <f aca="false">IFERROR(INDEX(CHAMADOS_GOP!Q$2:Q$500,MATCH(7,CHAMADOS_GOP!$AD$2:$AD$500,0)),"")</f>
        <v>Confirmar encerramento e atualizar cadastro vivo da unidade.</v>
      </c>
      <c r="I16" s="104" t="n">
        <f aca="false">IFERROR(INDEX(CHAMADOS_GOP!R$2:R$500,MATCH(7,CHAMADOS_GOP!$AD$2:$AD$500,0)),"")</f>
        <v>46169</v>
      </c>
      <c r="J16" s="105" t="n">
        <f aca="false">IFERROR(INDEX(CHAMADOS_GOP!S$2:S$500,MATCH(7,CHAMADOS_GOP!$AD$2:$AD$500,0)),"")</f>
        <v>2</v>
      </c>
    </row>
    <row r="17" customFormat="false" ht="18" hidden="false" customHeight="true" outlineLevel="0" collapsed="false">
      <c r="A17" s="106" t="str">
        <f aca="false">IFERROR(INDEX(CHAMADOS_GOP!B$2:B$500,MATCH(8,CHAMADOS_GOP!$AD$2:$AD$500,0)),"")</f>
        <v>GOP-AR-2026-0021</v>
      </c>
      <c r="B17" s="106" t="n">
        <f aca="false">IFERROR(INDEX(CHAMADOS_GOP!C$2:C$500,MATCH(8,CHAMADOS_GOP!$AD$2:$AD$500,0)),"")</f>
        <v>312006</v>
      </c>
      <c r="C17" s="106" t="str">
        <f aca="false">IFERROR(INDEX(CHAMADOS_GOP!D$2:D$500,MATCH(8,CHAMADOS_GOP!$AD$2:$AD$500,0)),"")</f>
        <v>Núcleo de Arte Nise da Silveira</v>
      </c>
      <c r="D17" s="106" t="str">
        <f aca="false">IFERROR(INDEX(CHAMADOS_GOP!E$2:E$500,MATCH(8,CHAMADOS_GOP!$AD$2:$AD$500,0)),"")</f>
        <v>Sala de teatro</v>
      </c>
      <c r="E17" s="106" t="str">
        <f aca="false">IFERROR(INDEX(CHAMADOS_GOP!F$2:F$500,MATCH(8,CHAMADOS_GOP!$AD$2:$AD$500,0)),"")</f>
        <v>Substituição/Instalação de Aparelho</v>
      </c>
      <c r="F17" s="106" t="str">
        <f aca="false">IFERROR(INDEX(CHAMADOS_GOP!O$2:O$500,MATCH(8,CHAMADOS_GOP!$AD$2:$AD$500,0)),"")</f>
        <v>27 - Instalação concluída</v>
      </c>
      <c r="G17" s="106" t="str">
        <f aca="false">IFERROR(INDEX(CHAMADOS_GOP!P$2:P$500,MATCH(8,CHAMADOS_GOP!$AD$2:$AD$500,0)),"")</f>
        <v>GOP</v>
      </c>
      <c r="H17" s="106" t="str">
        <f aca="false">IFERROR(INDEX(CHAMADOS_GOP!Q$2:Q$500,MATCH(8,CHAMADOS_GOP!$AD$2:$AD$500,0)),"")</f>
        <v>Confirmar encerramento e atualizar cadastro vivo da unidade.</v>
      </c>
      <c r="I17" s="107" t="n">
        <f aca="false">IFERROR(INDEX(CHAMADOS_GOP!R$2:R$500,MATCH(8,CHAMADOS_GOP!$AD$2:$AD$500,0)),"")</f>
        <v>46164</v>
      </c>
      <c r="J17" s="108" t="n">
        <f aca="false">IFERROR(INDEX(CHAMADOS_GOP!S$2:S$500,MATCH(8,CHAMADOS_GOP!$AD$2:$AD$500,0)),"")</f>
        <v>7</v>
      </c>
    </row>
    <row r="18" customFormat="false" ht="18" hidden="false" customHeight="true" outlineLevel="0" collapsed="false">
      <c r="A18" s="103" t="str">
        <f aca="false">IFERROR(INDEX(CHAMADOS_GOP!B$2:B$500,MATCH(9,CHAMADOS_GOP!$AD$2:$AD$500,0)),"")</f>
        <v>GOP-AR-2026-0023</v>
      </c>
      <c r="B18" s="103" t="n">
        <f aca="false">IFERROR(INDEX(CHAMADOS_GOP!C$2:C$500,MATCH(9,CHAMADOS_GOP!$AD$2:$AD$500,0)),"")</f>
        <v>328501</v>
      </c>
      <c r="C18" s="103" t="str">
        <f aca="false">IFERROR(INDEX(CHAMADOS_GOP!D$2:D$500,MATCH(9,CHAMADOS_GOP!$AD$2:$AD$500,0)),"")</f>
        <v>CIEP Vinicius de Moraes</v>
      </c>
      <c r="D18" s="103" t="str">
        <f aca="false">IFERROR(INDEX(CHAMADOS_GOP!E$2:E$500,MATCH(9,CHAMADOS_GOP!$AD$2:$AD$500,0)),"")</f>
        <v>Salas 1, 2, 4, 6, 7, 11, 10 e 12</v>
      </c>
      <c r="E18" s="103" t="str">
        <f aca="false">IFERROR(INDEX(CHAMADOS_GOP!F$2:F$500,MATCH(9,CHAMADOS_GOP!$AD$2:$AD$500,0)),"")</f>
        <v>Substituição/Instalação de Aparelho</v>
      </c>
      <c r="F18" s="103" t="str">
        <f aca="false">IFERROR(INDEX(CHAMADOS_GOP!O$2:O$500,MATCH(9,CHAMADOS_GOP!$AD$2:$AD$500,0)),"")</f>
        <v>27 - Instalação concluída</v>
      </c>
      <c r="G18" s="103" t="str">
        <f aca="false">IFERROR(INDEX(CHAMADOS_GOP!P$2:P$500,MATCH(9,CHAMADOS_GOP!$AD$2:$AD$500,0)),"")</f>
        <v>GOP</v>
      </c>
      <c r="H18" s="103" t="str">
        <f aca="false">IFERROR(INDEX(CHAMADOS_GOP!Q$2:Q$500,MATCH(9,CHAMADOS_GOP!$AD$2:$AD$500,0)),"")</f>
        <v>Confirmar encerramento e atualizar cadastro vivo da unidade.</v>
      </c>
      <c r="I18" s="104" t="n">
        <f aca="false">IFERROR(INDEX(CHAMADOS_GOP!R$2:R$500,MATCH(9,CHAMADOS_GOP!$AD$2:$AD$500,0)),"")</f>
        <v>46164</v>
      </c>
      <c r="J18" s="105" t="n">
        <f aca="false">IFERROR(INDEX(CHAMADOS_GOP!S$2:S$500,MATCH(9,CHAMADOS_GOP!$AD$2:$AD$500,0)),"")</f>
        <v>7</v>
      </c>
    </row>
    <row r="19" customFormat="false" ht="18" hidden="false" customHeight="true" outlineLevel="0" collapsed="false">
      <c r="A19" s="106" t="str">
        <f aca="false">IFERROR(INDEX(CHAMADOS_GOP!B$2:B$500,MATCH(10,CHAMADOS_GOP!$AD$2:$AD$500,0)),"")</f>
        <v>GOP-AR-2026-0024</v>
      </c>
      <c r="B19" s="106" t="n">
        <f aca="false">IFERROR(INDEX(CHAMADOS_GOP!C$2:C$500,MATCH(10,CHAMADOS_GOP!$AD$2:$AD$500,0)),"")</f>
        <v>313051</v>
      </c>
      <c r="C19" s="106" t="str">
        <f aca="false">IFERROR(INDEX(CHAMADOS_GOP!D$2:D$500,MATCH(10,CHAMADOS_GOP!$AD$2:$AD$500,0)),"")</f>
        <v>Escola Municipal Alagoas</v>
      </c>
      <c r="D19" s="106" t="str">
        <f aca="false">IFERROR(INDEX(CHAMADOS_GOP!E$2:E$500,MATCH(10,CHAMADOS_GOP!$AD$2:$AD$500,0)),"")</f>
        <v>1,2,3,4,5,6,7,8,9,10,11,12</v>
      </c>
      <c r="E19" s="106" t="str">
        <f aca="false">IFERROR(INDEX(CHAMADOS_GOP!F$2:F$500,MATCH(10,CHAMADOS_GOP!$AD$2:$AD$500,0)),"")</f>
        <v>Substituição/Instalação de Aparelho</v>
      </c>
      <c r="F19" s="106" t="str">
        <f aca="false">IFERROR(INDEX(CHAMADOS_GOP!O$2:O$500,MATCH(10,CHAMADOS_GOP!$AD$2:$AD$500,0)),"")</f>
        <v>27 - Instalação concluída</v>
      </c>
      <c r="G19" s="106" t="str">
        <f aca="false">IFERROR(INDEX(CHAMADOS_GOP!P$2:P$500,MATCH(10,CHAMADOS_GOP!$AD$2:$AD$500,0)),"")</f>
        <v>GOP</v>
      </c>
      <c r="H19" s="106" t="str">
        <f aca="false">IFERROR(INDEX(CHAMADOS_GOP!Q$2:Q$500,MATCH(10,CHAMADOS_GOP!$AD$2:$AD$500,0)),"")</f>
        <v>Confirmar encerramento e atualizar cadastro vivo da unidade.</v>
      </c>
      <c r="I19" s="107" t="n">
        <f aca="false">IFERROR(INDEX(CHAMADOS_GOP!R$2:R$500,MATCH(10,CHAMADOS_GOP!$AD$2:$AD$500,0)),"")</f>
        <v>46168</v>
      </c>
      <c r="J19" s="108" t="n">
        <f aca="false">IFERROR(INDEX(CHAMADOS_GOP!S$2:S$500,MATCH(10,CHAMADOS_GOP!$AD$2:$AD$500,0)),"")</f>
        <v>3</v>
      </c>
    </row>
    <row r="20" customFormat="false" ht="18" hidden="false" customHeight="true" outlineLevel="0" collapsed="false">
      <c r="A20" s="103" t="str">
        <f aca="false">IFERROR(INDEX(CHAMADOS_GOP!B$2:B$500,MATCH(11,CHAMADOS_GOP!$AD$2:$AD$500,0)),"")</f>
        <v>GOP-AR-2026-0027</v>
      </c>
      <c r="B20" s="103" t="n">
        <f aca="false">IFERROR(INDEX(CHAMADOS_GOP!C$2:C$500,MATCH(11,CHAMADOS_GOP!$AD$2:$AD$500,0)),"")</f>
        <v>313034</v>
      </c>
      <c r="C20" s="103" t="str">
        <f aca="false">IFERROR(INDEX(CHAMADOS_GOP!D$2:D$500,MATCH(11,CHAMADOS_GOP!$AD$2:$AD$500,0)),"")</f>
        <v>Escola Municipal Hélio Smidt</v>
      </c>
      <c r="D20" s="103" t="str">
        <f aca="false">IFERROR(INDEX(CHAMADOS_GOP!E$2:E$500,MATCH(11,CHAMADOS_GOP!$AD$2:$AD$500,0)),"")</f>
        <v>Colaboratório Sala de leitura</v>
      </c>
      <c r="E20" s="103" t="str">
        <f aca="false">IFERROR(INDEX(CHAMADOS_GOP!F$2:F$500,MATCH(11,CHAMADOS_GOP!$AD$2:$AD$500,0)),"")</f>
        <v>Substituição/Instalação de Aparelho</v>
      </c>
      <c r="F20" s="103" t="str">
        <f aca="false">IFERROR(INDEX(CHAMADOS_GOP!O$2:O$500,MATCH(11,CHAMADOS_GOP!$AD$2:$AD$500,0)),"")</f>
        <v>27 - Instalação concluída</v>
      </c>
      <c r="G20" s="103" t="str">
        <f aca="false">IFERROR(INDEX(CHAMADOS_GOP!P$2:P$500,MATCH(11,CHAMADOS_GOP!$AD$2:$AD$500,0)),"")</f>
        <v>CTO</v>
      </c>
      <c r="H20" s="103" t="str">
        <f aca="false">IFERROR(INDEX(CHAMADOS_GOP!Q$2:Q$500,MATCH(11,CHAMADOS_GOP!$AD$2:$AD$500,0)),"")</f>
        <v>Confirmar encerramento e atualizar cadastro vivo da unidade.</v>
      </c>
      <c r="I20" s="104" t="n">
        <f aca="false">IFERROR(INDEX(CHAMADOS_GOP!R$2:R$500,MATCH(11,CHAMADOS_GOP!$AD$2:$AD$500,0)),"")</f>
        <v>46169</v>
      </c>
      <c r="J20" s="105" t="n">
        <f aca="false">IFERROR(INDEX(CHAMADOS_GOP!S$2:S$500,MATCH(11,CHAMADOS_GOP!$AD$2:$AD$500,0)),"")</f>
        <v>2</v>
      </c>
    </row>
    <row r="21" customFormat="false" ht="18" hidden="false" customHeight="true" outlineLevel="0" collapsed="false">
      <c r="A21" s="106" t="str">
        <f aca="false">IFERROR(INDEX(CHAMADOS_GOP!B$2:B$500,MATCH(12,CHAMADOS_GOP!$AD$2:$AD$500,0)),"")</f>
        <v/>
      </c>
      <c r="B21" s="106" t="str">
        <f aca="false">IFERROR(INDEX(CHAMADOS_GOP!C$2:C$500,MATCH(12,CHAMADOS_GOP!$AD$2:$AD$500,0)),"")</f>
        <v/>
      </c>
      <c r="C21" s="106" t="str">
        <f aca="false">IFERROR(INDEX(CHAMADOS_GOP!D$2:D$500,MATCH(12,CHAMADOS_GOP!$AD$2:$AD$500,0)),"")</f>
        <v/>
      </c>
      <c r="D21" s="106" t="str">
        <f aca="false">IFERROR(INDEX(CHAMADOS_GOP!E$2:E$500,MATCH(12,CHAMADOS_GOP!$AD$2:$AD$500,0)),"")</f>
        <v/>
      </c>
      <c r="E21" s="106" t="str">
        <f aca="false">IFERROR(INDEX(CHAMADOS_GOP!F$2:F$500,MATCH(12,CHAMADOS_GOP!$AD$2:$AD$500,0)),"")</f>
        <v/>
      </c>
      <c r="F21" s="106" t="str">
        <f aca="false">IFERROR(INDEX(CHAMADOS_GOP!O$2:O$500,MATCH(12,CHAMADOS_GOP!$AD$2:$AD$500,0)),"")</f>
        <v/>
      </c>
      <c r="G21" s="106" t="str">
        <f aca="false">IFERROR(INDEX(CHAMADOS_GOP!P$2:P$500,MATCH(12,CHAMADOS_GOP!$AD$2:$AD$500,0)),"")</f>
        <v/>
      </c>
      <c r="H21" s="106" t="str">
        <f aca="false">IFERROR(INDEX(CHAMADOS_GOP!Q$2:Q$500,MATCH(12,CHAMADOS_GOP!$AD$2:$AD$500,0)),"")</f>
        <v/>
      </c>
      <c r="I21" s="107" t="str">
        <f aca="false">IFERROR(INDEX(CHAMADOS_GOP!R$2:R$500,MATCH(12,CHAMADOS_GOP!$AD$2:$AD$500,0)),"")</f>
        <v/>
      </c>
      <c r="J21" s="108" t="str">
        <f aca="false">IFERROR(INDEX(CHAMADOS_GOP!S$2:S$500,MATCH(12,CHAMADOS_GOP!$AD$2:$AD$500,0)),"")</f>
        <v/>
      </c>
    </row>
    <row r="22" customFormat="false" ht="18" hidden="false" customHeight="true" outlineLevel="0" collapsed="false">
      <c r="A22" s="103" t="str">
        <f aca="false">IFERROR(INDEX(CHAMADOS_GOP!B$2:B$500,MATCH(13,CHAMADOS_GOP!$AD$2:$AD$500,0)),"")</f>
        <v/>
      </c>
      <c r="B22" s="103" t="str">
        <f aca="false">IFERROR(INDEX(CHAMADOS_GOP!C$2:C$500,MATCH(13,CHAMADOS_GOP!$AD$2:$AD$500,0)),"")</f>
        <v/>
      </c>
      <c r="C22" s="103" t="str">
        <f aca="false">IFERROR(INDEX(CHAMADOS_GOP!D$2:D$500,MATCH(13,CHAMADOS_GOP!$AD$2:$AD$500,0)),"")</f>
        <v/>
      </c>
      <c r="D22" s="103" t="str">
        <f aca="false">IFERROR(INDEX(CHAMADOS_GOP!E$2:E$500,MATCH(13,CHAMADOS_GOP!$AD$2:$AD$500,0)),"")</f>
        <v/>
      </c>
      <c r="E22" s="103" t="str">
        <f aca="false">IFERROR(INDEX(CHAMADOS_GOP!F$2:F$500,MATCH(13,CHAMADOS_GOP!$AD$2:$AD$500,0)),"")</f>
        <v/>
      </c>
      <c r="F22" s="103" t="str">
        <f aca="false">IFERROR(INDEX(CHAMADOS_GOP!O$2:O$500,MATCH(13,CHAMADOS_GOP!$AD$2:$AD$500,0)),"")</f>
        <v/>
      </c>
      <c r="G22" s="103" t="str">
        <f aca="false">IFERROR(INDEX(CHAMADOS_GOP!P$2:P$500,MATCH(13,CHAMADOS_GOP!$AD$2:$AD$500,0)),"")</f>
        <v/>
      </c>
      <c r="H22" s="103" t="str">
        <f aca="false">IFERROR(INDEX(CHAMADOS_GOP!Q$2:Q$500,MATCH(13,CHAMADOS_GOP!$AD$2:$AD$500,0)),"")</f>
        <v/>
      </c>
      <c r="I22" s="104" t="str">
        <f aca="false">IFERROR(INDEX(CHAMADOS_GOP!R$2:R$500,MATCH(13,CHAMADOS_GOP!$AD$2:$AD$500,0)),"")</f>
        <v/>
      </c>
      <c r="J22" s="105" t="str">
        <f aca="false">IFERROR(INDEX(CHAMADOS_GOP!S$2:S$500,MATCH(13,CHAMADOS_GOP!$AD$2:$AD$500,0)),"")</f>
        <v/>
      </c>
    </row>
    <row r="23" customFormat="false" ht="18" hidden="false" customHeight="true" outlineLevel="0" collapsed="false">
      <c r="A23" s="106" t="str">
        <f aca="false">IFERROR(INDEX(CHAMADOS_GOP!B$2:B$500,MATCH(14,CHAMADOS_GOP!$AD$2:$AD$500,0)),"")</f>
        <v/>
      </c>
      <c r="B23" s="106" t="str">
        <f aca="false">IFERROR(INDEX(CHAMADOS_GOP!C$2:C$500,MATCH(14,CHAMADOS_GOP!$AD$2:$AD$500,0)),"")</f>
        <v/>
      </c>
      <c r="C23" s="106" t="str">
        <f aca="false">IFERROR(INDEX(CHAMADOS_GOP!D$2:D$500,MATCH(14,CHAMADOS_GOP!$AD$2:$AD$500,0)),"")</f>
        <v/>
      </c>
      <c r="D23" s="106" t="str">
        <f aca="false">IFERROR(INDEX(CHAMADOS_GOP!E$2:E$500,MATCH(14,CHAMADOS_GOP!$AD$2:$AD$500,0)),"")</f>
        <v/>
      </c>
      <c r="E23" s="106" t="str">
        <f aca="false">IFERROR(INDEX(CHAMADOS_GOP!F$2:F$500,MATCH(14,CHAMADOS_GOP!$AD$2:$AD$500,0)),"")</f>
        <v/>
      </c>
      <c r="F23" s="106" t="str">
        <f aca="false">IFERROR(INDEX(CHAMADOS_GOP!O$2:O$500,MATCH(14,CHAMADOS_GOP!$AD$2:$AD$500,0)),"")</f>
        <v/>
      </c>
      <c r="G23" s="106" t="str">
        <f aca="false">IFERROR(INDEX(CHAMADOS_GOP!P$2:P$500,MATCH(14,CHAMADOS_GOP!$AD$2:$AD$500,0)),"")</f>
        <v/>
      </c>
      <c r="H23" s="106" t="str">
        <f aca="false">IFERROR(INDEX(CHAMADOS_GOP!Q$2:Q$500,MATCH(14,CHAMADOS_GOP!$AD$2:$AD$500,0)),"")</f>
        <v/>
      </c>
      <c r="I23" s="107" t="str">
        <f aca="false">IFERROR(INDEX(CHAMADOS_GOP!R$2:R$500,MATCH(14,CHAMADOS_GOP!$AD$2:$AD$500,0)),"")</f>
        <v/>
      </c>
      <c r="J23" s="108" t="str">
        <f aca="false">IFERROR(INDEX(CHAMADOS_GOP!S$2:S$500,MATCH(14,CHAMADOS_GOP!$AD$2:$AD$500,0)),"")</f>
        <v/>
      </c>
    </row>
    <row r="24" customFormat="false" ht="18" hidden="false" customHeight="true" outlineLevel="0" collapsed="false">
      <c r="A24" s="103" t="str">
        <f aca="false">IFERROR(INDEX(CHAMADOS_GOP!B$2:B$500,MATCH(15,CHAMADOS_GOP!$AD$2:$AD$500,0)),"")</f>
        <v/>
      </c>
      <c r="B24" s="103" t="str">
        <f aca="false">IFERROR(INDEX(CHAMADOS_GOP!C$2:C$500,MATCH(15,CHAMADOS_GOP!$AD$2:$AD$500,0)),"")</f>
        <v/>
      </c>
      <c r="C24" s="103" t="str">
        <f aca="false">IFERROR(INDEX(CHAMADOS_GOP!D$2:D$500,MATCH(15,CHAMADOS_GOP!$AD$2:$AD$500,0)),"")</f>
        <v/>
      </c>
      <c r="D24" s="103" t="str">
        <f aca="false">IFERROR(INDEX(CHAMADOS_GOP!E$2:E$500,MATCH(15,CHAMADOS_GOP!$AD$2:$AD$500,0)),"")</f>
        <v/>
      </c>
      <c r="E24" s="103" t="str">
        <f aca="false">IFERROR(INDEX(CHAMADOS_GOP!F$2:F$500,MATCH(15,CHAMADOS_GOP!$AD$2:$AD$500,0)),"")</f>
        <v/>
      </c>
      <c r="F24" s="103" t="str">
        <f aca="false">IFERROR(INDEX(CHAMADOS_GOP!O$2:O$500,MATCH(15,CHAMADOS_GOP!$AD$2:$AD$500,0)),"")</f>
        <v/>
      </c>
      <c r="G24" s="103" t="str">
        <f aca="false">IFERROR(INDEX(CHAMADOS_GOP!P$2:P$500,MATCH(15,CHAMADOS_GOP!$AD$2:$AD$500,0)),"")</f>
        <v/>
      </c>
      <c r="H24" s="103" t="str">
        <f aca="false">IFERROR(INDEX(CHAMADOS_GOP!Q$2:Q$500,MATCH(15,CHAMADOS_GOP!$AD$2:$AD$500,0)),"")</f>
        <v/>
      </c>
      <c r="I24" s="104" t="str">
        <f aca="false">IFERROR(INDEX(CHAMADOS_GOP!R$2:R$500,MATCH(15,CHAMADOS_GOP!$AD$2:$AD$500,0)),"")</f>
        <v/>
      </c>
      <c r="J24" s="105" t="str">
        <f aca="false">IFERROR(INDEX(CHAMADOS_GOP!S$2:S$500,MATCH(15,CHAMADOS_GOP!$AD$2:$AD$500,0)),"")</f>
        <v/>
      </c>
    </row>
    <row r="25" customFormat="false" ht="18" hidden="false" customHeight="true" outlineLevel="0" collapsed="false">
      <c r="A25" s="106" t="str">
        <f aca="false">IFERROR(INDEX(CHAMADOS_GOP!B$2:B$500,MATCH(16,CHAMADOS_GOP!$AD$2:$AD$500,0)),"")</f>
        <v/>
      </c>
      <c r="B25" s="106" t="str">
        <f aca="false">IFERROR(INDEX(CHAMADOS_GOP!C$2:C$500,MATCH(16,CHAMADOS_GOP!$AD$2:$AD$500,0)),"")</f>
        <v/>
      </c>
      <c r="C25" s="106" t="str">
        <f aca="false">IFERROR(INDEX(CHAMADOS_GOP!D$2:D$500,MATCH(16,CHAMADOS_GOP!$AD$2:$AD$500,0)),"")</f>
        <v/>
      </c>
      <c r="D25" s="106" t="str">
        <f aca="false">IFERROR(INDEX(CHAMADOS_GOP!E$2:E$500,MATCH(16,CHAMADOS_GOP!$AD$2:$AD$500,0)),"")</f>
        <v/>
      </c>
      <c r="E25" s="106" t="str">
        <f aca="false">IFERROR(INDEX(CHAMADOS_GOP!F$2:F$500,MATCH(16,CHAMADOS_GOP!$AD$2:$AD$500,0)),"")</f>
        <v/>
      </c>
      <c r="F25" s="106" t="str">
        <f aca="false">IFERROR(INDEX(CHAMADOS_GOP!O$2:O$500,MATCH(16,CHAMADOS_GOP!$AD$2:$AD$500,0)),"")</f>
        <v/>
      </c>
      <c r="G25" s="106" t="str">
        <f aca="false">IFERROR(INDEX(CHAMADOS_GOP!P$2:P$500,MATCH(16,CHAMADOS_GOP!$AD$2:$AD$500,0)),"")</f>
        <v/>
      </c>
      <c r="H25" s="106" t="str">
        <f aca="false">IFERROR(INDEX(CHAMADOS_GOP!Q$2:Q$500,MATCH(16,CHAMADOS_GOP!$AD$2:$AD$500,0)),"")</f>
        <v/>
      </c>
      <c r="I25" s="107" t="str">
        <f aca="false">IFERROR(INDEX(CHAMADOS_GOP!R$2:R$500,MATCH(16,CHAMADOS_GOP!$AD$2:$AD$500,0)),"")</f>
        <v/>
      </c>
      <c r="J25" s="108" t="str">
        <f aca="false">IFERROR(INDEX(CHAMADOS_GOP!S$2:S$500,MATCH(16,CHAMADOS_GOP!$AD$2:$AD$500,0)),"")</f>
        <v/>
      </c>
    </row>
    <row r="26" customFormat="false" ht="18" hidden="false" customHeight="true" outlineLevel="0" collapsed="false">
      <c r="A26" s="103" t="str">
        <f aca="false">IFERROR(INDEX(CHAMADOS_GOP!B$2:B$500,MATCH(17,CHAMADOS_GOP!$AD$2:$AD$500,0)),"")</f>
        <v/>
      </c>
      <c r="B26" s="103" t="str">
        <f aca="false">IFERROR(INDEX(CHAMADOS_GOP!C$2:C$500,MATCH(17,CHAMADOS_GOP!$AD$2:$AD$500,0)),"")</f>
        <v/>
      </c>
      <c r="C26" s="103" t="str">
        <f aca="false">IFERROR(INDEX(CHAMADOS_GOP!D$2:D$500,MATCH(17,CHAMADOS_GOP!$AD$2:$AD$500,0)),"")</f>
        <v/>
      </c>
      <c r="D26" s="103" t="str">
        <f aca="false">IFERROR(INDEX(CHAMADOS_GOP!E$2:E$500,MATCH(17,CHAMADOS_GOP!$AD$2:$AD$500,0)),"")</f>
        <v/>
      </c>
      <c r="E26" s="103" t="str">
        <f aca="false">IFERROR(INDEX(CHAMADOS_GOP!F$2:F$500,MATCH(17,CHAMADOS_GOP!$AD$2:$AD$500,0)),"")</f>
        <v/>
      </c>
      <c r="F26" s="103" t="str">
        <f aca="false">IFERROR(INDEX(CHAMADOS_GOP!O$2:O$500,MATCH(17,CHAMADOS_GOP!$AD$2:$AD$500,0)),"")</f>
        <v/>
      </c>
      <c r="G26" s="103" t="str">
        <f aca="false">IFERROR(INDEX(CHAMADOS_GOP!P$2:P$500,MATCH(17,CHAMADOS_GOP!$AD$2:$AD$500,0)),"")</f>
        <v/>
      </c>
      <c r="H26" s="103" t="str">
        <f aca="false">IFERROR(INDEX(CHAMADOS_GOP!Q$2:Q$500,MATCH(17,CHAMADOS_GOP!$AD$2:$AD$500,0)),"")</f>
        <v/>
      </c>
      <c r="I26" s="104" t="str">
        <f aca="false">IFERROR(INDEX(CHAMADOS_GOP!R$2:R$500,MATCH(17,CHAMADOS_GOP!$AD$2:$AD$500,0)),"")</f>
        <v/>
      </c>
      <c r="J26" s="105" t="str">
        <f aca="false">IFERROR(INDEX(CHAMADOS_GOP!S$2:S$500,MATCH(17,CHAMADOS_GOP!$AD$2:$AD$500,0)),"")</f>
        <v/>
      </c>
    </row>
    <row r="27" customFormat="false" ht="18" hidden="false" customHeight="true" outlineLevel="0" collapsed="false">
      <c r="A27" s="106" t="str">
        <f aca="false">IFERROR(INDEX(CHAMADOS_GOP!B$2:B$500,MATCH(18,CHAMADOS_GOP!$AD$2:$AD$500,0)),"")</f>
        <v/>
      </c>
      <c r="B27" s="106" t="str">
        <f aca="false">IFERROR(INDEX(CHAMADOS_GOP!C$2:C$500,MATCH(18,CHAMADOS_GOP!$AD$2:$AD$500,0)),"")</f>
        <v/>
      </c>
      <c r="C27" s="106" t="str">
        <f aca="false">IFERROR(INDEX(CHAMADOS_GOP!D$2:D$500,MATCH(18,CHAMADOS_GOP!$AD$2:$AD$500,0)),"")</f>
        <v/>
      </c>
      <c r="D27" s="106" t="str">
        <f aca="false">IFERROR(INDEX(CHAMADOS_GOP!E$2:E$500,MATCH(18,CHAMADOS_GOP!$AD$2:$AD$500,0)),"")</f>
        <v/>
      </c>
      <c r="E27" s="106" t="str">
        <f aca="false">IFERROR(INDEX(CHAMADOS_GOP!F$2:F$500,MATCH(18,CHAMADOS_GOP!$AD$2:$AD$500,0)),"")</f>
        <v/>
      </c>
      <c r="F27" s="106" t="str">
        <f aca="false">IFERROR(INDEX(CHAMADOS_GOP!O$2:O$500,MATCH(18,CHAMADOS_GOP!$AD$2:$AD$500,0)),"")</f>
        <v/>
      </c>
      <c r="G27" s="106" t="str">
        <f aca="false">IFERROR(INDEX(CHAMADOS_GOP!P$2:P$500,MATCH(18,CHAMADOS_GOP!$AD$2:$AD$500,0)),"")</f>
        <v/>
      </c>
      <c r="H27" s="106" t="str">
        <f aca="false">IFERROR(INDEX(CHAMADOS_GOP!Q$2:Q$500,MATCH(18,CHAMADOS_GOP!$AD$2:$AD$500,0)),"")</f>
        <v/>
      </c>
      <c r="I27" s="107" t="str">
        <f aca="false">IFERROR(INDEX(CHAMADOS_GOP!R$2:R$500,MATCH(18,CHAMADOS_GOP!$AD$2:$AD$500,0)),"")</f>
        <v/>
      </c>
      <c r="J27" s="108" t="str">
        <f aca="false">IFERROR(INDEX(CHAMADOS_GOP!S$2:S$500,MATCH(18,CHAMADOS_GOP!$AD$2:$AD$500,0)),"")</f>
        <v/>
      </c>
    </row>
    <row r="28" customFormat="false" ht="18" hidden="false" customHeight="true" outlineLevel="0" collapsed="false">
      <c r="A28" s="103" t="str">
        <f aca="false">IFERROR(INDEX(CHAMADOS_GOP!B$2:B$500,MATCH(19,CHAMADOS_GOP!$AD$2:$AD$500,0)),"")</f>
        <v/>
      </c>
      <c r="B28" s="103" t="str">
        <f aca="false">IFERROR(INDEX(CHAMADOS_GOP!C$2:C$500,MATCH(19,CHAMADOS_GOP!$AD$2:$AD$500,0)),"")</f>
        <v/>
      </c>
      <c r="C28" s="103" t="str">
        <f aca="false">IFERROR(INDEX(CHAMADOS_GOP!D$2:D$500,MATCH(19,CHAMADOS_GOP!$AD$2:$AD$500,0)),"")</f>
        <v/>
      </c>
      <c r="D28" s="103" t="str">
        <f aca="false">IFERROR(INDEX(CHAMADOS_GOP!E$2:E$500,MATCH(19,CHAMADOS_GOP!$AD$2:$AD$500,0)),"")</f>
        <v/>
      </c>
      <c r="E28" s="103" t="str">
        <f aca="false">IFERROR(INDEX(CHAMADOS_GOP!F$2:F$500,MATCH(19,CHAMADOS_GOP!$AD$2:$AD$500,0)),"")</f>
        <v/>
      </c>
      <c r="F28" s="103" t="str">
        <f aca="false">IFERROR(INDEX(CHAMADOS_GOP!O$2:O$500,MATCH(19,CHAMADOS_GOP!$AD$2:$AD$500,0)),"")</f>
        <v/>
      </c>
      <c r="G28" s="103" t="str">
        <f aca="false">IFERROR(INDEX(CHAMADOS_GOP!P$2:P$500,MATCH(19,CHAMADOS_GOP!$AD$2:$AD$500,0)),"")</f>
        <v/>
      </c>
      <c r="H28" s="103" t="str">
        <f aca="false">IFERROR(INDEX(CHAMADOS_GOP!Q$2:Q$500,MATCH(19,CHAMADOS_GOP!$AD$2:$AD$500,0)),"")</f>
        <v/>
      </c>
      <c r="I28" s="104" t="str">
        <f aca="false">IFERROR(INDEX(CHAMADOS_GOP!R$2:R$500,MATCH(19,CHAMADOS_GOP!$AD$2:$AD$500,0)),"")</f>
        <v/>
      </c>
      <c r="J28" s="105" t="str">
        <f aca="false">IFERROR(INDEX(CHAMADOS_GOP!S$2:S$500,MATCH(19,CHAMADOS_GOP!$AD$2:$AD$500,0)),"")</f>
        <v/>
      </c>
    </row>
    <row r="29" customFormat="false" ht="18" hidden="false" customHeight="true" outlineLevel="0" collapsed="false">
      <c r="A29" s="106" t="str">
        <f aca="false">IFERROR(INDEX(CHAMADOS_GOP!B$2:B$500,MATCH(20,CHAMADOS_GOP!$AD$2:$AD$500,0)),"")</f>
        <v/>
      </c>
      <c r="B29" s="106" t="str">
        <f aca="false">IFERROR(INDEX(CHAMADOS_GOP!C$2:C$500,MATCH(20,CHAMADOS_GOP!$AD$2:$AD$500,0)),"")</f>
        <v/>
      </c>
      <c r="C29" s="106" t="str">
        <f aca="false">IFERROR(INDEX(CHAMADOS_GOP!D$2:D$500,MATCH(20,CHAMADOS_GOP!$AD$2:$AD$500,0)),"")</f>
        <v/>
      </c>
      <c r="D29" s="106" t="str">
        <f aca="false">IFERROR(INDEX(CHAMADOS_GOP!E$2:E$500,MATCH(20,CHAMADOS_GOP!$AD$2:$AD$500,0)),"")</f>
        <v/>
      </c>
      <c r="E29" s="106" t="str">
        <f aca="false">IFERROR(INDEX(CHAMADOS_GOP!F$2:F$500,MATCH(20,CHAMADOS_GOP!$AD$2:$AD$500,0)),"")</f>
        <v/>
      </c>
      <c r="F29" s="106" t="str">
        <f aca="false">IFERROR(INDEX(CHAMADOS_GOP!O$2:O$500,MATCH(20,CHAMADOS_GOP!$AD$2:$AD$500,0)),"")</f>
        <v/>
      </c>
      <c r="G29" s="106" t="str">
        <f aca="false">IFERROR(INDEX(CHAMADOS_GOP!P$2:P$500,MATCH(20,CHAMADOS_GOP!$AD$2:$AD$500,0)),"")</f>
        <v/>
      </c>
      <c r="H29" s="106" t="str">
        <f aca="false">IFERROR(INDEX(CHAMADOS_GOP!Q$2:Q$500,MATCH(20,CHAMADOS_GOP!$AD$2:$AD$500,0)),"")</f>
        <v/>
      </c>
      <c r="I29" s="107" t="str">
        <f aca="false">IFERROR(INDEX(CHAMADOS_GOP!R$2:R$500,MATCH(20,CHAMADOS_GOP!$AD$2:$AD$500,0)),"")</f>
        <v/>
      </c>
      <c r="J29" s="108" t="str">
        <f aca="false">IFERROR(INDEX(CHAMADOS_GOP!S$2:S$500,MATCH(20,CHAMADOS_GOP!$AD$2:$AD$500,0)),"")</f>
        <v/>
      </c>
    </row>
    <row r="30" customFormat="false" ht="18" hidden="false" customHeight="true" outlineLevel="0" collapsed="false">
      <c r="A30" s="103" t="str">
        <f aca="false">IFERROR(INDEX(CHAMADOS_GOP!B$2:B$500,MATCH(21,CHAMADOS_GOP!$AD$2:$AD$500,0)),"")</f>
        <v/>
      </c>
      <c r="B30" s="103" t="str">
        <f aca="false">IFERROR(INDEX(CHAMADOS_GOP!C$2:C$500,MATCH(21,CHAMADOS_GOP!$AD$2:$AD$500,0)),"")</f>
        <v/>
      </c>
      <c r="C30" s="103" t="str">
        <f aca="false">IFERROR(INDEX(CHAMADOS_GOP!D$2:D$500,MATCH(21,CHAMADOS_GOP!$AD$2:$AD$500,0)),"")</f>
        <v/>
      </c>
      <c r="D30" s="103" t="str">
        <f aca="false">IFERROR(INDEX(CHAMADOS_GOP!E$2:E$500,MATCH(21,CHAMADOS_GOP!$AD$2:$AD$500,0)),"")</f>
        <v/>
      </c>
      <c r="E30" s="103" t="str">
        <f aca="false">IFERROR(INDEX(CHAMADOS_GOP!F$2:F$500,MATCH(21,CHAMADOS_GOP!$AD$2:$AD$500,0)),"")</f>
        <v/>
      </c>
      <c r="F30" s="103" t="str">
        <f aca="false">IFERROR(INDEX(CHAMADOS_GOP!O$2:O$500,MATCH(21,CHAMADOS_GOP!$AD$2:$AD$500,0)),"")</f>
        <v/>
      </c>
      <c r="G30" s="103" t="str">
        <f aca="false">IFERROR(INDEX(CHAMADOS_GOP!P$2:P$500,MATCH(21,CHAMADOS_GOP!$AD$2:$AD$500,0)),"")</f>
        <v/>
      </c>
      <c r="H30" s="103" t="str">
        <f aca="false">IFERROR(INDEX(CHAMADOS_GOP!Q$2:Q$500,MATCH(21,CHAMADOS_GOP!$AD$2:$AD$500,0)),"")</f>
        <v/>
      </c>
      <c r="I30" s="104" t="str">
        <f aca="false">IFERROR(INDEX(CHAMADOS_GOP!R$2:R$500,MATCH(21,CHAMADOS_GOP!$AD$2:$AD$500,0)),"")</f>
        <v/>
      </c>
      <c r="J30" s="105" t="str">
        <f aca="false">IFERROR(INDEX(CHAMADOS_GOP!S$2:S$500,MATCH(21,CHAMADOS_GOP!$AD$2:$AD$500,0)),"")</f>
        <v/>
      </c>
    </row>
    <row r="31" customFormat="false" ht="18" hidden="false" customHeight="true" outlineLevel="0" collapsed="false">
      <c r="A31" s="106" t="str">
        <f aca="false">IFERROR(INDEX(CHAMADOS_GOP!B$2:B$500,MATCH(22,CHAMADOS_GOP!$AD$2:$AD$500,0)),"")</f>
        <v/>
      </c>
      <c r="B31" s="106" t="str">
        <f aca="false">IFERROR(INDEX(CHAMADOS_GOP!C$2:C$500,MATCH(22,CHAMADOS_GOP!$AD$2:$AD$500,0)),"")</f>
        <v/>
      </c>
      <c r="C31" s="106" t="str">
        <f aca="false">IFERROR(INDEX(CHAMADOS_GOP!D$2:D$500,MATCH(22,CHAMADOS_GOP!$AD$2:$AD$500,0)),"")</f>
        <v/>
      </c>
      <c r="D31" s="106" t="str">
        <f aca="false">IFERROR(INDEX(CHAMADOS_GOP!E$2:E$500,MATCH(22,CHAMADOS_GOP!$AD$2:$AD$500,0)),"")</f>
        <v/>
      </c>
      <c r="E31" s="106" t="str">
        <f aca="false">IFERROR(INDEX(CHAMADOS_GOP!F$2:F$500,MATCH(22,CHAMADOS_GOP!$AD$2:$AD$500,0)),"")</f>
        <v/>
      </c>
      <c r="F31" s="106" t="str">
        <f aca="false">IFERROR(INDEX(CHAMADOS_GOP!O$2:O$500,MATCH(22,CHAMADOS_GOP!$AD$2:$AD$500,0)),"")</f>
        <v/>
      </c>
      <c r="G31" s="106" t="str">
        <f aca="false">IFERROR(INDEX(CHAMADOS_GOP!P$2:P$500,MATCH(22,CHAMADOS_GOP!$AD$2:$AD$500,0)),"")</f>
        <v/>
      </c>
      <c r="H31" s="106" t="str">
        <f aca="false">IFERROR(INDEX(CHAMADOS_GOP!Q$2:Q$500,MATCH(22,CHAMADOS_GOP!$AD$2:$AD$500,0)),"")</f>
        <v/>
      </c>
      <c r="I31" s="107" t="str">
        <f aca="false">IFERROR(INDEX(CHAMADOS_GOP!R$2:R$500,MATCH(22,CHAMADOS_GOP!$AD$2:$AD$500,0)),"")</f>
        <v/>
      </c>
      <c r="J31" s="108" t="str">
        <f aca="false">IFERROR(INDEX(CHAMADOS_GOP!S$2:S$500,MATCH(22,CHAMADOS_GOP!$AD$2:$AD$500,0)),"")</f>
        <v/>
      </c>
    </row>
    <row r="32" customFormat="false" ht="18" hidden="false" customHeight="true" outlineLevel="0" collapsed="false">
      <c r="A32" s="103" t="str">
        <f aca="false">IFERROR(INDEX(CHAMADOS_GOP!B$2:B$500,MATCH(23,CHAMADOS_GOP!$AD$2:$AD$500,0)),"")</f>
        <v/>
      </c>
      <c r="B32" s="103" t="str">
        <f aca="false">IFERROR(INDEX(CHAMADOS_GOP!C$2:C$500,MATCH(23,CHAMADOS_GOP!$AD$2:$AD$500,0)),"")</f>
        <v/>
      </c>
      <c r="C32" s="103" t="str">
        <f aca="false">IFERROR(INDEX(CHAMADOS_GOP!D$2:D$500,MATCH(23,CHAMADOS_GOP!$AD$2:$AD$500,0)),"")</f>
        <v/>
      </c>
      <c r="D32" s="103" t="str">
        <f aca="false">IFERROR(INDEX(CHAMADOS_GOP!E$2:E$500,MATCH(23,CHAMADOS_GOP!$AD$2:$AD$500,0)),"")</f>
        <v/>
      </c>
      <c r="E32" s="103" t="str">
        <f aca="false">IFERROR(INDEX(CHAMADOS_GOP!F$2:F$500,MATCH(23,CHAMADOS_GOP!$AD$2:$AD$500,0)),"")</f>
        <v/>
      </c>
      <c r="F32" s="103" t="str">
        <f aca="false">IFERROR(INDEX(CHAMADOS_GOP!O$2:O$500,MATCH(23,CHAMADOS_GOP!$AD$2:$AD$500,0)),"")</f>
        <v/>
      </c>
      <c r="G32" s="103" t="str">
        <f aca="false">IFERROR(INDEX(CHAMADOS_GOP!P$2:P$500,MATCH(23,CHAMADOS_GOP!$AD$2:$AD$500,0)),"")</f>
        <v/>
      </c>
      <c r="H32" s="103" t="str">
        <f aca="false">IFERROR(INDEX(CHAMADOS_GOP!Q$2:Q$500,MATCH(23,CHAMADOS_GOP!$AD$2:$AD$500,0)),"")</f>
        <v/>
      </c>
      <c r="I32" s="104" t="str">
        <f aca="false">IFERROR(INDEX(CHAMADOS_GOP!R$2:R$500,MATCH(23,CHAMADOS_GOP!$AD$2:$AD$500,0)),"")</f>
        <v/>
      </c>
      <c r="J32" s="105" t="str">
        <f aca="false">IFERROR(INDEX(CHAMADOS_GOP!S$2:S$500,MATCH(23,CHAMADOS_GOP!$AD$2:$AD$500,0)),"")</f>
        <v/>
      </c>
    </row>
    <row r="33" customFormat="false" ht="18" hidden="false" customHeight="true" outlineLevel="0" collapsed="false">
      <c r="A33" s="106" t="str">
        <f aca="false">IFERROR(INDEX(CHAMADOS_GOP!B$2:B$500,MATCH(24,CHAMADOS_GOP!$AD$2:$AD$500,0)),"")</f>
        <v/>
      </c>
      <c r="B33" s="106" t="str">
        <f aca="false">IFERROR(INDEX(CHAMADOS_GOP!C$2:C$500,MATCH(24,CHAMADOS_GOP!$AD$2:$AD$500,0)),"")</f>
        <v/>
      </c>
      <c r="C33" s="106" t="str">
        <f aca="false">IFERROR(INDEX(CHAMADOS_GOP!D$2:D$500,MATCH(24,CHAMADOS_GOP!$AD$2:$AD$500,0)),"")</f>
        <v/>
      </c>
      <c r="D33" s="106" t="str">
        <f aca="false">IFERROR(INDEX(CHAMADOS_GOP!E$2:E$500,MATCH(24,CHAMADOS_GOP!$AD$2:$AD$500,0)),"")</f>
        <v/>
      </c>
      <c r="E33" s="106" t="str">
        <f aca="false">IFERROR(INDEX(CHAMADOS_GOP!F$2:F$500,MATCH(24,CHAMADOS_GOP!$AD$2:$AD$500,0)),"")</f>
        <v/>
      </c>
      <c r="F33" s="106" t="str">
        <f aca="false">IFERROR(INDEX(CHAMADOS_GOP!O$2:O$500,MATCH(24,CHAMADOS_GOP!$AD$2:$AD$500,0)),"")</f>
        <v/>
      </c>
      <c r="G33" s="106" t="str">
        <f aca="false">IFERROR(INDEX(CHAMADOS_GOP!P$2:P$500,MATCH(24,CHAMADOS_GOP!$AD$2:$AD$500,0)),"")</f>
        <v/>
      </c>
      <c r="H33" s="106" t="str">
        <f aca="false">IFERROR(INDEX(CHAMADOS_GOP!Q$2:Q$500,MATCH(24,CHAMADOS_GOP!$AD$2:$AD$500,0)),"")</f>
        <v/>
      </c>
      <c r="I33" s="107" t="str">
        <f aca="false">IFERROR(INDEX(CHAMADOS_GOP!R$2:R$500,MATCH(24,CHAMADOS_GOP!$AD$2:$AD$500,0)),"")</f>
        <v/>
      </c>
      <c r="J33" s="108" t="str">
        <f aca="false">IFERROR(INDEX(CHAMADOS_GOP!S$2:S$500,MATCH(24,CHAMADOS_GOP!$AD$2:$AD$500,0)),"")</f>
        <v/>
      </c>
    </row>
    <row r="34" customFormat="false" ht="18" hidden="false" customHeight="true" outlineLevel="0" collapsed="false">
      <c r="A34" s="103" t="str">
        <f aca="false">IFERROR(INDEX(CHAMADOS_GOP!B$2:B$500,MATCH(25,CHAMADOS_GOP!$AD$2:$AD$500,0)),"")</f>
        <v/>
      </c>
      <c r="B34" s="103" t="str">
        <f aca="false">IFERROR(INDEX(CHAMADOS_GOP!C$2:C$500,MATCH(25,CHAMADOS_GOP!$AD$2:$AD$500,0)),"")</f>
        <v/>
      </c>
      <c r="C34" s="103" t="str">
        <f aca="false">IFERROR(INDEX(CHAMADOS_GOP!D$2:D$500,MATCH(25,CHAMADOS_GOP!$AD$2:$AD$500,0)),"")</f>
        <v/>
      </c>
      <c r="D34" s="103" t="str">
        <f aca="false">IFERROR(INDEX(CHAMADOS_GOP!E$2:E$500,MATCH(25,CHAMADOS_GOP!$AD$2:$AD$500,0)),"")</f>
        <v/>
      </c>
      <c r="E34" s="103" t="str">
        <f aca="false">IFERROR(INDEX(CHAMADOS_GOP!F$2:F$500,MATCH(25,CHAMADOS_GOP!$AD$2:$AD$500,0)),"")</f>
        <v/>
      </c>
      <c r="F34" s="103" t="str">
        <f aca="false">IFERROR(INDEX(CHAMADOS_GOP!O$2:O$500,MATCH(25,CHAMADOS_GOP!$AD$2:$AD$500,0)),"")</f>
        <v/>
      </c>
      <c r="G34" s="103" t="str">
        <f aca="false">IFERROR(INDEX(CHAMADOS_GOP!P$2:P$500,MATCH(25,CHAMADOS_GOP!$AD$2:$AD$500,0)),"")</f>
        <v/>
      </c>
      <c r="H34" s="103" t="str">
        <f aca="false">IFERROR(INDEX(CHAMADOS_GOP!Q$2:Q$500,MATCH(25,CHAMADOS_GOP!$AD$2:$AD$500,0)),"")</f>
        <v/>
      </c>
      <c r="I34" s="104" t="str">
        <f aca="false">IFERROR(INDEX(CHAMADOS_GOP!R$2:R$500,MATCH(25,CHAMADOS_GOP!$AD$2:$AD$500,0)),"")</f>
        <v/>
      </c>
      <c r="J34" s="105" t="str">
        <f aca="false">IFERROR(INDEX(CHAMADOS_GOP!S$2:S$500,MATCH(25,CHAMADOS_GOP!$AD$2:$AD$500,0)),"")</f>
        <v/>
      </c>
    </row>
    <row r="35" customFormat="false" ht="18" hidden="false" customHeight="true" outlineLevel="0" collapsed="false">
      <c r="A35" s="106" t="str">
        <f aca="false">IFERROR(INDEX(CHAMADOS_GOP!B$2:B$500,MATCH(26,CHAMADOS_GOP!$AD$2:$AD$500,0)),"")</f>
        <v/>
      </c>
      <c r="B35" s="106" t="str">
        <f aca="false">IFERROR(INDEX(CHAMADOS_GOP!C$2:C$500,MATCH(26,CHAMADOS_GOP!$AD$2:$AD$500,0)),"")</f>
        <v/>
      </c>
      <c r="C35" s="106" t="str">
        <f aca="false">IFERROR(INDEX(CHAMADOS_GOP!D$2:D$500,MATCH(26,CHAMADOS_GOP!$AD$2:$AD$500,0)),"")</f>
        <v/>
      </c>
      <c r="D35" s="106" t="str">
        <f aca="false">IFERROR(INDEX(CHAMADOS_GOP!E$2:E$500,MATCH(26,CHAMADOS_GOP!$AD$2:$AD$500,0)),"")</f>
        <v/>
      </c>
      <c r="E35" s="106" t="str">
        <f aca="false">IFERROR(INDEX(CHAMADOS_GOP!F$2:F$500,MATCH(26,CHAMADOS_GOP!$AD$2:$AD$500,0)),"")</f>
        <v/>
      </c>
      <c r="F35" s="106" t="str">
        <f aca="false">IFERROR(INDEX(CHAMADOS_GOP!O$2:O$500,MATCH(26,CHAMADOS_GOP!$AD$2:$AD$500,0)),"")</f>
        <v/>
      </c>
      <c r="G35" s="106" t="str">
        <f aca="false">IFERROR(INDEX(CHAMADOS_GOP!P$2:P$500,MATCH(26,CHAMADOS_GOP!$AD$2:$AD$500,0)),"")</f>
        <v/>
      </c>
      <c r="H35" s="106" t="str">
        <f aca="false">IFERROR(INDEX(CHAMADOS_GOP!Q$2:Q$500,MATCH(26,CHAMADOS_GOP!$AD$2:$AD$500,0)),"")</f>
        <v/>
      </c>
      <c r="I35" s="107" t="str">
        <f aca="false">IFERROR(INDEX(CHAMADOS_GOP!R$2:R$500,MATCH(26,CHAMADOS_GOP!$AD$2:$AD$500,0)),"")</f>
        <v/>
      </c>
      <c r="J35" s="108" t="str">
        <f aca="false">IFERROR(INDEX(CHAMADOS_GOP!S$2:S$500,MATCH(26,CHAMADOS_GOP!$AD$2:$AD$500,0)),"")</f>
        <v/>
      </c>
    </row>
    <row r="36" customFormat="false" ht="18" hidden="false" customHeight="true" outlineLevel="0" collapsed="false">
      <c r="A36" s="103" t="str">
        <f aca="false">IFERROR(INDEX(CHAMADOS_GOP!B$2:B$500,MATCH(27,CHAMADOS_GOP!$AD$2:$AD$500,0)),"")</f>
        <v/>
      </c>
      <c r="B36" s="103" t="str">
        <f aca="false">IFERROR(INDEX(CHAMADOS_GOP!C$2:C$500,MATCH(27,CHAMADOS_GOP!$AD$2:$AD$500,0)),"")</f>
        <v/>
      </c>
      <c r="C36" s="103" t="str">
        <f aca="false">IFERROR(INDEX(CHAMADOS_GOP!D$2:D$500,MATCH(27,CHAMADOS_GOP!$AD$2:$AD$500,0)),"")</f>
        <v/>
      </c>
      <c r="D36" s="103" t="str">
        <f aca="false">IFERROR(INDEX(CHAMADOS_GOP!E$2:E$500,MATCH(27,CHAMADOS_GOP!$AD$2:$AD$500,0)),"")</f>
        <v/>
      </c>
      <c r="E36" s="103" t="str">
        <f aca="false">IFERROR(INDEX(CHAMADOS_GOP!F$2:F$500,MATCH(27,CHAMADOS_GOP!$AD$2:$AD$500,0)),"")</f>
        <v/>
      </c>
      <c r="F36" s="103" t="str">
        <f aca="false">IFERROR(INDEX(CHAMADOS_GOP!O$2:O$500,MATCH(27,CHAMADOS_GOP!$AD$2:$AD$500,0)),"")</f>
        <v/>
      </c>
      <c r="G36" s="103" t="str">
        <f aca="false">IFERROR(INDEX(CHAMADOS_GOP!P$2:P$500,MATCH(27,CHAMADOS_GOP!$AD$2:$AD$500,0)),"")</f>
        <v/>
      </c>
      <c r="H36" s="103" t="str">
        <f aca="false">IFERROR(INDEX(CHAMADOS_GOP!Q$2:Q$500,MATCH(27,CHAMADOS_GOP!$AD$2:$AD$500,0)),"")</f>
        <v/>
      </c>
      <c r="I36" s="104" t="str">
        <f aca="false">IFERROR(INDEX(CHAMADOS_GOP!R$2:R$500,MATCH(27,CHAMADOS_GOP!$AD$2:$AD$500,0)),"")</f>
        <v/>
      </c>
      <c r="J36" s="105" t="str">
        <f aca="false">IFERROR(INDEX(CHAMADOS_GOP!S$2:S$500,MATCH(27,CHAMADOS_GOP!$AD$2:$AD$500,0)),"")</f>
        <v/>
      </c>
    </row>
    <row r="37" customFormat="false" ht="18" hidden="false" customHeight="true" outlineLevel="0" collapsed="false">
      <c r="A37" s="106" t="str">
        <f aca="false">IFERROR(INDEX(CHAMADOS_GOP!B$2:B$500,MATCH(28,CHAMADOS_GOP!$AD$2:$AD$500,0)),"")</f>
        <v/>
      </c>
      <c r="B37" s="106" t="str">
        <f aca="false">IFERROR(INDEX(CHAMADOS_GOP!C$2:C$500,MATCH(28,CHAMADOS_GOP!$AD$2:$AD$500,0)),"")</f>
        <v/>
      </c>
      <c r="C37" s="106" t="str">
        <f aca="false">IFERROR(INDEX(CHAMADOS_GOP!D$2:D$500,MATCH(28,CHAMADOS_GOP!$AD$2:$AD$500,0)),"")</f>
        <v/>
      </c>
      <c r="D37" s="106" t="str">
        <f aca="false">IFERROR(INDEX(CHAMADOS_GOP!E$2:E$500,MATCH(28,CHAMADOS_GOP!$AD$2:$AD$500,0)),"")</f>
        <v/>
      </c>
      <c r="E37" s="106" t="str">
        <f aca="false">IFERROR(INDEX(CHAMADOS_GOP!F$2:F$500,MATCH(28,CHAMADOS_GOP!$AD$2:$AD$500,0)),"")</f>
        <v/>
      </c>
      <c r="F37" s="106" t="str">
        <f aca="false">IFERROR(INDEX(CHAMADOS_GOP!O$2:O$500,MATCH(28,CHAMADOS_GOP!$AD$2:$AD$500,0)),"")</f>
        <v/>
      </c>
      <c r="G37" s="106" t="str">
        <f aca="false">IFERROR(INDEX(CHAMADOS_GOP!P$2:P$500,MATCH(28,CHAMADOS_GOP!$AD$2:$AD$500,0)),"")</f>
        <v/>
      </c>
      <c r="H37" s="106" t="str">
        <f aca="false">IFERROR(INDEX(CHAMADOS_GOP!Q$2:Q$500,MATCH(28,CHAMADOS_GOP!$AD$2:$AD$500,0)),"")</f>
        <v/>
      </c>
      <c r="I37" s="107" t="str">
        <f aca="false">IFERROR(INDEX(CHAMADOS_GOP!R$2:R$500,MATCH(28,CHAMADOS_GOP!$AD$2:$AD$500,0)),"")</f>
        <v/>
      </c>
      <c r="J37" s="108" t="str">
        <f aca="false">IFERROR(INDEX(CHAMADOS_GOP!S$2:S$500,MATCH(28,CHAMADOS_GOP!$AD$2:$AD$500,0)),"")</f>
        <v/>
      </c>
    </row>
    <row r="38" customFormat="false" ht="18" hidden="false" customHeight="true" outlineLevel="0" collapsed="false">
      <c r="A38" s="103" t="str">
        <f aca="false">IFERROR(INDEX(CHAMADOS_GOP!B$2:B$500,MATCH(29,CHAMADOS_GOP!$AD$2:$AD$500,0)),"")</f>
        <v/>
      </c>
      <c r="B38" s="103" t="str">
        <f aca="false">IFERROR(INDEX(CHAMADOS_GOP!C$2:C$500,MATCH(29,CHAMADOS_GOP!$AD$2:$AD$500,0)),"")</f>
        <v/>
      </c>
      <c r="C38" s="103" t="str">
        <f aca="false">IFERROR(INDEX(CHAMADOS_GOP!D$2:D$500,MATCH(29,CHAMADOS_GOP!$AD$2:$AD$500,0)),"")</f>
        <v/>
      </c>
      <c r="D38" s="103" t="str">
        <f aca="false">IFERROR(INDEX(CHAMADOS_GOP!E$2:E$500,MATCH(29,CHAMADOS_GOP!$AD$2:$AD$500,0)),"")</f>
        <v/>
      </c>
      <c r="E38" s="103" t="str">
        <f aca="false">IFERROR(INDEX(CHAMADOS_GOP!F$2:F$500,MATCH(29,CHAMADOS_GOP!$AD$2:$AD$500,0)),"")</f>
        <v/>
      </c>
      <c r="F38" s="103" t="str">
        <f aca="false">IFERROR(INDEX(CHAMADOS_GOP!O$2:O$500,MATCH(29,CHAMADOS_GOP!$AD$2:$AD$500,0)),"")</f>
        <v/>
      </c>
      <c r="G38" s="103" t="str">
        <f aca="false">IFERROR(INDEX(CHAMADOS_GOP!P$2:P$500,MATCH(29,CHAMADOS_GOP!$AD$2:$AD$500,0)),"")</f>
        <v/>
      </c>
      <c r="H38" s="103" t="str">
        <f aca="false">IFERROR(INDEX(CHAMADOS_GOP!Q$2:Q$500,MATCH(29,CHAMADOS_GOP!$AD$2:$AD$500,0)),"")</f>
        <v/>
      </c>
      <c r="I38" s="104" t="str">
        <f aca="false">IFERROR(INDEX(CHAMADOS_GOP!R$2:R$500,MATCH(29,CHAMADOS_GOP!$AD$2:$AD$500,0)),"")</f>
        <v/>
      </c>
      <c r="J38" s="105" t="str">
        <f aca="false">IFERROR(INDEX(CHAMADOS_GOP!S$2:S$500,MATCH(29,CHAMADOS_GOP!$AD$2:$AD$500,0)),"")</f>
        <v/>
      </c>
    </row>
    <row r="39" customFormat="false" ht="18" hidden="false" customHeight="true" outlineLevel="0" collapsed="false">
      <c r="A39" s="106" t="str">
        <f aca="false">IFERROR(INDEX(CHAMADOS_GOP!B$2:B$500,MATCH(30,CHAMADOS_GOP!$AD$2:$AD$500,0)),"")</f>
        <v/>
      </c>
      <c r="B39" s="106" t="str">
        <f aca="false">IFERROR(INDEX(CHAMADOS_GOP!C$2:C$500,MATCH(30,CHAMADOS_GOP!$AD$2:$AD$500,0)),"")</f>
        <v/>
      </c>
      <c r="C39" s="106" t="str">
        <f aca="false">IFERROR(INDEX(CHAMADOS_GOP!D$2:D$500,MATCH(30,CHAMADOS_GOP!$AD$2:$AD$500,0)),"")</f>
        <v/>
      </c>
      <c r="D39" s="106" t="str">
        <f aca="false">IFERROR(INDEX(CHAMADOS_GOP!E$2:E$500,MATCH(30,CHAMADOS_GOP!$AD$2:$AD$500,0)),"")</f>
        <v/>
      </c>
      <c r="E39" s="106" t="str">
        <f aca="false">IFERROR(INDEX(CHAMADOS_GOP!F$2:F$500,MATCH(30,CHAMADOS_GOP!$AD$2:$AD$500,0)),"")</f>
        <v/>
      </c>
      <c r="F39" s="106" t="str">
        <f aca="false">IFERROR(INDEX(CHAMADOS_GOP!O$2:O$500,MATCH(30,CHAMADOS_GOP!$AD$2:$AD$500,0)),"")</f>
        <v/>
      </c>
      <c r="G39" s="106" t="str">
        <f aca="false">IFERROR(INDEX(CHAMADOS_GOP!P$2:P$500,MATCH(30,CHAMADOS_GOP!$AD$2:$AD$500,0)),"")</f>
        <v/>
      </c>
      <c r="H39" s="106" t="str">
        <f aca="false">IFERROR(INDEX(CHAMADOS_GOP!Q$2:Q$500,MATCH(30,CHAMADOS_GOP!$AD$2:$AD$500,0)),"")</f>
        <v/>
      </c>
      <c r="I39" s="107" t="str">
        <f aca="false">IFERROR(INDEX(CHAMADOS_GOP!R$2:R$500,MATCH(30,CHAMADOS_GOP!$AD$2:$AD$500,0)),"")</f>
        <v/>
      </c>
      <c r="J39" s="108" t="str">
        <f aca="false">IFERROR(INDEX(CHAMADOS_GOP!S$2:S$500,MATCH(30,CHAMADOS_GOP!$AD$2:$AD$500,0)),"")</f>
        <v/>
      </c>
    </row>
    <row r="40" customFormat="false" ht="18" hidden="false" customHeight="true" outlineLevel="0" collapsed="false">
      <c r="A40" s="103" t="str">
        <f aca="false">IFERROR(INDEX(CHAMADOS_GOP!B$2:B$500,MATCH(31,CHAMADOS_GOP!$AD$2:$AD$500,0)),"")</f>
        <v/>
      </c>
      <c r="B40" s="103" t="str">
        <f aca="false">IFERROR(INDEX(CHAMADOS_GOP!C$2:C$500,MATCH(31,CHAMADOS_GOP!$AD$2:$AD$500,0)),"")</f>
        <v/>
      </c>
      <c r="C40" s="103" t="str">
        <f aca="false">IFERROR(INDEX(CHAMADOS_GOP!D$2:D$500,MATCH(31,CHAMADOS_GOP!$AD$2:$AD$500,0)),"")</f>
        <v/>
      </c>
      <c r="D40" s="103" t="str">
        <f aca="false">IFERROR(INDEX(CHAMADOS_GOP!E$2:E$500,MATCH(31,CHAMADOS_GOP!$AD$2:$AD$500,0)),"")</f>
        <v/>
      </c>
      <c r="E40" s="103" t="str">
        <f aca="false">IFERROR(INDEX(CHAMADOS_GOP!F$2:F$500,MATCH(31,CHAMADOS_GOP!$AD$2:$AD$500,0)),"")</f>
        <v/>
      </c>
      <c r="F40" s="103" t="str">
        <f aca="false">IFERROR(INDEX(CHAMADOS_GOP!O$2:O$500,MATCH(31,CHAMADOS_GOP!$AD$2:$AD$500,0)),"")</f>
        <v/>
      </c>
      <c r="G40" s="103" t="str">
        <f aca="false">IFERROR(INDEX(CHAMADOS_GOP!P$2:P$500,MATCH(31,CHAMADOS_GOP!$AD$2:$AD$500,0)),"")</f>
        <v/>
      </c>
      <c r="H40" s="103" t="str">
        <f aca="false">IFERROR(INDEX(CHAMADOS_GOP!Q$2:Q$500,MATCH(31,CHAMADOS_GOP!$AD$2:$AD$500,0)),"")</f>
        <v/>
      </c>
      <c r="I40" s="104" t="str">
        <f aca="false">IFERROR(INDEX(CHAMADOS_GOP!R$2:R$500,MATCH(31,CHAMADOS_GOP!$AD$2:$AD$500,0)),"")</f>
        <v/>
      </c>
      <c r="J40" s="105" t="str">
        <f aca="false">IFERROR(INDEX(CHAMADOS_GOP!S$2:S$500,MATCH(31,CHAMADOS_GOP!$AD$2:$AD$500,0)),"")</f>
        <v/>
      </c>
    </row>
    <row r="41" customFormat="false" ht="18" hidden="false" customHeight="true" outlineLevel="0" collapsed="false">
      <c r="A41" s="106" t="str">
        <f aca="false">IFERROR(INDEX(CHAMADOS_GOP!B$2:B$500,MATCH(32,CHAMADOS_GOP!$AD$2:$AD$500,0)),"")</f>
        <v/>
      </c>
      <c r="B41" s="106" t="str">
        <f aca="false">IFERROR(INDEX(CHAMADOS_GOP!C$2:C$500,MATCH(32,CHAMADOS_GOP!$AD$2:$AD$500,0)),"")</f>
        <v/>
      </c>
      <c r="C41" s="106" t="str">
        <f aca="false">IFERROR(INDEX(CHAMADOS_GOP!D$2:D$500,MATCH(32,CHAMADOS_GOP!$AD$2:$AD$500,0)),"")</f>
        <v/>
      </c>
      <c r="D41" s="106" t="str">
        <f aca="false">IFERROR(INDEX(CHAMADOS_GOP!E$2:E$500,MATCH(32,CHAMADOS_GOP!$AD$2:$AD$500,0)),"")</f>
        <v/>
      </c>
      <c r="E41" s="106" t="str">
        <f aca="false">IFERROR(INDEX(CHAMADOS_GOP!F$2:F$500,MATCH(32,CHAMADOS_GOP!$AD$2:$AD$500,0)),"")</f>
        <v/>
      </c>
      <c r="F41" s="106" t="str">
        <f aca="false">IFERROR(INDEX(CHAMADOS_GOP!O$2:O$500,MATCH(32,CHAMADOS_GOP!$AD$2:$AD$500,0)),"")</f>
        <v/>
      </c>
      <c r="G41" s="106" t="str">
        <f aca="false">IFERROR(INDEX(CHAMADOS_GOP!P$2:P$500,MATCH(32,CHAMADOS_GOP!$AD$2:$AD$500,0)),"")</f>
        <v/>
      </c>
      <c r="H41" s="106" t="str">
        <f aca="false">IFERROR(INDEX(CHAMADOS_GOP!Q$2:Q$500,MATCH(32,CHAMADOS_GOP!$AD$2:$AD$500,0)),"")</f>
        <v/>
      </c>
      <c r="I41" s="107" t="str">
        <f aca="false">IFERROR(INDEX(CHAMADOS_GOP!R$2:R$500,MATCH(32,CHAMADOS_GOP!$AD$2:$AD$500,0)),"")</f>
        <v/>
      </c>
      <c r="J41" s="108" t="str">
        <f aca="false">IFERROR(INDEX(CHAMADOS_GOP!S$2:S$500,MATCH(32,CHAMADOS_GOP!$AD$2:$AD$500,0)),"")</f>
        <v/>
      </c>
    </row>
    <row r="42" customFormat="false" ht="18" hidden="false" customHeight="true" outlineLevel="0" collapsed="false">
      <c r="A42" s="103" t="str">
        <f aca="false">IFERROR(INDEX(CHAMADOS_GOP!B$2:B$500,MATCH(33,CHAMADOS_GOP!$AD$2:$AD$500,0)),"")</f>
        <v/>
      </c>
      <c r="B42" s="103" t="str">
        <f aca="false">IFERROR(INDEX(CHAMADOS_GOP!C$2:C$500,MATCH(33,CHAMADOS_GOP!$AD$2:$AD$500,0)),"")</f>
        <v/>
      </c>
      <c r="C42" s="103" t="str">
        <f aca="false">IFERROR(INDEX(CHAMADOS_GOP!D$2:D$500,MATCH(33,CHAMADOS_GOP!$AD$2:$AD$500,0)),"")</f>
        <v/>
      </c>
      <c r="D42" s="103" t="str">
        <f aca="false">IFERROR(INDEX(CHAMADOS_GOP!E$2:E$500,MATCH(33,CHAMADOS_GOP!$AD$2:$AD$500,0)),"")</f>
        <v/>
      </c>
      <c r="E42" s="103" t="str">
        <f aca="false">IFERROR(INDEX(CHAMADOS_GOP!F$2:F$500,MATCH(33,CHAMADOS_GOP!$AD$2:$AD$500,0)),"")</f>
        <v/>
      </c>
      <c r="F42" s="103" t="str">
        <f aca="false">IFERROR(INDEX(CHAMADOS_GOP!O$2:O$500,MATCH(33,CHAMADOS_GOP!$AD$2:$AD$500,0)),"")</f>
        <v/>
      </c>
      <c r="G42" s="103" t="str">
        <f aca="false">IFERROR(INDEX(CHAMADOS_GOP!P$2:P$500,MATCH(33,CHAMADOS_GOP!$AD$2:$AD$500,0)),"")</f>
        <v/>
      </c>
      <c r="H42" s="103" t="str">
        <f aca="false">IFERROR(INDEX(CHAMADOS_GOP!Q$2:Q$500,MATCH(33,CHAMADOS_GOP!$AD$2:$AD$500,0)),"")</f>
        <v/>
      </c>
      <c r="I42" s="104" t="str">
        <f aca="false">IFERROR(INDEX(CHAMADOS_GOP!R$2:R$500,MATCH(33,CHAMADOS_GOP!$AD$2:$AD$500,0)),"")</f>
        <v/>
      </c>
      <c r="J42" s="105" t="str">
        <f aca="false">IFERROR(INDEX(CHAMADOS_GOP!S$2:S$500,MATCH(33,CHAMADOS_GOP!$AD$2:$AD$500,0)),"")</f>
        <v/>
      </c>
    </row>
    <row r="43" customFormat="false" ht="18" hidden="false" customHeight="true" outlineLevel="0" collapsed="false">
      <c r="A43" s="106" t="str">
        <f aca="false">IFERROR(INDEX(CHAMADOS_GOP!B$2:B$500,MATCH(34,CHAMADOS_GOP!$AD$2:$AD$500,0)),"")</f>
        <v/>
      </c>
      <c r="B43" s="106" t="str">
        <f aca="false">IFERROR(INDEX(CHAMADOS_GOP!C$2:C$500,MATCH(34,CHAMADOS_GOP!$AD$2:$AD$500,0)),"")</f>
        <v/>
      </c>
      <c r="C43" s="106" t="str">
        <f aca="false">IFERROR(INDEX(CHAMADOS_GOP!D$2:D$500,MATCH(34,CHAMADOS_GOP!$AD$2:$AD$500,0)),"")</f>
        <v/>
      </c>
      <c r="D43" s="106" t="str">
        <f aca="false">IFERROR(INDEX(CHAMADOS_GOP!E$2:E$500,MATCH(34,CHAMADOS_GOP!$AD$2:$AD$500,0)),"")</f>
        <v/>
      </c>
      <c r="E43" s="106" t="str">
        <f aca="false">IFERROR(INDEX(CHAMADOS_GOP!F$2:F$500,MATCH(34,CHAMADOS_GOP!$AD$2:$AD$500,0)),"")</f>
        <v/>
      </c>
      <c r="F43" s="106" t="str">
        <f aca="false">IFERROR(INDEX(CHAMADOS_GOP!O$2:O$500,MATCH(34,CHAMADOS_GOP!$AD$2:$AD$500,0)),"")</f>
        <v/>
      </c>
      <c r="G43" s="106" t="str">
        <f aca="false">IFERROR(INDEX(CHAMADOS_GOP!P$2:P$500,MATCH(34,CHAMADOS_GOP!$AD$2:$AD$500,0)),"")</f>
        <v/>
      </c>
      <c r="H43" s="106" t="str">
        <f aca="false">IFERROR(INDEX(CHAMADOS_GOP!Q$2:Q$500,MATCH(34,CHAMADOS_GOP!$AD$2:$AD$500,0)),"")</f>
        <v/>
      </c>
      <c r="I43" s="107" t="str">
        <f aca="false">IFERROR(INDEX(CHAMADOS_GOP!R$2:R$500,MATCH(34,CHAMADOS_GOP!$AD$2:$AD$500,0)),"")</f>
        <v/>
      </c>
      <c r="J43" s="108" t="str">
        <f aca="false">IFERROR(INDEX(CHAMADOS_GOP!S$2:S$500,MATCH(34,CHAMADOS_GOP!$AD$2:$AD$500,0)),"")</f>
        <v/>
      </c>
    </row>
    <row r="44" customFormat="false" ht="18" hidden="false" customHeight="true" outlineLevel="0" collapsed="false">
      <c r="A44" s="103" t="str">
        <f aca="false">IFERROR(INDEX(CHAMADOS_GOP!B$2:B$500,MATCH(35,CHAMADOS_GOP!$AD$2:$AD$500,0)),"")</f>
        <v/>
      </c>
      <c r="B44" s="103" t="str">
        <f aca="false">IFERROR(INDEX(CHAMADOS_GOP!C$2:C$500,MATCH(35,CHAMADOS_GOP!$AD$2:$AD$500,0)),"")</f>
        <v/>
      </c>
      <c r="C44" s="103" t="str">
        <f aca="false">IFERROR(INDEX(CHAMADOS_GOP!D$2:D$500,MATCH(35,CHAMADOS_GOP!$AD$2:$AD$500,0)),"")</f>
        <v/>
      </c>
      <c r="D44" s="103" t="str">
        <f aca="false">IFERROR(INDEX(CHAMADOS_GOP!E$2:E$500,MATCH(35,CHAMADOS_GOP!$AD$2:$AD$500,0)),"")</f>
        <v/>
      </c>
      <c r="E44" s="103" t="str">
        <f aca="false">IFERROR(INDEX(CHAMADOS_GOP!F$2:F$500,MATCH(35,CHAMADOS_GOP!$AD$2:$AD$500,0)),"")</f>
        <v/>
      </c>
      <c r="F44" s="103" t="str">
        <f aca="false">IFERROR(INDEX(CHAMADOS_GOP!O$2:O$500,MATCH(35,CHAMADOS_GOP!$AD$2:$AD$500,0)),"")</f>
        <v/>
      </c>
      <c r="G44" s="103" t="str">
        <f aca="false">IFERROR(INDEX(CHAMADOS_GOP!P$2:P$500,MATCH(35,CHAMADOS_GOP!$AD$2:$AD$500,0)),"")</f>
        <v/>
      </c>
      <c r="H44" s="103" t="str">
        <f aca="false">IFERROR(INDEX(CHAMADOS_GOP!Q$2:Q$500,MATCH(35,CHAMADOS_GOP!$AD$2:$AD$500,0)),"")</f>
        <v/>
      </c>
      <c r="I44" s="104" t="str">
        <f aca="false">IFERROR(INDEX(CHAMADOS_GOP!R$2:R$500,MATCH(35,CHAMADOS_GOP!$AD$2:$AD$500,0)),"")</f>
        <v/>
      </c>
      <c r="J44" s="105" t="str">
        <f aca="false">IFERROR(INDEX(CHAMADOS_GOP!S$2:S$500,MATCH(35,CHAMADOS_GOP!$AD$2:$AD$500,0)),"")</f>
        <v/>
      </c>
    </row>
    <row r="45" customFormat="false" ht="16.5" hidden="false" customHeight="true" outlineLevel="0" collapsed="false">
      <c r="A45" s="106"/>
      <c r="B45" s="106"/>
      <c r="C45" s="106"/>
      <c r="D45" s="106"/>
      <c r="E45" s="106"/>
      <c r="F45" s="106"/>
      <c r="G45" s="106"/>
      <c r="H45" s="106"/>
      <c r="I45" s="107"/>
      <c r="J45" s="108"/>
    </row>
    <row r="46" customFormat="false" ht="16.5" hidden="false" customHeight="true" outlineLevel="0" collapsed="false">
      <c r="A46" s="103"/>
      <c r="B46" s="103"/>
      <c r="C46" s="103"/>
      <c r="D46" s="103"/>
      <c r="E46" s="103"/>
      <c r="F46" s="103"/>
      <c r="G46" s="103"/>
      <c r="H46" s="103"/>
      <c r="I46" s="104"/>
      <c r="J46" s="105"/>
    </row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  <row r="50" customFormat="false" ht="16.5" hidden="false" customHeight="true" outlineLevel="0" collapsed="false"/>
    <row r="51" customFormat="false" ht="16.5" hidden="false" customHeight="true" outlineLevel="0" collapsed="false"/>
    <row r="52" customFormat="false" ht="16.5" hidden="false" customHeight="true" outlineLevel="0" collapsed="false"/>
    <row r="53" customFormat="false" ht="16.5" hidden="false" customHeight="true" outlineLevel="0" collapsed="false"/>
    <row r="54" customFormat="false" ht="16.5" hidden="false" customHeight="true" outlineLevel="0" collapsed="false"/>
    <row r="55" customFormat="false" ht="16.5" hidden="false" customHeight="true" outlineLevel="0" collapsed="false"/>
    <row r="56" customFormat="false" ht="16.5" hidden="false" customHeight="true" outlineLevel="0" collapsed="false"/>
    <row r="57" customFormat="false" ht="16.5" hidden="false" customHeight="true" outlineLevel="0" collapsed="false"/>
    <row r="58" customFormat="false" ht="16.5" hidden="false" customHeight="true" outlineLevel="0" collapsed="false"/>
    <row r="59" customFormat="false" ht="16.5" hidden="false" customHeight="true" outlineLevel="0" collapsed="false"/>
    <row r="60" customFormat="false" ht="16.5" hidden="false" customHeight="true" outlineLevel="0" collapsed="false"/>
    <row r="61" customFormat="false" ht="16.5" hidden="false" customHeight="true" outlineLevel="0" collapsed="false"/>
    <row r="62" customFormat="false" ht="16.5" hidden="false" customHeight="true" outlineLevel="0" collapsed="false"/>
    <row r="63" customFormat="false" ht="16.5" hidden="false" customHeight="true" outlineLevel="0" collapsed="false"/>
    <row r="64" customFormat="false" ht="16.5" hidden="false" customHeight="true" outlineLevel="0" collapsed="false"/>
    <row r="65" customFormat="false" ht="16.5" hidden="false" customHeight="true" outlineLevel="0" collapsed="false"/>
    <row r="66" customFormat="false" ht="16.5" hidden="false" customHeight="true" outlineLevel="0" collapsed="false"/>
    <row r="67" customFormat="false" ht="16.5" hidden="false" customHeight="true" outlineLevel="0" collapsed="false"/>
    <row r="68" customFormat="false" ht="16.5" hidden="false" customHeight="true" outlineLevel="0" collapsed="false"/>
    <row r="69" customFormat="false" ht="16.5" hidden="false" customHeight="true" outlineLevel="0" collapsed="false"/>
    <row r="70" customFormat="false" ht="16.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83" customFormat="false" ht="16.5" hidden="false" customHeight="true" outlineLevel="0" collapsed="false"/>
    <row r="84" customFormat="false" ht="16.5" hidden="false" customHeight="true" outlineLevel="0" collapsed="false"/>
    <row r="85" customFormat="false" ht="16.5" hidden="false" customHeight="true" outlineLevel="0" collapsed="false"/>
    <row r="86" customFormat="false" ht="16.5" hidden="false" customHeight="true" outlineLevel="0" collapsed="false"/>
    <row r="87" customFormat="false" ht="16.5" hidden="false" customHeight="true" outlineLevel="0" collapsed="false"/>
    <row r="88" customFormat="false" ht="16.5" hidden="false" customHeight="true" outlineLevel="0" collapsed="false"/>
    <row r="89" customFormat="false" ht="16.5" hidden="false" customHeight="true" outlineLevel="0" collapsed="false"/>
    <row r="90" customFormat="false" ht="16.5" hidden="false" customHeight="true" outlineLevel="0" collapsed="false"/>
    <row r="91" customFormat="false" ht="16.5" hidden="false" customHeight="true" outlineLevel="0" collapsed="false"/>
    <row r="92" customFormat="false" ht="16.5" hidden="false" customHeight="true" outlineLevel="0" collapsed="false"/>
    <row r="93" customFormat="false" ht="16.5" hidden="false" customHeight="true" outlineLevel="0" collapsed="false"/>
    <row r="94" customFormat="false" ht="16.5" hidden="false" customHeight="true" outlineLevel="0" collapsed="false"/>
    <row r="95" customFormat="false" ht="16.5" hidden="false" customHeight="true" outlineLevel="0" collapsed="false"/>
    <row r="96" customFormat="false" ht="16.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  <row r="99" customFormat="false" ht="16.5" hidden="false" customHeight="true" outlineLevel="0" collapsed="false"/>
    <row r="100" customFormat="false" ht="16.5" hidden="false" customHeight="true" outlineLevel="0" collapsed="false"/>
    <row r="101" customFormat="false" ht="16.5" hidden="false" customHeight="true" outlineLevel="0" collapsed="false"/>
    <row r="102" customFormat="false" ht="16.5" hidden="false" customHeight="true" outlineLevel="0" collapsed="false"/>
    <row r="103" customFormat="false" ht="16.5" hidden="false" customHeight="true" outlineLevel="0" collapsed="false"/>
    <row r="104" customFormat="false" ht="16.5" hidden="false" customHeight="true" outlineLevel="0" collapsed="false"/>
    <row r="105" customFormat="false" ht="16.5" hidden="false" customHeight="true" outlineLevel="0" collapsed="false"/>
    <row r="106" customFormat="false" ht="16.5" hidden="false" customHeight="true" outlineLevel="0" collapsed="false"/>
    <row r="107" customFormat="false" ht="16.5" hidden="false" customHeight="true" outlineLevel="0" collapsed="false"/>
    <row r="108" customFormat="false" ht="16.5" hidden="false" customHeight="true" outlineLevel="0" collapsed="false"/>
    <row r="109" customFormat="false" ht="16.5" hidden="false" customHeight="true" outlineLevel="0" collapsed="false"/>
    <row r="110" customFormat="false" ht="16.5" hidden="false" customHeight="true" outlineLevel="0" collapsed="false"/>
    <row r="111" customFormat="false" ht="16.5" hidden="false" customHeight="true" outlineLevel="0" collapsed="false"/>
    <row r="112" customFormat="false" ht="16.5" hidden="false" customHeight="true" outlineLevel="0" collapsed="false"/>
    <row r="113" customFormat="false" ht="16.5" hidden="false" customHeight="true" outlineLevel="0" collapsed="false"/>
    <row r="114" customFormat="false" ht="16.5" hidden="false" customHeight="true" outlineLevel="0" collapsed="false"/>
    <row r="115" customFormat="false" ht="16.5" hidden="false" customHeight="true" outlineLevel="0" collapsed="false"/>
    <row r="116" customFormat="false" ht="16.5" hidden="false" customHeight="true" outlineLevel="0" collapsed="false"/>
    <row r="117" customFormat="false" ht="16.5" hidden="false" customHeight="true" outlineLevel="0" collapsed="false"/>
    <row r="118" customFormat="false" ht="16.5" hidden="false" customHeight="true" outlineLevel="0" collapsed="false"/>
    <row r="119" customFormat="false" ht="16.5" hidden="false" customHeight="true" outlineLevel="0" collapsed="false"/>
    <row r="120" customFormat="false" ht="16.5" hidden="false" customHeight="true" outlineLevel="0" collapsed="false"/>
    <row r="121" customFormat="false" ht="16.5" hidden="false" customHeight="true" outlineLevel="0" collapsed="false"/>
    <row r="122" customFormat="false" ht="16.5" hidden="false" customHeight="true" outlineLevel="0" collapsed="false"/>
    <row r="123" customFormat="false" ht="16.5" hidden="false" customHeight="true" outlineLevel="0" collapsed="false"/>
    <row r="124" customFormat="false" ht="16.5" hidden="false" customHeight="true" outlineLevel="0" collapsed="false"/>
    <row r="125" customFormat="false" ht="16.5" hidden="false" customHeight="true" outlineLevel="0" collapsed="false"/>
    <row r="126" customFormat="false" ht="16.5" hidden="false" customHeight="true" outlineLevel="0" collapsed="false"/>
    <row r="127" customFormat="false" ht="16.5" hidden="false" customHeight="true" outlineLevel="0" collapsed="false"/>
    <row r="128" customFormat="false" ht="16.5" hidden="false" customHeight="true" outlineLevel="0" collapsed="false"/>
    <row r="129" customFormat="false" ht="16.5" hidden="false" customHeight="true" outlineLevel="0" collapsed="false"/>
    <row r="130" customFormat="false" ht="16.5" hidden="false" customHeight="true" outlineLevel="0" collapsed="false"/>
    <row r="131" customFormat="false" ht="16.5" hidden="false" customHeight="true" outlineLevel="0" collapsed="false"/>
    <row r="132" customFormat="false" ht="16.5" hidden="false" customHeight="true" outlineLevel="0" collapsed="false"/>
    <row r="133" customFormat="false" ht="16.5" hidden="false" customHeight="true" outlineLevel="0" collapsed="false"/>
    <row r="134" customFormat="false" ht="16.5" hidden="false" customHeight="true" outlineLevel="0" collapsed="false"/>
    <row r="135" customFormat="false" ht="16.5" hidden="false" customHeight="true" outlineLevel="0" collapsed="false"/>
    <row r="136" customFormat="false" ht="16.5" hidden="false" customHeight="true" outlineLevel="0" collapsed="false"/>
    <row r="137" customFormat="false" ht="16.5" hidden="false" customHeight="true" outlineLevel="0" collapsed="false"/>
    <row r="138" customFormat="false" ht="16.5" hidden="false" customHeight="true" outlineLevel="0" collapsed="false"/>
    <row r="139" customFormat="false" ht="16.5" hidden="false" customHeight="true" outlineLevel="0" collapsed="false"/>
    <row r="140" customFormat="false" ht="16.5" hidden="false" customHeight="true" outlineLevel="0" collapsed="false"/>
    <row r="141" customFormat="false" ht="16.5" hidden="false" customHeight="true" outlineLevel="0" collapsed="false"/>
    <row r="142" customFormat="false" ht="16.5" hidden="false" customHeight="true" outlineLevel="0" collapsed="false"/>
    <row r="143" customFormat="false" ht="16.5" hidden="false" customHeight="true" outlineLevel="0" collapsed="false"/>
    <row r="144" customFormat="false" ht="16.5" hidden="false" customHeight="true" outlineLevel="0" collapsed="false"/>
    <row r="145" customFormat="false" ht="16.5" hidden="false" customHeight="true" outlineLevel="0" collapsed="false"/>
    <row r="146" customFormat="false" ht="16.5" hidden="false" customHeight="true" outlineLevel="0" collapsed="false"/>
    <row r="147" customFormat="false" ht="16.5" hidden="false" customHeight="true" outlineLevel="0" collapsed="false"/>
    <row r="148" customFormat="false" ht="16.5" hidden="false" customHeight="true" outlineLevel="0" collapsed="false"/>
    <row r="149" customFormat="false" ht="16.5" hidden="false" customHeight="true" outlineLevel="0" collapsed="false"/>
    <row r="150" customFormat="false" ht="16.5" hidden="false" customHeight="true" outlineLevel="0" collapsed="false"/>
    <row r="151" customFormat="false" ht="16.5" hidden="false" customHeight="true" outlineLevel="0" collapsed="false"/>
    <row r="152" customFormat="false" ht="16.5" hidden="false" customHeight="true" outlineLevel="0" collapsed="false"/>
    <row r="153" customFormat="false" ht="16.5" hidden="false" customHeight="true" outlineLevel="0" collapsed="false"/>
    <row r="154" customFormat="false" ht="16.5" hidden="false" customHeight="true" outlineLevel="0" collapsed="false"/>
    <row r="155" customFormat="false" ht="16.5" hidden="false" customHeight="true" outlineLevel="0" collapsed="false"/>
    <row r="156" customFormat="false" ht="16.5" hidden="false" customHeight="true" outlineLevel="0" collapsed="false"/>
    <row r="157" customFormat="false" ht="16.5" hidden="false" customHeight="true" outlineLevel="0" collapsed="false"/>
    <row r="158" customFormat="false" ht="16.5" hidden="false" customHeight="true" outlineLevel="0" collapsed="false"/>
    <row r="159" customFormat="false" ht="16.5" hidden="false" customHeight="true" outlineLevel="0" collapsed="false"/>
    <row r="160" customFormat="false" ht="16.5" hidden="false" customHeight="true" outlineLevel="0" collapsed="false"/>
    <row r="161" customFormat="false" ht="16.5" hidden="false" customHeight="true" outlineLevel="0" collapsed="false"/>
    <row r="162" customFormat="false" ht="16.5" hidden="false" customHeight="true" outlineLevel="0" collapsed="false"/>
    <row r="163" customFormat="false" ht="16.5" hidden="false" customHeight="true" outlineLevel="0" collapsed="false"/>
    <row r="164" customFormat="false" ht="16.5" hidden="false" customHeight="true" outlineLevel="0" collapsed="false"/>
    <row r="165" customFormat="false" ht="16.5" hidden="false" customHeight="true" outlineLevel="0" collapsed="false"/>
    <row r="166" customFormat="false" ht="16.5" hidden="false" customHeight="true" outlineLevel="0" collapsed="false"/>
    <row r="167" customFormat="false" ht="16.5" hidden="false" customHeight="true" outlineLevel="0" collapsed="false"/>
    <row r="168" customFormat="false" ht="16.5" hidden="false" customHeight="true" outlineLevel="0" collapsed="false"/>
    <row r="169" customFormat="false" ht="16.5" hidden="false" customHeight="true" outlineLevel="0" collapsed="false"/>
    <row r="170" customFormat="false" ht="16.5" hidden="false" customHeight="true" outlineLevel="0" collapsed="false"/>
    <row r="171" customFormat="false" ht="16.5" hidden="false" customHeight="true" outlineLevel="0" collapsed="false"/>
    <row r="172" customFormat="false" ht="16.5" hidden="false" customHeight="true" outlineLevel="0" collapsed="false"/>
    <row r="173" customFormat="false" ht="16.5" hidden="false" customHeight="true" outlineLevel="0" collapsed="false"/>
    <row r="174" customFormat="false" ht="16.5" hidden="false" customHeight="true" outlineLevel="0" collapsed="false"/>
    <row r="175" customFormat="false" ht="16.5" hidden="false" customHeight="true" outlineLevel="0" collapsed="false"/>
    <row r="176" customFormat="false" ht="16.5" hidden="false" customHeight="true" outlineLevel="0" collapsed="false"/>
    <row r="177" customFormat="false" ht="16.5" hidden="false" customHeight="true" outlineLevel="0" collapsed="false"/>
    <row r="178" customFormat="false" ht="16.5" hidden="false" customHeight="true" outlineLevel="0" collapsed="false"/>
    <row r="179" customFormat="false" ht="16.5" hidden="false" customHeight="true" outlineLevel="0" collapsed="false"/>
    <row r="180" customFormat="false" ht="16.5" hidden="false" customHeight="true" outlineLevel="0" collapsed="false"/>
    <row r="181" customFormat="false" ht="16.5" hidden="false" customHeight="true" outlineLevel="0" collapsed="false"/>
    <row r="182" customFormat="false" ht="16.5" hidden="false" customHeight="true" outlineLevel="0" collapsed="false"/>
    <row r="183" customFormat="false" ht="16.5" hidden="false" customHeight="true" outlineLevel="0" collapsed="false"/>
    <row r="184" customFormat="false" ht="16.5" hidden="false" customHeight="true" outlineLevel="0" collapsed="false"/>
    <row r="185" customFormat="false" ht="16.5" hidden="false" customHeight="true" outlineLevel="0" collapsed="false"/>
    <row r="186" customFormat="false" ht="16.5" hidden="false" customHeight="true" outlineLevel="0" collapsed="false"/>
    <row r="187" customFormat="false" ht="16.5" hidden="false" customHeight="true" outlineLevel="0" collapsed="false"/>
    <row r="188" customFormat="false" ht="16.5" hidden="false" customHeight="true" outlineLevel="0" collapsed="false"/>
    <row r="189" customFormat="false" ht="16.5" hidden="false" customHeight="true" outlineLevel="0" collapsed="false"/>
    <row r="190" customFormat="false" ht="16.5" hidden="false" customHeight="true" outlineLevel="0" collapsed="false"/>
    <row r="191" customFormat="false" ht="16.5" hidden="false" customHeight="true" outlineLevel="0" collapsed="false"/>
    <row r="192" customFormat="false" ht="16.5" hidden="false" customHeight="true" outlineLevel="0" collapsed="false"/>
    <row r="193" customFormat="false" ht="16.5" hidden="false" customHeight="true" outlineLevel="0" collapsed="false"/>
    <row r="194" customFormat="false" ht="16.5" hidden="false" customHeight="true" outlineLevel="0" collapsed="false"/>
    <row r="195" customFormat="false" ht="16.5" hidden="false" customHeight="true" outlineLevel="0" collapsed="false"/>
    <row r="196" customFormat="false" ht="16.5" hidden="false" customHeight="true" outlineLevel="0" collapsed="false"/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5" customFormat="false" ht="16.5" hidden="false" customHeight="true" outlineLevel="0" collapsed="false"/>
    <row r="236" customFormat="false" ht="16.5" hidden="false" customHeight="true" outlineLevel="0" collapsed="false"/>
    <row r="237" customFormat="false" ht="16.5" hidden="false" customHeight="true" outlineLevel="0" collapsed="false"/>
    <row r="238" customFormat="false" ht="16.5" hidden="false" customHeight="true" outlineLevel="0" collapsed="false"/>
    <row r="239" customFormat="false" ht="16.5" hidden="false" customHeight="true" outlineLevel="0" collapsed="false"/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43" customFormat="false" ht="16.5" hidden="false" customHeight="true" outlineLevel="0" collapsed="false"/>
    <row r="244" customFormat="false" ht="16.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  <row r="250" customFormat="false" ht="16.5" hidden="false" customHeight="true" outlineLevel="0" collapsed="false"/>
    <row r="251" customFormat="false" ht="16.5" hidden="false" customHeight="true" outlineLevel="0" collapsed="false"/>
    <row r="252" customFormat="false" ht="16.5" hidden="false" customHeight="true" outlineLevel="0" collapsed="false"/>
    <row r="253" customFormat="false" ht="16.5" hidden="false" customHeight="true" outlineLevel="0" collapsed="false"/>
    <row r="254" customFormat="false" ht="16.5" hidden="false" customHeight="true" outlineLevel="0" collapsed="false"/>
    <row r="255" customFormat="false" ht="16.5" hidden="false" customHeight="true" outlineLevel="0" collapsed="false"/>
    <row r="256" customFormat="false" ht="16.5" hidden="false" customHeight="true" outlineLevel="0" collapsed="false"/>
    <row r="257" customFormat="false" ht="16.5" hidden="false" customHeight="true" outlineLevel="0" collapsed="false"/>
    <row r="258" customFormat="false" ht="16.5" hidden="false" customHeight="true" outlineLevel="0" collapsed="false"/>
    <row r="259" customFormat="false" ht="16.5" hidden="false" customHeight="true" outlineLevel="0" collapsed="false"/>
    <row r="260" customFormat="false" ht="16.5" hidden="false" customHeight="true" outlineLevel="0" collapsed="false"/>
    <row r="261" customFormat="false" ht="16.5" hidden="false" customHeight="true" outlineLevel="0" collapsed="false"/>
    <row r="262" customFormat="false" ht="16.5" hidden="false" customHeight="true" outlineLevel="0" collapsed="false"/>
    <row r="263" customFormat="false" ht="16.5" hidden="false" customHeight="true" outlineLevel="0" collapsed="false"/>
    <row r="264" customFormat="false" ht="16.5" hidden="false" customHeight="true" outlineLevel="0" collapsed="false"/>
    <row r="265" customFormat="false" ht="16.5" hidden="false" customHeight="true" outlineLevel="0" collapsed="false"/>
    <row r="266" customFormat="false" ht="16.5" hidden="false" customHeight="true" outlineLevel="0" collapsed="false"/>
    <row r="267" customFormat="false" ht="16.5" hidden="false" customHeight="true" outlineLevel="0" collapsed="false"/>
    <row r="268" customFormat="false" ht="16.5" hidden="false" customHeight="true" outlineLevel="0" collapsed="false"/>
    <row r="269" customFormat="false" ht="16.5" hidden="false" customHeight="true" outlineLevel="0" collapsed="false"/>
    <row r="270" customFormat="false" ht="16.5" hidden="false" customHeight="true" outlineLevel="0" collapsed="false"/>
    <row r="271" customFormat="false" ht="16.5" hidden="false" customHeight="true" outlineLevel="0" collapsed="false"/>
    <row r="272" customFormat="false" ht="16.5" hidden="false" customHeight="true" outlineLevel="0" collapsed="false"/>
    <row r="273" customFormat="false" ht="16.5" hidden="false" customHeight="true" outlineLevel="0" collapsed="false"/>
    <row r="274" customFormat="false" ht="16.5" hidden="false" customHeight="true" outlineLevel="0" collapsed="false"/>
    <row r="275" customFormat="false" ht="16.5" hidden="false" customHeight="true" outlineLevel="0" collapsed="false"/>
    <row r="276" customFormat="false" ht="16.5" hidden="false" customHeight="true" outlineLevel="0" collapsed="false"/>
    <row r="277" customFormat="false" ht="16.5" hidden="false" customHeight="true" outlineLevel="0" collapsed="false"/>
    <row r="278" customFormat="false" ht="16.5" hidden="false" customHeight="true" outlineLevel="0" collapsed="false"/>
    <row r="279" customFormat="false" ht="16.5" hidden="false" customHeight="true" outlineLevel="0" collapsed="false"/>
    <row r="280" customFormat="false" ht="16.5" hidden="false" customHeight="true" outlineLevel="0" collapsed="false"/>
    <row r="281" customFormat="false" ht="16.5" hidden="false" customHeight="true" outlineLevel="0" collapsed="false"/>
    <row r="282" customFormat="false" ht="16.5" hidden="false" customHeight="true" outlineLevel="0" collapsed="false"/>
    <row r="283" customFormat="false" ht="16.5" hidden="false" customHeight="true" outlineLevel="0" collapsed="false"/>
    <row r="284" customFormat="false" ht="16.5" hidden="false" customHeight="true" outlineLevel="0" collapsed="false"/>
    <row r="285" customFormat="false" ht="16.5" hidden="false" customHeight="true" outlineLevel="0" collapsed="false"/>
    <row r="286" customFormat="false" ht="16.5" hidden="false" customHeight="true" outlineLevel="0" collapsed="false"/>
    <row r="287" customFormat="false" ht="16.5" hidden="false" customHeight="true" outlineLevel="0" collapsed="false"/>
    <row r="288" customFormat="false" ht="16.5" hidden="false" customHeight="true" outlineLevel="0" collapsed="false"/>
    <row r="289" customFormat="false" ht="16.5" hidden="false" customHeight="true" outlineLevel="0" collapsed="false"/>
    <row r="290" customFormat="false" ht="16.5" hidden="false" customHeight="true" outlineLevel="0" collapsed="false"/>
    <row r="291" customFormat="false" ht="16.5" hidden="false" customHeight="true" outlineLevel="0" collapsed="false"/>
    <row r="292" customFormat="false" ht="16.5" hidden="false" customHeight="true" outlineLevel="0" collapsed="false"/>
    <row r="293" customFormat="false" ht="16.5" hidden="false" customHeight="true" outlineLevel="0" collapsed="false"/>
    <row r="294" customFormat="false" ht="16.5" hidden="false" customHeight="true" outlineLevel="0" collapsed="false"/>
    <row r="295" customFormat="false" ht="16.5" hidden="false" customHeight="true" outlineLevel="0" collapsed="false"/>
    <row r="296" customFormat="false" ht="16.5" hidden="false" customHeight="true" outlineLevel="0" collapsed="false"/>
    <row r="297" customFormat="false" ht="16.5" hidden="false" customHeight="true" outlineLevel="0" collapsed="false"/>
    <row r="298" customFormat="false" ht="16.5" hidden="false" customHeight="true" outlineLevel="0" collapsed="false"/>
    <row r="299" customFormat="false" ht="16.5" hidden="false" customHeight="true" outlineLevel="0" collapsed="false"/>
    <row r="300" customFormat="false" ht="16.5" hidden="false" customHeight="true" outlineLevel="0" collapsed="false"/>
    <row r="301" customFormat="false" ht="16.5" hidden="false" customHeight="true" outlineLevel="0" collapsed="false"/>
    <row r="302" customFormat="false" ht="16.5" hidden="false" customHeight="true" outlineLevel="0" collapsed="false"/>
    <row r="303" customFormat="false" ht="16.5" hidden="false" customHeight="true" outlineLevel="0" collapsed="false"/>
    <row r="304" customFormat="false" ht="16.5" hidden="false" customHeight="true" outlineLevel="0" collapsed="false"/>
    <row r="305" customFormat="false" ht="16.5" hidden="false" customHeight="true" outlineLevel="0" collapsed="false"/>
    <row r="306" customFormat="false" ht="16.5" hidden="false" customHeight="true" outlineLevel="0" collapsed="false"/>
    <row r="307" customFormat="false" ht="16.5" hidden="false" customHeight="true" outlineLevel="0" collapsed="false"/>
    <row r="308" customFormat="false" ht="16.5" hidden="false" customHeight="true" outlineLevel="0" collapsed="false"/>
    <row r="309" customFormat="false" ht="16.5" hidden="false" customHeight="true" outlineLevel="0" collapsed="false"/>
    <row r="310" customFormat="false" ht="16.5" hidden="false" customHeight="true" outlineLevel="0" collapsed="false"/>
    <row r="311" customFormat="false" ht="16.5" hidden="false" customHeight="true" outlineLevel="0" collapsed="false"/>
    <row r="312" customFormat="false" ht="16.5" hidden="false" customHeight="true" outlineLevel="0" collapsed="false"/>
    <row r="313" customFormat="false" ht="16.5" hidden="false" customHeight="true" outlineLevel="0" collapsed="false"/>
    <row r="314" customFormat="false" ht="16.5" hidden="false" customHeight="true" outlineLevel="0" collapsed="false"/>
    <row r="315" customFormat="false" ht="16.5" hidden="false" customHeight="true" outlineLevel="0" collapsed="false"/>
    <row r="316" customFormat="false" ht="16.5" hidden="false" customHeight="true" outlineLevel="0" collapsed="false"/>
    <row r="317" customFormat="false" ht="16.5" hidden="false" customHeight="true" outlineLevel="0" collapsed="false"/>
    <row r="318" customFormat="false" ht="16.5" hidden="false" customHeight="true" outlineLevel="0" collapsed="false"/>
    <row r="319" customFormat="false" ht="16.5" hidden="false" customHeight="true" outlineLevel="0" collapsed="false"/>
    <row r="320" customFormat="false" ht="16.5" hidden="false" customHeight="true" outlineLevel="0" collapsed="false"/>
    <row r="321" customFormat="false" ht="16.5" hidden="false" customHeight="true" outlineLevel="0" collapsed="false"/>
    <row r="322" customFormat="false" ht="16.5" hidden="false" customHeight="true" outlineLevel="0" collapsed="false"/>
    <row r="323" customFormat="false" ht="16.5" hidden="false" customHeight="true" outlineLevel="0" collapsed="false"/>
    <row r="324" customFormat="false" ht="16.5" hidden="false" customHeight="true" outlineLevel="0" collapsed="false"/>
    <row r="325" customFormat="false" ht="16.5" hidden="false" customHeight="true" outlineLevel="0" collapsed="false"/>
    <row r="326" customFormat="false" ht="16.5" hidden="false" customHeight="true" outlineLevel="0" collapsed="false"/>
    <row r="327" customFormat="false" ht="16.5" hidden="false" customHeight="true" outlineLevel="0" collapsed="false"/>
    <row r="328" customFormat="false" ht="16.5" hidden="false" customHeight="true" outlineLevel="0" collapsed="false"/>
    <row r="329" customFormat="false" ht="16.5" hidden="false" customHeight="true" outlineLevel="0" collapsed="false"/>
    <row r="330" customFormat="false" ht="16.5" hidden="false" customHeight="true" outlineLevel="0" collapsed="false"/>
    <row r="331" customFormat="false" ht="16.5" hidden="false" customHeight="true" outlineLevel="0" collapsed="false"/>
    <row r="332" customFormat="false" ht="16.5" hidden="false" customHeight="true" outlineLevel="0" collapsed="false"/>
    <row r="333" customFormat="false" ht="16.5" hidden="false" customHeight="true" outlineLevel="0" collapsed="false"/>
    <row r="334" customFormat="false" ht="16.5" hidden="false" customHeight="true" outlineLevel="0" collapsed="false"/>
    <row r="335" customFormat="false" ht="16.5" hidden="false" customHeight="true" outlineLevel="0" collapsed="false"/>
    <row r="336" customFormat="false" ht="16.5" hidden="false" customHeight="true" outlineLevel="0" collapsed="false"/>
    <row r="337" customFormat="false" ht="16.5" hidden="false" customHeight="true" outlineLevel="0" collapsed="false"/>
    <row r="338" customFormat="false" ht="16.5" hidden="false" customHeight="true" outlineLevel="0" collapsed="false"/>
    <row r="339" customFormat="false" ht="16.5" hidden="false" customHeight="true" outlineLevel="0" collapsed="false"/>
    <row r="340" customFormat="false" ht="16.5" hidden="false" customHeight="true" outlineLevel="0" collapsed="false"/>
    <row r="341" customFormat="false" ht="16.5" hidden="false" customHeight="true" outlineLevel="0" collapsed="false"/>
    <row r="342" customFormat="false" ht="16.5" hidden="false" customHeight="true" outlineLevel="0" collapsed="false"/>
    <row r="343" customFormat="false" ht="16.5" hidden="false" customHeight="true" outlineLevel="0" collapsed="false"/>
    <row r="344" customFormat="false" ht="16.5" hidden="false" customHeight="true" outlineLevel="0" collapsed="false"/>
    <row r="345" customFormat="false" ht="16.5" hidden="false" customHeight="true" outlineLevel="0" collapsed="false"/>
    <row r="346" customFormat="false" ht="16.5" hidden="false" customHeight="true" outlineLevel="0" collapsed="false"/>
    <row r="347" customFormat="false" ht="16.5" hidden="false" customHeight="true" outlineLevel="0" collapsed="false"/>
    <row r="348" customFormat="false" ht="16.5" hidden="false" customHeight="true" outlineLevel="0" collapsed="false"/>
    <row r="349" customFormat="false" ht="16.5" hidden="false" customHeight="true" outlineLevel="0" collapsed="false"/>
    <row r="350" customFormat="false" ht="16.5" hidden="false" customHeight="true" outlineLevel="0" collapsed="false"/>
    <row r="351" customFormat="false" ht="16.5" hidden="false" customHeight="true" outlineLevel="0" collapsed="false"/>
    <row r="352" customFormat="false" ht="16.5" hidden="false" customHeight="true" outlineLevel="0" collapsed="false"/>
    <row r="353" customFormat="false" ht="16.5" hidden="false" customHeight="true" outlineLevel="0" collapsed="false"/>
    <row r="354" customFormat="false" ht="16.5" hidden="false" customHeight="true" outlineLevel="0" collapsed="false"/>
    <row r="355" customFormat="false" ht="16.5" hidden="false" customHeight="true" outlineLevel="0" collapsed="false"/>
    <row r="356" customFormat="false" ht="16.5" hidden="false" customHeight="true" outlineLevel="0" collapsed="false"/>
    <row r="357" customFormat="false" ht="16.5" hidden="false" customHeight="true" outlineLevel="0" collapsed="false"/>
    <row r="358" customFormat="false" ht="16.5" hidden="false" customHeight="true" outlineLevel="0" collapsed="false"/>
    <row r="359" customFormat="false" ht="16.5" hidden="false" customHeight="true" outlineLevel="0" collapsed="false"/>
    <row r="360" customFormat="false" ht="16.5" hidden="false" customHeight="true" outlineLevel="0" collapsed="false"/>
    <row r="361" customFormat="false" ht="16.5" hidden="false" customHeight="true" outlineLevel="0" collapsed="false"/>
    <row r="362" customFormat="false" ht="16.5" hidden="false" customHeight="true" outlineLevel="0" collapsed="false"/>
    <row r="363" customFormat="false" ht="16.5" hidden="false" customHeight="true" outlineLevel="0" collapsed="false"/>
    <row r="364" customFormat="false" ht="16.5" hidden="false" customHeight="true" outlineLevel="0" collapsed="false"/>
    <row r="365" customFormat="false" ht="16.5" hidden="false" customHeight="true" outlineLevel="0" collapsed="false"/>
    <row r="366" customFormat="false" ht="16.5" hidden="false" customHeight="true" outlineLevel="0" collapsed="false"/>
    <row r="367" customFormat="false" ht="16.5" hidden="false" customHeight="true" outlineLevel="0" collapsed="false"/>
    <row r="368" customFormat="false" ht="16.5" hidden="false" customHeight="true" outlineLevel="0" collapsed="false"/>
    <row r="369" customFormat="false" ht="16.5" hidden="false" customHeight="true" outlineLevel="0" collapsed="false"/>
    <row r="370" customFormat="false" ht="16.5" hidden="false" customHeight="true" outlineLevel="0" collapsed="false"/>
    <row r="371" customFormat="false" ht="16.5" hidden="false" customHeight="true" outlineLevel="0" collapsed="false"/>
    <row r="372" customFormat="false" ht="16.5" hidden="false" customHeight="true" outlineLevel="0" collapsed="false"/>
    <row r="373" customFormat="false" ht="16.5" hidden="false" customHeight="true" outlineLevel="0" collapsed="false"/>
    <row r="374" customFormat="false" ht="16.5" hidden="false" customHeight="true" outlineLevel="0" collapsed="false"/>
    <row r="375" customFormat="false" ht="16.5" hidden="false" customHeight="true" outlineLevel="0" collapsed="false"/>
    <row r="376" customFormat="false" ht="16.5" hidden="false" customHeight="true" outlineLevel="0" collapsed="false"/>
    <row r="377" customFormat="false" ht="16.5" hidden="false" customHeight="true" outlineLevel="0" collapsed="false"/>
    <row r="378" customFormat="false" ht="16.5" hidden="false" customHeight="true" outlineLevel="0" collapsed="false"/>
    <row r="379" customFormat="false" ht="16.5" hidden="false" customHeight="true" outlineLevel="0" collapsed="false"/>
    <row r="380" customFormat="false" ht="16.5" hidden="false" customHeight="true" outlineLevel="0" collapsed="false"/>
    <row r="381" customFormat="false" ht="16.5" hidden="false" customHeight="true" outlineLevel="0" collapsed="false"/>
    <row r="382" customFormat="false" ht="16.5" hidden="false" customHeight="true" outlineLevel="0" collapsed="false"/>
    <row r="383" customFormat="false" ht="16.5" hidden="false" customHeight="true" outlineLevel="0" collapsed="false"/>
    <row r="384" customFormat="false" ht="16.5" hidden="false" customHeight="true" outlineLevel="0" collapsed="false"/>
    <row r="385" customFormat="false" ht="16.5" hidden="false" customHeight="true" outlineLevel="0" collapsed="false"/>
    <row r="386" customFormat="false" ht="16.5" hidden="false" customHeight="true" outlineLevel="0" collapsed="false"/>
    <row r="387" customFormat="false" ht="16.5" hidden="false" customHeight="true" outlineLevel="0" collapsed="false"/>
    <row r="388" customFormat="false" ht="16.5" hidden="false" customHeight="true" outlineLevel="0" collapsed="false"/>
    <row r="389" customFormat="false" ht="16.5" hidden="false" customHeight="true" outlineLevel="0" collapsed="false"/>
    <row r="390" customFormat="false" ht="16.5" hidden="false" customHeight="true" outlineLevel="0" collapsed="false"/>
    <row r="391" customFormat="false" ht="16.5" hidden="false" customHeight="true" outlineLevel="0" collapsed="false"/>
    <row r="392" customFormat="false" ht="16.5" hidden="false" customHeight="true" outlineLevel="0" collapsed="false"/>
    <row r="393" customFormat="false" ht="16.5" hidden="false" customHeight="true" outlineLevel="0" collapsed="false"/>
    <row r="394" customFormat="false" ht="16.5" hidden="false" customHeight="true" outlineLevel="0" collapsed="false"/>
    <row r="395" customFormat="false" ht="16.5" hidden="false" customHeight="true" outlineLevel="0" collapsed="false"/>
    <row r="396" customFormat="false" ht="16.5" hidden="false" customHeight="true" outlineLevel="0" collapsed="false"/>
    <row r="397" customFormat="false" ht="16.5" hidden="false" customHeight="true" outlineLevel="0" collapsed="false"/>
    <row r="398" customFormat="false" ht="16.5" hidden="false" customHeight="true" outlineLevel="0" collapsed="false"/>
    <row r="399" customFormat="false" ht="16.5" hidden="false" customHeight="true" outlineLevel="0" collapsed="false"/>
    <row r="400" customFormat="false" ht="16.5" hidden="false" customHeight="true" outlineLevel="0" collapsed="false"/>
    <row r="401" customFormat="false" ht="16.5" hidden="false" customHeight="true" outlineLevel="0" collapsed="false"/>
    <row r="402" customFormat="false" ht="16.5" hidden="false" customHeight="true" outlineLevel="0" collapsed="false"/>
    <row r="403" customFormat="false" ht="16.5" hidden="false" customHeight="true" outlineLevel="0" collapsed="false"/>
    <row r="404" customFormat="false" ht="16.5" hidden="false" customHeight="true" outlineLevel="0" collapsed="false"/>
    <row r="405" customFormat="false" ht="16.5" hidden="false" customHeight="true" outlineLevel="0" collapsed="false"/>
    <row r="406" customFormat="false" ht="16.5" hidden="false" customHeight="true" outlineLevel="0" collapsed="false"/>
    <row r="407" customFormat="false" ht="16.5" hidden="false" customHeight="true" outlineLevel="0" collapsed="false"/>
    <row r="408" customFormat="false" ht="16.5" hidden="false" customHeight="true" outlineLevel="0" collapsed="false"/>
    <row r="409" customFormat="false" ht="16.5" hidden="false" customHeight="true" outlineLevel="0" collapsed="false"/>
    <row r="410" customFormat="false" ht="16.5" hidden="false" customHeight="true" outlineLevel="0" collapsed="false"/>
    <row r="411" customFormat="false" ht="16.5" hidden="false" customHeight="true" outlineLevel="0" collapsed="false"/>
    <row r="412" customFormat="false" ht="16.5" hidden="false" customHeight="true" outlineLevel="0" collapsed="false"/>
    <row r="413" customFormat="false" ht="16.5" hidden="false" customHeight="true" outlineLevel="0" collapsed="false"/>
    <row r="414" customFormat="false" ht="16.5" hidden="false" customHeight="true" outlineLevel="0" collapsed="false"/>
    <row r="415" customFormat="false" ht="16.5" hidden="false" customHeight="true" outlineLevel="0" collapsed="false"/>
    <row r="416" customFormat="false" ht="16.5" hidden="false" customHeight="true" outlineLevel="0" collapsed="false"/>
    <row r="417" customFormat="false" ht="16.5" hidden="false" customHeight="true" outlineLevel="0" collapsed="false"/>
    <row r="418" customFormat="false" ht="16.5" hidden="false" customHeight="true" outlineLevel="0" collapsed="false"/>
    <row r="419" customFormat="false" ht="16.5" hidden="false" customHeight="true" outlineLevel="0" collapsed="false"/>
    <row r="420" customFormat="false" ht="16.5" hidden="false" customHeight="true" outlineLevel="0" collapsed="false"/>
    <row r="421" customFormat="false" ht="16.5" hidden="false" customHeight="true" outlineLevel="0" collapsed="false"/>
    <row r="422" customFormat="false" ht="16.5" hidden="false" customHeight="true" outlineLevel="0" collapsed="false"/>
    <row r="423" customFormat="false" ht="16.5" hidden="false" customHeight="true" outlineLevel="0" collapsed="false"/>
    <row r="424" customFormat="false" ht="16.5" hidden="false" customHeight="true" outlineLevel="0" collapsed="false"/>
    <row r="425" customFormat="false" ht="16.5" hidden="false" customHeight="true" outlineLevel="0" collapsed="false"/>
    <row r="426" customFormat="false" ht="16.5" hidden="false" customHeight="true" outlineLevel="0" collapsed="false"/>
    <row r="427" customFormat="false" ht="16.5" hidden="false" customHeight="true" outlineLevel="0" collapsed="false"/>
    <row r="428" customFormat="false" ht="16.5" hidden="false" customHeight="true" outlineLevel="0" collapsed="false"/>
    <row r="429" customFormat="false" ht="16.5" hidden="false" customHeight="true" outlineLevel="0" collapsed="false"/>
    <row r="430" customFormat="false" ht="16.5" hidden="false" customHeight="true" outlineLevel="0" collapsed="false"/>
    <row r="431" customFormat="false" ht="16.5" hidden="false" customHeight="true" outlineLevel="0" collapsed="false"/>
    <row r="432" customFormat="false" ht="16.5" hidden="false" customHeight="true" outlineLevel="0" collapsed="false"/>
    <row r="433" customFormat="false" ht="16.5" hidden="false" customHeight="true" outlineLevel="0" collapsed="false"/>
    <row r="434" customFormat="false" ht="16.5" hidden="false" customHeight="true" outlineLevel="0" collapsed="false"/>
    <row r="435" customFormat="false" ht="16.5" hidden="false" customHeight="true" outlineLevel="0" collapsed="false"/>
    <row r="436" customFormat="false" ht="16.5" hidden="false" customHeight="true" outlineLevel="0" collapsed="false"/>
    <row r="437" customFormat="false" ht="16.5" hidden="false" customHeight="true" outlineLevel="0" collapsed="false"/>
    <row r="438" customFormat="false" ht="16.5" hidden="false" customHeight="true" outlineLevel="0" collapsed="false"/>
    <row r="439" customFormat="false" ht="16.5" hidden="false" customHeight="true" outlineLevel="0" collapsed="false"/>
    <row r="440" customFormat="false" ht="16.5" hidden="false" customHeight="true" outlineLevel="0" collapsed="false"/>
    <row r="441" customFormat="false" ht="16.5" hidden="false" customHeight="true" outlineLevel="0" collapsed="false"/>
    <row r="442" customFormat="false" ht="16.5" hidden="false" customHeight="true" outlineLevel="0" collapsed="false"/>
    <row r="443" customFormat="false" ht="16.5" hidden="false" customHeight="true" outlineLevel="0" collapsed="false"/>
    <row r="444" customFormat="false" ht="16.5" hidden="false" customHeight="true" outlineLevel="0" collapsed="false"/>
    <row r="445" customFormat="false" ht="16.5" hidden="false" customHeight="true" outlineLevel="0" collapsed="false"/>
    <row r="446" customFormat="false" ht="16.5" hidden="false" customHeight="true" outlineLevel="0" collapsed="false"/>
    <row r="447" customFormat="false" ht="16.5" hidden="false" customHeight="true" outlineLevel="0" collapsed="false"/>
    <row r="448" customFormat="false" ht="16.5" hidden="false" customHeight="true" outlineLevel="0" collapsed="false"/>
    <row r="449" customFormat="false" ht="16.5" hidden="false" customHeight="true" outlineLevel="0" collapsed="false"/>
    <row r="450" customFormat="false" ht="16.5" hidden="false" customHeight="true" outlineLevel="0" collapsed="false"/>
    <row r="451" customFormat="false" ht="16.5" hidden="false" customHeight="true" outlineLevel="0" collapsed="false"/>
    <row r="452" customFormat="false" ht="16.5" hidden="false" customHeight="true" outlineLevel="0" collapsed="false"/>
    <row r="453" customFormat="false" ht="16.5" hidden="false" customHeight="true" outlineLevel="0" collapsed="false"/>
    <row r="454" customFormat="false" ht="16.5" hidden="false" customHeight="true" outlineLevel="0" collapsed="false"/>
    <row r="455" customFormat="false" ht="16.5" hidden="false" customHeight="true" outlineLevel="0" collapsed="false"/>
    <row r="456" customFormat="false" ht="16.5" hidden="false" customHeight="true" outlineLevel="0" collapsed="false"/>
    <row r="457" customFormat="false" ht="16.5" hidden="false" customHeight="true" outlineLevel="0" collapsed="false"/>
    <row r="458" customFormat="false" ht="16.5" hidden="false" customHeight="true" outlineLevel="0" collapsed="false"/>
    <row r="459" customFormat="false" ht="16.5" hidden="false" customHeight="true" outlineLevel="0" collapsed="false"/>
    <row r="460" customFormat="false" ht="16.5" hidden="false" customHeight="true" outlineLevel="0" collapsed="false"/>
    <row r="461" customFormat="false" ht="16.5" hidden="false" customHeight="true" outlineLevel="0" collapsed="false"/>
    <row r="462" customFormat="false" ht="16.5" hidden="false" customHeight="true" outlineLevel="0" collapsed="false"/>
    <row r="463" customFormat="false" ht="16.5" hidden="false" customHeight="true" outlineLevel="0" collapsed="false"/>
    <row r="464" customFormat="false" ht="16.5" hidden="false" customHeight="true" outlineLevel="0" collapsed="false"/>
    <row r="465" customFormat="false" ht="16.5" hidden="false" customHeight="true" outlineLevel="0" collapsed="false"/>
    <row r="466" customFormat="false" ht="16.5" hidden="false" customHeight="true" outlineLevel="0" collapsed="false"/>
    <row r="467" customFormat="false" ht="16.5" hidden="false" customHeight="true" outlineLevel="0" collapsed="false"/>
    <row r="468" customFormat="false" ht="16.5" hidden="false" customHeight="true" outlineLevel="0" collapsed="false"/>
    <row r="469" customFormat="false" ht="16.5" hidden="false" customHeight="true" outlineLevel="0" collapsed="false"/>
    <row r="470" customFormat="false" ht="16.5" hidden="false" customHeight="true" outlineLevel="0" collapsed="false"/>
    <row r="471" customFormat="false" ht="16.5" hidden="false" customHeight="true" outlineLevel="0" collapsed="false"/>
    <row r="472" customFormat="false" ht="16.5" hidden="false" customHeight="true" outlineLevel="0" collapsed="false"/>
    <row r="473" customFormat="false" ht="16.5" hidden="false" customHeight="true" outlineLevel="0" collapsed="false"/>
    <row r="474" customFormat="false" ht="16.5" hidden="false" customHeight="true" outlineLevel="0" collapsed="false"/>
    <row r="475" customFormat="false" ht="16.5" hidden="false" customHeight="true" outlineLevel="0" collapsed="false"/>
    <row r="476" customFormat="false" ht="16.5" hidden="false" customHeight="true" outlineLevel="0" collapsed="false"/>
    <row r="477" customFormat="false" ht="16.5" hidden="false" customHeight="true" outlineLevel="0" collapsed="false"/>
    <row r="478" customFormat="false" ht="16.5" hidden="false" customHeight="true" outlineLevel="0" collapsed="false"/>
    <row r="479" customFormat="false" ht="16.5" hidden="false" customHeight="true" outlineLevel="0" collapsed="false"/>
    <row r="480" customFormat="false" ht="16.5" hidden="false" customHeight="true" outlineLevel="0" collapsed="false"/>
    <row r="481" customFormat="false" ht="16.5" hidden="false" customHeight="true" outlineLevel="0" collapsed="false"/>
    <row r="482" customFormat="false" ht="16.5" hidden="false" customHeight="true" outlineLevel="0" collapsed="false"/>
    <row r="483" customFormat="false" ht="16.5" hidden="false" customHeight="true" outlineLevel="0" collapsed="false"/>
    <row r="484" customFormat="false" ht="16.5" hidden="false" customHeight="true" outlineLevel="0" collapsed="false"/>
    <row r="485" customFormat="false" ht="16.5" hidden="false" customHeight="true" outlineLevel="0" collapsed="false"/>
    <row r="486" customFormat="false" ht="16.5" hidden="false" customHeight="true" outlineLevel="0" collapsed="false"/>
    <row r="487" customFormat="false" ht="16.5" hidden="false" customHeight="true" outlineLevel="0" collapsed="false"/>
    <row r="488" customFormat="false" ht="16.5" hidden="false" customHeight="true" outlineLevel="0" collapsed="false"/>
    <row r="489" customFormat="false" ht="16.5" hidden="false" customHeight="true" outlineLevel="0" collapsed="false"/>
    <row r="490" customFormat="false" ht="16.5" hidden="false" customHeight="true" outlineLevel="0" collapsed="false"/>
    <row r="491" customFormat="false" ht="16.5" hidden="false" customHeight="true" outlineLevel="0" collapsed="false"/>
    <row r="492" customFormat="false" ht="16.5" hidden="false" customHeight="true" outlineLevel="0" collapsed="false"/>
    <row r="493" customFormat="false" ht="16.5" hidden="false" customHeight="true" outlineLevel="0" collapsed="false"/>
    <row r="494" customFormat="false" ht="16.5" hidden="false" customHeight="true" outlineLevel="0" collapsed="false"/>
    <row r="495" customFormat="false" ht="16.5" hidden="false" customHeight="true" outlineLevel="0" collapsed="false"/>
    <row r="496" customFormat="false" ht="16.5" hidden="false" customHeight="true" outlineLevel="0" collapsed="false"/>
    <row r="497" customFormat="false" ht="16.5" hidden="false" customHeight="true" outlineLevel="0" collapsed="false"/>
    <row r="498" customFormat="false" ht="16.5" hidden="false" customHeight="true" outlineLevel="0" collapsed="false"/>
    <row r="499" customFormat="false" ht="16.5" hidden="false" customHeight="true" outlineLevel="0" collapsed="false"/>
    <row r="500" customFormat="false" ht="16.5" hidden="false" customHeight="true" outlineLevel="0" collapsed="false"/>
    <row r="501" customFormat="false" ht="16.5" hidden="false" customHeight="true" outlineLevel="0" collapsed="false"/>
    <row r="502" customFormat="false" ht="16.5" hidden="false" customHeight="true" outlineLevel="0" collapsed="false"/>
    <row r="503" customFormat="false" ht="16.5" hidden="false" customHeight="true" outlineLevel="0" collapsed="false"/>
    <row r="504" customFormat="false" ht="16.5" hidden="false" customHeight="true" outlineLevel="0" collapsed="false"/>
    <row r="505" customFormat="false" ht="16.5" hidden="false" customHeight="true" outlineLevel="0" collapsed="false"/>
    <row r="506" customFormat="false" ht="16.5" hidden="false" customHeight="true" outlineLevel="0" collapsed="false"/>
    <row r="507" customFormat="false" ht="16.5" hidden="false" customHeight="true" outlineLevel="0" collapsed="false"/>
    <row r="508" customFormat="false" ht="16.5" hidden="false" customHeight="true" outlineLevel="0" collapsed="false"/>
    <row r="509" customFormat="false" ht="16.5" hidden="false" customHeight="true" outlineLevel="0" collapsed="false"/>
    <row r="510" customFormat="false" ht="16.5" hidden="false" customHeight="true" outlineLevel="0" collapsed="false"/>
    <row r="511" customFormat="false" ht="16.5" hidden="false" customHeight="true" outlineLevel="0" collapsed="false"/>
    <row r="512" customFormat="false" ht="16.5" hidden="false" customHeight="true" outlineLevel="0" collapsed="false"/>
    <row r="513" customFormat="false" ht="16.5" hidden="false" customHeight="true" outlineLevel="0" collapsed="false"/>
    <row r="514" customFormat="false" ht="16.5" hidden="false" customHeight="true" outlineLevel="0" collapsed="false"/>
    <row r="515" customFormat="false" ht="16.5" hidden="false" customHeight="true" outlineLevel="0" collapsed="false"/>
    <row r="516" customFormat="false" ht="16.5" hidden="false" customHeight="true" outlineLevel="0" collapsed="false"/>
    <row r="517" customFormat="false" ht="16.5" hidden="false" customHeight="true" outlineLevel="0" collapsed="false"/>
    <row r="518" customFormat="false" ht="16.5" hidden="false" customHeight="true" outlineLevel="0" collapsed="false"/>
    <row r="519" customFormat="false" ht="16.5" hidden="false" customHeight="true" outlineLevel="0" collapsed="false"/>
    <row r="520" customFormat="false" ht="16.5" hidden="false" customHeight="true" outlineLevel="0" collapsed="false"/>
    <row r="521" customFormat="false" ht="16.5" hidden="false" customHeight="true" outlineLevel="0" collapsed="false"/>
    <row r="522" customFormat="false" ht="16.5" hidden="false" customHeight="true" outlineLevel="0" collapsed="false"/>
    <row r="523" customFormat="false" ht="16.5" hidden="false" customHeight="true" outlineLevel="0" collapsed="false"/>
    <row r="524" customFormat="false" ht="16.5" hidden="false" customHeight="true" outlineLevel="0" collapsed="false"/>
    <row r="525" customFormat="false" ht="16.5" hidden="false" customHeight="true" outlineLevel="0" collapsed="false"/>
    <row r="526" customFormat="false" ht="16.5" hidden="false" customHeight="true" outlineLevel="0" collapsed="false"/>
    <row r="527" customFormat="false" ht="16.5" hidden="false" customHeight="true" outlineLevel="0" collapsed="false"/>
    <row r="528" customFormat="false" ht="16.5" hidden="false" customHeight="true" outlineLevel="0" collapsed="false"/>
    <row r="529" customFormat="false" ht="16.5" hidden="false" customHeight="true" outlineLevel="0" collapsed="false"/>
    <row r="530" customFormat="false" ht="16.5" hidden="false" customHeight="true" outlineLevel="0" collapsed="false"/>
    <row r="531" customFormat="false" ht="16.5" hidden="false" customHeight="true" outlineLevel="0" collapsed="false"/>
    <row r="532" customFormat="false" ht="16.5" hidden="false" customHeight="true" outlineLevel="0" collapsed="false"/>
    <row r="533" customFormat="false" ht="16.5" hidden="false" customHeight="true" outlineLevel="0" collapsed="false"/>
    <row r="534" customFormat="false" ht="16.5" hidden="false" customHeight="true" outlineLevel="0" collapsed="false"/>
    <row r="535" customFormat="false" ht="16.5" hidden="false" customHeight="true" outlineLevel="0" collapsed="false"/>
    <row r="536" customFormat="false" ht="16.5" hidden="false" customHeight="true" outlineLevel="0" collapsed="false"/>
    <row r="537" customFormat="false" ht="16.5" hidden="false" customHeight="true" outlineLevel="0" collapsed="false"/>
    <row r="538" customFormat="false" ht="16.5" hidden="false" customHeight="true" outlineLevel="0" collapsed="false"/>
    <row r="539" customFormat="false" ht="16.5" hidden="false" customHeight="true" outlineLevel="0" collapsed="false"/>
    <row r="540" customFormat="false" ht="16.5" hidden="false" customHeight="true" outlineLevel="0" collapsed="false"/>
    <row r="541" customFormat="false" ht="16.5" hidden="false" customHeight="true" outlineLevel="0" collapsed="false"/>
    <row r="542" customFormat="false" ht="16.5" hidden="false" customHeight="true" outlineLevel="0" collapsed="false"/>
    <row r="543" customFormat="false" ht="16.5" hidden="false" customHeight="true" outlineLevel="0" collapsed="false"/>
    <row r="544" customFormat="false" ht="16.5" hidden="false" customHeight="true" outlineLevel="0" collapsed="false"/>
    <row r="545" customFormat="false" ht="16.5" hidden="false" customHeight="true" outlineLevel="0" collapsed="false"/>
    <row r="546" customFormat="false" ht="16.5" hidden="false" customHeight="true" outlineLevel="0" collapsed="false"/>
    <row r="547" customFormat="false" ht="16.5" hidden="false" customHeight="true" outlineLevel="0" collapsed="false"/>
    <row r="548" customFormat="false" ht="16.5" hidden="false" customHeight="true" outlineLevel="0" collapsed="false"/>
    <row r="549" customFormat="false" ht="16.5" hidden="false" customHeight="true" outlineLevel="0" collapsed="false"/>
    <row r="550" customFormat="false" ht="16.5" hidden="false" customHeight="true" outlineLevel="0" collapsed="false"/>
    <row r="551" customFormat="false" ht="16.5" hidden="false" customHeight="true" outlineLevel="0" collapsed="false"/>
    <row r="552" customFormat="false" ht="16.5" hidden="false" customHeight="true" outlineLevel="0" collapsed="false"/>
    <row r="553" customFormat="false" ht="16.5" hidden="false" customHeight="true" outlineLevel="0" collapsed="false"/>
    <row r="554" customFormat="false" ht="16.5" hidden="false" customHeight="true" outlineLevel="0" collapsed="false"/>
    <row r="555" customFormat="false" ht="16.5" hidden="false" customHeight="true" outlineLevel="0" collapsed="false"/>
    <row r="556" customFormat="false" ht="16.5" hidden="false" customHeight="true" outlineLevel="0" collapsed="false"/>
    <row r="557" customFormat="false" ht="16.5" hidden="false" customHeight="true" outlineLevel="0" collapsed="false"/>
    <row r="558" customFormat="false" ht="16.5" hidden="false" customHeight="true" outlineLevel="0" collapsed="false"/>
    <row r="559" customFormat="false" ht="16.5" hidden="false" customHeight="true" outlineLevel="0" collapsed="false"/>
    <row r="560" customFormat="false" ht="16.5" hidden="false" customHeight="true" outlineLevel="0" collapsed="false"/>
    <row r="561" customFormat="false" ht="16.5" hidden="false" customHeight="true" outlineLevel="0" collapsed="false"/>
    <row r="562" customFormat="false" ht="16.5" hidden="false" customHeight="true" outlineLevel="0" collapsed="false"/>
    <row r="563" customFormat="false" ht="16.5" hidden="false" customHeight="true" outlineLevel="0" collapsed="false"/>
    <row r="564" customFormat="false" ht="16.5" hidden="false" customHeight="true" outlineLevel="0" collapsed="false"/>
    <row r="565" customFormat="false" ht="16.5" hidden="false" customHeight="true" outlineLevel="0" collapsed="false"/>
    <row r="566" customFormat="false" ht="16.5" hidden="false" customHeight="true" outlineLevel="0" collapsed="false"/>
    <row r="567" customFormat="false" ht="16.5" hidden="false" customHeight="true" outlineLevel="0" collapsed="false"/>
    <row r="568" customFormat="false" ht="16.5" hidden="false" customHeight="true" outlineLevel="0" collapsed="false"/>
    <row r="569" customFormat="false" ht="16.5" hidden="false" customHeight="true" outlineLevel="0" collapsed="false"/>
    <row r="570" customFormat="false" ht="16.5" hidden="false" customHeight="true" outlineLevel="0" collapsed="false"/>
    <row r="571" customFormat="false" ht="16.5" hidden="false" customHeight="true" outlineLevel="0" collapsed="false"/>
    <row r="572" customFormat="false" ht="16.5" hidden="false" customHeight="true" outlineLevel="0" collapsed="false"/>
    <row r="573" customFormat="false" ht="16.5" hidden="false" customHeight="true" outlineLevel="0" collapsed="false"/>
    <row r="574" customFormat="false" ht="16.5" hidden="false" customHeight="true" outlineLevel="0" collapsed="false"/>
    <row r="575" customFormat="false" ht="16.5" hidden="false" customHeight="true" outlineLevel="0" collapsed="false"/>
    <row r="576" customFormat="false" ht="16.5" hidden="false" customHeight="true" outlineLevel="0" collapsed="false"/>
    <row r="577" customFormat="false" ht="16.5" hidden="false" customHeight="true" outlineLevel="0" collapsed="false"/>
    <row r="578" customFormat="false" ht="16.5" hidden="false" customHeight="true" outlineLevel="0" collapsed="false"/>
    <row r="579" customFormat="false" ht="16.5" hidden="false" customHeight="true" outlineLevel="0" collapsed="false"/>
    <row r="580" customFormat="false" ht="16.5" hidden="false" customHeight="true" outlineLevel="0" collapsed="false"/>
    <row r="581" customFormat="false" ht="16.5" hidden="false" customHeight="true" outlineLevel="0" collapsed="false"/>
    <row r="582" customFormat="false" ht="16.5" hidden="false" customHeight="true" outlineLevel="0" collapsed="false"/>
    <row r="583" customFormat="false" ht="16.5" hidden="false" customHeight="true" outlineLevel="0" collapsed="false"/>
    <row r="584" customFormat="false" ht="16.5" hidden="false" customHeight="true" outlineLevel="0" collapsed="false"/>
    <row r="585" customFormat="false" ht="16.5" hidden="false" customHeight="true" outlineLevel="0" collapsed="false"/>
    <row r="586" customFormat="false" ht="16.5" hidden="false" customHeight="true" outlineLevel="0" collapsed="false"/>
    <row r="587" customFormat="false" ht="16.5" hidden="false" customHeight="true" outlineLevel="0" collapsed="false"/>
    <row r="588" customFormat="false" ht="16.5" hidden="false" customHeight="true" outlineLevel="0" collapsed="false"/>
    <row r="589" customFormat="false" ht="16.5" hidden="false" customHeight="true" outlineLevel="0" collapsed="false"/>
    <row r="590" customFormat="false" ht="16.5" hidden="false" customHeight="true" outlineLevel="0" collapsed="false"/>
    <row r="591" customFormat="false" ht="16.5" hidden="false" customHeight="true" outlineLevel="0" collapsed="false"/>
    <row r="592" customFormat="false" ht="16.5" hidden="false" customHeight="true" outlineLevel="0" collapsed="false"/>
    <row r="593" customFormat="false" ht="16.5" hidden="false" customHeight="true" outlineLevel="0" collapsed="false"/>
    <row r="594" customFormat="false" ht="16.5" hidden="false" customHeight="true" outlineLevel="0" collapsed="false"/>
    <row r="595" customFormat="false" ht="16.5" hidden="false" customHeight="true" outlineLevel="0" collapsed="false"/>
    <row r="596" customFormat="false" ht="16.5" hidden="false" customHeight="true" outlineLevel="0" collapsed="false"/>
    <row r="597" customFormat="false" ht="16.5" hidden="false" customHeight="true" outlineLevel="0" collapsed="false"/>
    <row r="598" customFormat="false" ht="16.5" hidden="false" customHeight="true" outlineLevel="0" collapsed="false"/>
    <row r="599" customFormat="false" ht="16.5" hidden="false" customHeight="true" outlineLevel="0" collapsed="false"/>
    <row r="600" customFormat="false" ht="16.5" hidden="false" customHeight="true" outlineLevel="0" collapsed="false"/>
    <row r="601" customFormat="false" ht="16.5" hidden="false" customHeight="true" outlineLevel="0" collapsed="false"/>
    <row r="602" customFormat="false" ht="16.5" hidden="false" customHeight="true" outlineLevel="0" collapsed="false"/>
    <row r="603" customFormat="false" ht="16.5" hidden="false" customHeight="true" outlineLevel="0" collapsed="false"/>
    <row r="604" customFormat="false" ht="16.5" hidden="false" customHeight="true" outlineLevel="0" collapsed="false"/>
    <row r="605" customFormat="false" ht="16.5" hidden="false" customHeight="true" outlineLevel="0" collapsed="false"/>
    <row r="606" customFormat="false" ht="16.5" hidden="false" customHeight="true" outlineLevel="0" collapsed="false"/>
    <row r="607" customFormat="false" ht="16.5" hidden="false" customHeight="true" outlineLevel="0" collapsed="false"/>
    <row r="608" customFormat="false" ht="16.5" hidden="false" customHeight="true" outlineLevel="0" collapsed="false"/>
    <row r="609" customFormat="false" ht="16.5" hidden="false" customHeight="true" outlineLevel="0" collapsed="false"/>
    <row r="610" customFormat="false" ht="16.5" hidden="false" customHeight="true" outlineLevel="0" collapsed="false"/>
    <row r="611" customFormat="false" ht="16.5" hidden="false" customHeight="true" outlineLevel="0" collapsed="false"/>
    <row r="612" customFormat="false" ht="16.5" hidden="false" customHeight="true" outlineLevel="0" collapsed="false"/>
    <row r="613" customFormat="false" ht="16.5" hidden="false" customHeight="true" outlineLevel="0" collapsed="false"/>
    <row r="614" customFormat="false" ht="16.5" hidden="false" customHeight="true" outlineLevel="0" collapsed="false"/>
    <row r="615" customFormat="false" ht="16.5" hidden="false" customHeight="true" outlineLevel="0" collapsed="false"/>
    <row r="616" customFormat="false" ht="16.5" hidden="false" customHeight="true" outlineLevel="0" collapsed="false"/>
    <row r="617" customFormat="false" ht="16.5" hidden="false" customHeight="true" outlineLevel="0" collapsed="false"/>
    <row r="618" customFormat="false" ht="16.5" hidden="false" customHeight="true" outlineLevel="0" collapsed="false"/>
    <row r="619" customFormat="false" ht="16.5" hidden="false" customHeight="true" outlineLevel="0" collapsed="false"/>
    <row r="620" customFormat="false" ht="16.5" hidden="false" customHeight="true" outlineLevel="0" collapsed="false"/>
    <row r="621" customFormat="false" ht="16.5" hidden="false" customHeight="true" outlineLevel="0" collapsed="false"/>
    <row r="622" customFormat="false" ht="16.5" hidden="false" customHeight="true" outlineLevel="0" collapsed="false"/>
    <row r="623" customFormat="false" ht="16.5" hidden="false" customHeight="true" outlineLevel="0" collapsed="false"/>
    <row r="624" customFormat="false" ht="16.5" hidden="false" customHeight="true" outlineLevel="0" collapsed="false"/>
    <row r="625" customFormat="false" ht="16.5" hidden="false" customHeight="true" outlineLevel="0" collapsed="false"/>
    <row r="626" customFormat="false" ht="16.5" hidden="false" customHeight="true" outlineLevel="0" collapsed="false"/>
    <row r="627" customFormat="false" ht="16.5" hidden="false" customHeight="true" outlineLevel="0" collapsed="false"/>
    <row r="628" customFormat="false" ht="16.5" hidden="false" customHeight="true" outlineLevel="0" collapsed="false"/>
    <row r="629" customFormat="false" ht="16.5" hidden="false" customHeight="true" outlineLevel="0" collapsed="false"/>
    <row r="630" customFormat="false" ht="16.5" hidden="false" customHeight="true" outlineLevel="0" collapsed="false"/>
    <row r="631" customFormat="false" ht="16.5" hidden="false" customHeight="true" outlineLevel="0" collapsed="false"/>
    <row r="632" customFormat="false" ht="16.5" hidden="false" customHeight="true" outlineLevel="0" collapsed="false"/>
    <row r="633" customFormat="false" ht="16.5" hidden="false" customHeight="true" outlineLevel="0" collapsed="false"/>
    <row r="634" customFormat="false" ht="16.5" hidden="false" customHeight="true" outlineLevel="0" collapsed="false"/>
    <row r="635" customFormat="false" ht="16.5" hidden="false" customHeight="true" outlineLevel="0" collapsed="false"/>
    <row r="636" customFormat="false" ht="16.5" hidden="false" customHeight="true" outlineLevel="0" collapsed="false"/>
    <row r="637" customFormat="false" ht="16.5" hidden="false" customHeight="true" outlineLevel="0" collapsed="false"/>
    <row r="638" customFormat="false" ht="16.5" hidden="false" customHeight="true" outlineLevel="0" collapsed="false"/>
    <row r="639" customFormat="false" ht="16.5" hidden="false" customHeight="true" outlineLevel="0" collapsed="false"/>
    <row r="640" customFormat="false" ht="16.5" hidden="false" customHeight="true" outlineLevel="0" collapsed="false"/>
    <row r="641" customFormat="false" ht="16.5" hidden="false" customHeight="true" outlineLevel="0" collapsed="false"/>
    <row r="642" customFormat="false" ht="16.5" hidden="false" customHeight="true" outlineLevel="0" collapsed="false"/>
    <row r="643" customFormat="false" ht="16.5" hidden="false" customHeight="true" outlineLevel="0" collapsed="false"/>
    <row r="644" customFormat="false" ht="16.5" hidden="false" customHeight="true" outlineLevel="0" collapsed="false"/>
    <row r="645" customFormat="false" ht="16.5" hidden="false" customHeight="true" outlineLevel="0" collapsed="false"/>
    <row r="646" customFormat="false" ht="16.5" hidden="false" customHeight="true" outlineLevel="0" collapsed="false"/>
    <row r="647" customFormat="false" ht="16.5" hidden="false" customHeight="true" outlineLevel="0" collapsed="false"/>
    <row r="648" customFormat="false" ht="16.5" hidden="false" customHeight="true" outlineLevel="0" collapsed="false"/>
    <row r="649" customFormat="false" ht="16.5" hidden="false" customHeight="true" outlineLevel="0" collapsed="false"/>
    <row r="650" customFormat="false" ht="16.5" hidden="false" customHeight="true" outlineLevel="0" collapsed="false"/>
    <row r="651" customFormat="false" ht="16.5" hidden="false" customHeight="true" outlineLevel="0" collapsed="false"/>
    <row r="652" customFormat="false" ht="16.5" hidden="false" customHeight="true" outlineLevel="0" collapsed="false"/>
    <row r="653" customFormat="false" ht="16.5" hidden="false" customHeight="true" outlineLevel="0" collapsed="false"/>
    <row r="654" customFormat="false" ht="16.5" hidden="false" customHeight="true" outlineLevel="0" collapsed="false"/>
    <row r="655" customFormat="false" ht="16.5" hidden="false" customHeight="true" outlineLevel="0" collapsed="false"/>
    <row r="656" customFormat="false" ht="16.5" hidden="false" customHeight="true" outlineLevel="0" collapsed="false"/>
    <row r="657" customFormat="false" ht="16.5" hidden="false" customHeight="true" outlineLevel="0" collapsed="false"/>
    <row r="658" customFormat="false" ht="16.5" hidden="false" customHeight="true" outlineLevel="0" collapsed="false"/>
    <row r="659" customFormat="false" ht="16.5" hidden="false" customHeight="true" outlineLevel="0" collapsed="false"/>
    <row r="660" customFormat="false" ht="16.5" hidden="false" customHeight="true" outlineLevel="0" collapsed="false"/>
    <row r="661" customFormat="false" ht="16.5" hidden="false" customHeight="true" outlineLevel="0" collapsed="false"/>
    <row r="662" customFormat="false" ht="16.5" hidden="false" customHeight="true" outlineLevel="0" collapsed="false"/>
    <row r="663" customFormat="false" ht="16.5" hidden="false" customHeight="true" outlineLevel="0" collapsed="false"/>
    <row r="664" customFormat="false" ht="16.5" hidden="false" customHeight="true" outlineLevel="0" collapsed="false"/>
    <row r="665" customFormat="false" ht="16.5" hidden="false" customHeight="true" outlineLevel="0" collapsed="false"/>
    <row r="666" customFormat="false" ht="16.5" hidden="false" customHeight="true" outlineLevel="0" collapsed="false"/>
    <row r="667" customFormat="false" ht="16.5" hidden="false" customHeight="true" outlineLevel="0" collapsed="false"/>
    <row r="668" customFormat="false" ht="16.5" hidden="false" customHeight="true" outlineLevel="0" collapsed="false"/>
    <row r="669" customFormat="false" ht="16.5" hidden="false" customHeight="true" outlineLevel="0" collapsed="false"/>
    <row r="670" customFormat="false" ht="16.5" hidden="false" customHeight="true" outlineLevel="0" collapsed="false"/>
    <row r="671" customFormat="false" ht="16.5" hidden="false" customHeight="true" outlineLevel="0" collapsed="false"/>
    <row r="672" customFormat="false" ht="16.5" hidden="false" customHeight="true" outlineLevel="0" collapsed="false"/>
    <row r="673" customFormat="false" ht="16.5" hidden="false" customHeight="true" outlineLevel="0" collapsed="false"/>
    <row r="674" customFormat="false" ht="16.5" hidden="false" customHeight="true" outlineLevel="0" collapsed="false"/>
    <row r="675" customFormat="false" ht="16.5" hidden="false" customHeight="true" outlineLevel="0" collapsed="false"/>
    <row r="676" customFormat="false" ht="16.5" hidden="false" customHeight="true" outlineLevel="0" collapsed="false"/>
    <row r="677" customFormat="false" ht="16.5" hidden="false" customHeight="true" outlineLevel="0" collapsed="false"/>
    <row r="678" customFormat="false" ht="16.5" hidden="false" customHeight="true" outlineLevel="0" collapsed="false"/>
    <row r="679" customFormat="false" ht="16.5" hidden="false" customHeight="true" outlineLevel="0" collapsed="false"/>
    <row r="680" customFormat="false" ht="16.5" hidden="false" customHeight="true" outlineLevel="0" collapsed="false"/>
    <row r="681" customFormat="false" ht="16.5" hidden="false" customHeight="true" outlineLevel="0" collapsed="false"/>
    <row r="682" customFormat="false" ht="16.5" hidden="false" customHeight="true" outlineLevel="0" collapsed="false"/>
    <row r="683" customFormat="false" ht="16.5" hidden="false" customHeight="true" outlineLevel="0" collapsed="false"/>
    <row r="684" customFormat="false" ht="16.5" hidden="false" customHeight="true" outlineLevel="0" collapsed="false"/>
    <row r="685" customFormat="false" ht="16.5" hidden="false" customHeight="true" outlineLevel="0" collapsed="false"/>
    <row r="686" customFormat="false" ht="16.5" hidden="false" customHeight="true" outlineLevel="0" collapsed="false"/>
    <row r="687" customFormat="false" ht="16.5" hidden="false" customHeight="true" outlineLevel="0" collapsed="false"/>
    <row r="688" customFormat="false" ht="16.5" hidden="false" customHeight="true" outlineLevel="0" collapsed="false"/>
    <row r="689" customFormat="false" ht="16.5" hidden="false" customHeight="true" outlineLevel="0" collapsed="false"/>
    <row r="690" customFormat="false" ht="16.5" hidden="false" customHeight="true" outlineLevel="0" collapsed="false"/>
    <row r="691" customFormat="false" ht="16.5" hidden="false" customHeight="true" outlineLevel="0" collapsed="false"/>
    <row r="692" customFormat="false" ht="16.5" hidden="false" customHeight="true" outlineLevel="0" collapsed="false"/>
    <row r="693" customFormat="false" ht="16.5" hidden="false" customHeight="true" outlineLevel="0" collapsed="false"/>
    <row r="694" customFormat="false" ht="16.5" hidden="false" customHeight="true" outlineLevel="0" collapsed="false"/>
    <row r="695" customFormat="false" ht="16.5" hidden="false" customHeight="true" outlineLevel="0" collapsed="false"/>
    <row r="696" customFormat="false" ht="16.5" hidden="false" customHeight="true" outlineLevel="0" collapsed="false"/>
    <row r="697" customFormat="false" ht="16.5" hidden="false" customHeight="true" outlineLevel="0" collapsed="false"/>
    <row r="698" customFormat="false" ht="16.5" hidden="false" customHeight="true" outlineLevel="0" collapsed="false"/>
    <row r="699" customFormat="false" ht="16.5" hidden="false" customHeight="true" outlineLevel="0" collapsed="false"/>
    <row r="700" customFormat="false" ht="16.5" hidden="false" customHeight="true" outlineLevel="0" collapsed="false"/>
    <row r="701" customFormat="false" ht="16.5" hidden="false" customHeight="true" outlineLevel="0" collapsed="false"/>
    <row r="702" customFormat="false" ht="16.5" hidden="false" customHeight="true" outlineLevel="0" collapsed="false"/>
    <row r="703" customFormat="false" ht="16.5" hidden="false" customHeight="true" outlineLevel="0" collapsed="false"/>
    <row r="704" customFormat="false" ht="16.5" hidden="false" customHeight="true" outlineLevel="0" collapsed="false"/>
    <row r="705" customFormat="false" ht="16.5" hidden="false" customHeight="true" outlineLevel="0" collapsed="false"/>
    <row r="706" customFormat="false" ht="16.5" hidden="false" customHeight="true" outlineLevel="0" collapsed="false"/>
    <row r="707" customFormat="false" ht="16.5" hidden="false" customHeight="true" outlineLevel="0" collapsed="false"/>
    <row r="708" customFormat="false" ht="16.5" hidden="false" customHeight="true" outlineLevel="0" collapsed="false"/>
    <row r="709" customFormat="false" ht="16.5" hidden="false" customHeight="true" outlineLevel="0" collapsed="false"/>
    <row r="710" customFormat="false" ht="16.5" hidden="false" customHeight="true" outlineLevel="0" collapsed="false"/>
    <row r="711" customFormat="false" ht="16.5" hidden="false" customHeight="true" outlineLevel="0" collapsed="false"/>
    <row r="712" customFormat="false" ht="16.5" hidden="false" customHeight="true" outlineLevel="0" collapsed="false"/>
    <row r="713" customFormat="false" ht="16.5" hidden="false" customHeight="true" outlineLevel="0" collapsed="false"/>
    <row r="714" customFormat="false" ht="16.5" hidden="false" customHeight="true" outlineLevel="0" collapsed="false"/>
    <row r="715" customFormat="false" ht="16.5" hidden="false" customHeight="true" outlineLevel="0" collapsed="false"/>
    <row r="716" customFormat="false" ht="16.5" hidden="false" customHeight="true" outlineLevel="0" collapsed="false"/>
    <row r="717" customFormat="false" ht="16.5" hidden="false" customHeight="true" outlineLevel="0" collapsed="false"/>
    <row r="718" customFormat="false" ht="16.5" hidden="false" customHeight="true" outlineLevel="0" collapsed="false"/>
    <row r="719" customFormat="false" ht="16.5" hidden="false" customHeight="true" outlineLevel="0" collapsed="false"/>
    <row r="720" customFormat="false" ht="16.5" hidden="false" customHeight="true" outlineLevel="0" collapsed="false"/>
    <row r="721" customFormat="false" ht="16.5" hidden="false" customHeight="true" outlineLevel="0" collapsed="false"/>
    <row r="722" customFormat="false" ht="16.5" hidden="false" customHeight="true" outlineLevel="0" collapsed="false"/>
    <row r="723" customFormat="false" ht="16.5" hidden="false" customHeight="true" outlineLevel="0" collapsed="false"/>
    <row r="724" customFormat="false" ht="16.5" hidden="false" customHeight="true" outlineLevel="0" collapsed="false"/>
    <row r="725" customFormat="false" ht="16.5" hidden="false" customHeight="true" outlineLevel="0" collapsed="false"/>
    <row r="726" customFormat="false" ht="16.5" hidden="false" customHeight="true" outlineLevel="0" collapsed="false"/>
    <row r="727" customFormat="false" ht="16.5" hidden="false" customHeight="true" outlineLevel="0" collapsed="false"/>
    <row r="728" customFormat="false" ht="16.5" hidden="false" customHeight="true" outlineLevel="0" collapsed="false"/>
    <row r="729" customFormat="false" ht="16.5" hidden="false" customHeight="true" outlineLevel="0" collapsed="false"/>
    <row r="730" customFormat="false" ht="16.5" hidden="false" customHeight="true" outlineLevel="0" collapsed="false"/>
    <row r="731" customFormat="false" ht="16.5" hidden="false" customHeight="true" outlineLevel="0" collapsed="false"/>
    <row r="732" customFormat="false" ht="16.5" hidden="false" customHeight="true" outlineLevel="0" collapsed="false"/>
    <row r="733" customFormat="false" ht="16.5" hidden="false" customHeight="true" outlineLevel="0" collapsed="false"/>
    <row r="734" customFormat="false" ht="16.5" hidden="false" customHeight="true" outlineLevel="0" collapsed="false"/>
    <row r="735" customFormat="false" ht="16.5" hidden="false" customHeight="true" outlineLevel="0" collapsed="false"/>
    <row r="736" customFormat="false" ht="16.5" hidden="false" customHeight="true" outlineLevel="0" collapsed="false"/>
    <row r="737" customFormat="false" ht="16.5" hidden="false" customHeight="true" outlineLevel="0" collapsed="false"/>
    <row r="738" customFormat="false" ht="16.5" hidden="false" customHeight="true" outlineLevel="0" collapsed="false"/>
    <row r="739" customFormat="false" ht="16.5" hidden="false" customHeight="true" outlineLevel="0" collapsed="false"/>
    <row r="740" customFormat="false" ht="16.5" hidden="false" customHeight="true" outlineLevel="0" collapsed="false"/>
    <row r="741" customFormat="false" ht="16.5" hidden="false" customHeight="true" outlineLevel="0" collapsed="false"/>
    <row r="742" customFormat="false" ht="16.5" hidden="false" customHeight="true" outlineLevel="0" collapsed="false"/>
    <row r="743" customFormat="false" ht="16.5" hidden="false" customHeight="true" outlineLevel="0" collapsed="false"/>
    <row r="744" customFormat="false" ht="16.5" hidden="false" customHeight="true" outlineLevel="0" collapsed="false"/>
    <row r="745" customFormat="false" ht="16.5" hidden="false" customHeight="true" outlineLevel="0" collapsed="false"/>
    <row r="746" customFormat="false" ht="16.5" hidden="false" customHeight="true" outlineLevel="0" collapsed="false"/>
    <row r="747" customFormat="false" ht="16.5" hidden="false" customHeight="true" outlineLevel="0" collapsed="false"/>
    <row r="748" customFormat="false" ht="16.5" hidden="false" customHeight="true" outlineLevel="0" collapsed="false"/>
    <row r="749" customFormat="false" ht="16.5" hidden="false" customHeight="true" outlineLevel="0" collapsed="false"/>
    <row r="750" customFormat="false" ht="16.5" hidden="false" customHeight="true" outlineLevel="0" collapsed="false"/>
    <row r="751" customFormat="false" ht="16.5" hidden="false" customHeight="true" outlineLevel="0" collapsed="false"/>
    <row r="752" customFormat="false" ht="16.5" hidden="false" customHeight="true" outlineLevel="0" collapsed="false"/>
    <row r="753" customFormat="false" ht="16.5" hidden="false" customHeight="true" outlineLevel="0" collapsed="false"/>
    <row r="754" customFormat="false" ht="16.5" hidden="false" customHeight="true" outlineLevel="0" collapsed="false"/>
    <row r="755" customFormat="false" ht="16.5" hidden="false" customHeight="true" outlineLevel="0" collapsed="false"/>
    <row r="756" customFormat="false" ht="16.5" hidden="false" customHeight="true" outlineLevel="0" collapsed="false"/>
    <row r="757" customFormat="false" ht="16.5" hidden="false" customHeight="true" outlineLevel="0" collapsed="false"/>
    <row r="758" customFormat="false" ht="16.5" hidden="false" customHeight="true" outlineLevel="0" collapsed="false"/>
    <row r="759" customFormat="false" ht="16.5" hidden="false" customHeight="true" outlineLevel="0" collapsed="false"/>
    <row r="760" customFormat="false" ht="16.5" hidden="false" customHeight="true" outlineLevel="0" collapsed="false"/>
    <row r="761" customFormat="false" ht="16.5" hidden="false" customHeight="true" outlineLevel="0" collapsed="false"/>
    <row r="762" customFormat="false" ht="16.5" hidden="false" customHeight="true" outlineLevel="0" collapsed="false"/>
    <row r="763" customFormat="false" ht="16.5" hidden="false" customHeight="true" outlineLevel="0" collapsed="false"/>
    <row r="764" customFormat="false" ht="16.5" hidden="false" customHeight="true" outlineLevel="0" collapsed="false"/>
    <row r="765" customFormat="false" ht="16.5" hidden="false" customHeight="true" outlineLevel="0" collapsed="false"/>
    <row r="766" customFormat="false" ht="16.5" hidden="false" customHeight="true" outlineLevel="0" collapsed="false"/>
    <row r="767" customFormat="false" ht="16.5" hidden="false" customHeight="true" outlineLevel="0" collapsed="false"/>
    <row r="768" customFormat="false" ht="16.5" hidden="false" customHeight="true" outlineLevel="0" collapsed="false"/>
    <row r="769" customFormat="false" ht="16.5" hidden="false" customHeight="true" outlineLevel="0" collapsed="false"/>
    <row r="770" customFormat="false" ht="16.5" hidden="false" customHeight="true" outlineLevel="0" collapsed="false"/>
    <row r="771" customFormat="false" ht="16.5" hidden="false" customHeight="true" outlineLevel="0" collapsed="false"/>
    <row r="772" customFormat="false" ht="16.5" hidden="false" customHeight="true" outlineLevel="0" collapsed="false"/>
    <row r="773" customFormat="false" ht="16.5" hidden="false" customHeight="true" outlineLevel="0" collapsed="false"/>
    <row r="774" customFormat="false" ht="16.5" hidden="false" customHeight="true" outlineLevel="0" collapsed="false"/>
    <row r="775" customFormat="false" ht="16.5" hidden="false" customHeight="true" outlineLevel="0" collapsed="false"/>
    <row r="776" customFormat="false" ht="16.5" hidden="false" customHeight="true" outlineLevel="0" collapsed="false"/>
    <row r="777" customFormat="false" ht="16.5" hidden="false" customHeight="true" outlineLevel="0" collapsed="false"/>
    <row r="778" customFormat="false" ht="16.5" hidden="false" customHeight="true" outlineLevel="0" collapsed="false"/>
    <row r="779" customFormat="false" ht="16.5" hidden="false" customHeight="true" outlineLevel="0" collapsed="false"/>
    <row r="780" customFormat="false" ht="16.5" hidden="false" customHeight="true" outlineLevel="0" collapsed="false"/>
    <row r="781" customFormat="false" ht="16.5" hidden="false" customHeight="true" outlineLevel="0" collapsed="false"/>
    <row r="782" customFormat="false" ht="16.5" hidden="false" customHeight="true" outlineLevel="0" collapsed="false"/>
    <row r="783" customFormat="false" ht="16.5" hidden="false" customHeight="true" outlineLevel="0" collapsed="false"/>
    <row r="784" customFormat="false" ht="16.5" hidden="false" customHeight="true" outlineLevel="0" collapsed="false"/>
    <row r="785" customFormat="false" ht="16.5" hidden="false" customHeight="true" outlineLevel="0" collapsed="false"/>
    <row r="786" customFormat="false" ht="16.5" hidden="false" customHeight="true" outlineLevel="0" collapsed="false"/>
    <row r="787" customFormat="false" ht="16.5" hidden="false" customHeight="true" outlineLevel="0" collapsed="false"/>
    <row r="788" customFormat="false" ht="16.5" hidden="false" customHeight="true" outlineLevel="0" collapsed="false"/>
    <row r="789" customFormat="false" ht="16.5" hidden="false" customHeight="true" outlineLevel="0" collapsed="false"/>
    <row r="790" customFormat="false" ht="16.5" hidden="false" customHeight="true" outlineLevel="0" collapsed="false"/>
    <row r="791" customFormat="false" ht="16.5" hidden="false" customHeight="true" outlineLevel="0" collapsed="false"/>
    <row r="792" customFormat="false" ht="16.5" hidden="false" customHeight="true" outlineLevel="0" collapsed="false"/>
    <row r="793" customFormat="false" ht="16.5" hidden="false" customHeight="true" outlineLevel="0" collapsed="false"/>
    <row r="794" customFormat="false" ht="16.5" hidden="false" customHeight="true" outlineLevel="0" collapsed="false"/>
    <row r="795" customFormat="false" ht="16.5" hidden="false" customHeight="true" outlineLevel="0" collapsed="false"/>
    <row r="796" customFormat="false" ht="16.5" hidden="false" customHeight="true" outlineLevel="0" collapsed="false"/>
    <row r="797" customFormat="false" ht="16.5" hidden="false" customHeight="true" outlineLevel="0" collapsed="false"/>
    <row r="798" customFormat="false" ht="16.5" hidden="false" customHeight="true" outlineLevel="0" collapsed="false"/>
    <row r="799" customFormat="false" ht="16.5" hidden="false" customHeight="true" outlineLevel="0" collapsed="false"/>
    <row r="800" customFormat="false" ht="16.5" hidden="false" customHeight="true" outlineLevel="0" collapsed="false"/>
    <row r="801" customFormat="false" ht="16.5" hidden="false" customHeight="true" outlineLevel="0" collapsed="false"/>
    <row r="802" customFormat="false" ht="16.5" hidden="false" customHeight="true" outlineLevel="0" collapsed="false"/>
    <row r="803" customFormat="false" ht="16.5" hidden="false" customHeight="true" outlineLevel="0" collapsed="false"/>
    <row r="804" customFormat="false" ht="16.5" hidden="false" customHeight="true" outlineLevel="0" collapsed="false"/>
    <row r="805" customFormat="false" ht="16.5" hidden="false" customHeight="true" outlineLevel="0" collapsed="false"/>
    <row r="806" customFormat="false" ht="16.5" hidden="false" customHeight="true" outlineLevel="0" collapsed="false"/>
    <row r="807" customFormat="false" ht="16.5" hidden="false" customHeight="true" outlineLevel="0" collapsed="false"/>
    <row r="808" customFormat="false" ht="16.5" hidden="false" customHeight="true" outlineLevel="0" collapsed="false"/>
    <row r="809" customFormat="false" ht="16.5" hidden="false" customHeight="true" outlineLevel="0" collapsed="false"/>
    <row r="810" customFormat="false" ht="16.5" hidden="false" customHeight="true" outlineLevel="0" collapsed="false"/>
    <row r="811" customFormat="false" ht="16.5" hidden="false" customHeight="true" outlineLevel="0" collapsed="false"/>
    <row r="812" customFormat="false" ht="16.5" hidden="false" customHeight="true" outlineLevel="0" collapsed="false"/>
    <row r="813" customFormat="false" ht="16.5" hidden="false" customHeight="true" outlineLevel="0" collapsed="false"/>
    <row r="814" customFormat="false" ht="16.5" hidden="false" customHeight="true" outlineLevel="0" collapsed="false"/>
    <row r="815" customFormat="false" ht="16.5" hidden="false" customHeight="true" outlineLevel="0" collapsed="false"/>
    <row r="816" customFormat="false" ht="16.5" hidden="false" customHeight="true" outlineLevel="0" collapsed="false"/>
    <row r="817" customFormat="false" ht="16.5" hidden="false" customHeight="true" outlineLevel="0" collapsed="false"/>
    <row r="818" customFormat="false" ht="16.5" hidden="false" customHeight="true" outlineLevel="0" collapsed="false"/>
    <row r="819" customFormat="false" ht="16.5" hidden="false" customHeight="true" outlineLevel="0" collapsed="false"/>
    <row r="820" customFormat="false" ht="16.5" hidden="false" customHeight="true" outlineLevel="0" collapsed="false"/>
    <row r="821" customFormat="false" ht="16.5" hidden="false" customHeight="true" outlineLevel="0" collapsed="false"/>
    <row r="822" customFormat="false" ht="16.5" hidden="false" customHeight="true" outlineLevel="0" collapsed="false"/>
    <row r="823" customFormat="false" ht="16.5" hidden="false" customHeight="true" outlineLevel="0" collapsed="false"/>
    <row r="824" customFormat="false" ht="16.5" hidden="false" customHeight="true" outlineLevel="0" collapsed="false"/>
    <row r="825" customFormat="false" ht="16.5" hidden="false" customHeight="true" outlineLevel="0" collapsed="false"/>
    <row r="826" customFormat="false" ht="16.5" hidden="false" customHeight="true" outlineLevel="0" collapsed="false"/>
    <row r="827" customFormat="false" ht="16.5" hidden="false" customHeight="true" outlineLevel="0" collapsed="false"/>
    <row r="828" customFormat="false" ht="16.5" hidden="false" customHeight="true" outlineLevel="0" collapsed="false"/>
    <row r="829" customFormat="false" ht="16.5" hidden="false" customHeight="true" outlineLevel="0" collapsed="false"/>
    <row r="830" customFormat="false" ht="16.5" hidden="false" customHeight="true" outlineLevel="0" collapsed="false"/>
    <row r="831" customFormat="false" ht="16.5" hidden="false" customHeight="true" outlineLevel="0" collapsed="false"/>
    <row r="832" customFormat="false" ht="16.5" hidden="false" customHeight="true" outlineLevel="0" collapsed="false"/>
    <row r="833" customFormat="false" ht="16.5" hidden="false" customHeight="true" outlineLevel="0" collapsed="false"/>
    <row r="834" customFormat="false" ht="16.5" hidden="false" customHeight="true" outlineLevel="0" collapsed="false"/>
    <row r="835" customFormat="false" ht="16.5" hidden="false" customHeight="true" outlineLevel="0" collapsed="false"/>
    <row r="836" customFormat="false" ht="16.5" hidden="false" customHeight="true" outlineLevel="0" collapsed="false"/>
    <row r="837" customFormat="false" ht="16.5" hidden="false" customHeight="true" outlineLevel="0" collapsed="false"/>
    <row r="838" customFormat="false" ht="16.5" hidden="false" customHeight="true" outlineLevel="0" collapsed="false"/>
    <row r="839" customFormat="false" ht="16.5" hidden="false" customHeight="true" outlineLevel="0" collapsed="false"/>
    <row r="840" customFormat="false" ht="16.5" hidden="false" customHeight="true" outlineLevel="0" collapsed="false"/>
    <row r="841" customFormat="false" ht="16.5" hidden="false" customHeight="true" outlineLevel="0" collapsed="false"/>
    <row r="842" customFormat="false" ht="16.5" hidden="false" customHeight="true" outlineLevel="0" collapsed="false"/>
    <row r="843" customFormat="false" ht="16.5" hidden="false" customHeight="true" outlineLevel="0" collapsed="false"/>
    <row r="844" customFormat="false" ht="16.5" hidden="false" customHeight="true" outlineLevel="0" collapsed="false"/>
    <row r="845" customFormat="false" ht="16.5" hidden="false" customHeight="true" outlineLevel="0" collapsed="false"/>
    <row r="846" customFormat="false" ht="16.5" hidden="false" customHeight="true" outlineLevel="0" collapsed="false"/>
    <row r="847" customFormat="false" ht="16.5" hidden="false" customHeight="true" outlineLevel="0" collapsed="false"/>
    <row r="848" customFormat="false" ht="16.5" hidden="false" customHeight="true" outlineLevel="0" collapsed="false"/>
    <row r="849" customFormat="false" ht="16.5" hidden="false" customHeight="true" outlineLevel="0" collapsed="false"/>
    <row r="850" customFormat="false" ht="16.5" hidden="false" customHeight="true" outlineLevel="0" collapsed="false"/>
    <row r="851" customFormat="false" ht="16.5" hidden="false" customHeight="true" outlineLevel="0" collapsed="false"/>
    <row r="852" customFormat="false" ht="16.5" hidden="false" customHeight="true" outlineLevel="0" collapsed="false"/>
    <row r="853" customFormat="false" ht="16.5" hidden="false" customHeight="true" outlineLevel="0" collapsed="false"/>
    <row r="854" customFormat="false" ht="16.5" hidden="false" customHeight="true" outlineLevel="0" collapsed="false"/>
    <row r="855" customFormat="false" ht="16.5" hidden="false" customHeight="true" outlineLevel="0" collapsed="false"/>
    <row r="856" customFormat="false" ht="16.5" hidden="false" customHeight="true" outlineLevel="0" collapsed="false"/>
    <row r="857" customFormat="false" ht="16.5" hidden="false" customHeight="true" outlineLevel="0" collapsed="false"/>
    <row r="858" customFormat="false" ht="16.5" hidden="false" customHeight="true" outlineLevel="0" collapsed="false"/>
    <row r="859" customFormat="false" ht="16.5" hidden="false" customHeight="true" outlineLevel="0" collapsed="false"/>
    <row r="860" customFormat="false" ht="16.5" hidden="false" customHeight="true" outlineLevel="0" collapsed="false"/>
    <row r="861" customFormat="false" ht="16.5" hidden="false" customHeight="true" outlineLevel="0" collapsed="false"/>
    <row r="862" customFormat="false" ht="16.5" hidden="false" customHeight="true" outlineLevel="0" collapsed="false"/>
    <row r="863" customFormat="false" ht="16.5" hidden="false" customHeight="true" outlineLevel="0" collapsed="false"/>
    <row r="864" customFormat="false" ht="16.5" hidden="false" customHeight="true" outlineLevel="0" collapsed="false"/>
    <row r="865" customFormat="false" ht="16.5" hidden="false" customHeight="true" outlineLevel="0" collapsed="false"/>
    <row r="866" customFormat="false" ht="16.5" hidden="false" customHeight="true" outlineLevel="0" collapsed="false"/>
    <row r="867" customFormat="false" ht="16.5" hidden="false" customHeight="true" outlineLevel="0" collapsed="false"/>
    <row r="868" customFormat="false" ht="16.5" hidden="false" customHeight="true" outlineLevel="0" collapsed="false"/>
    <row r="869" customFormat="false" ht="16.5" hidden="false" customHeight="true" outlineLevel="0" collapsed="false"/>
    <row r="870" customFormat="false" ht="16.5" hidden="false" customHeight="true" outlineLevel="0" collapsed="false"/>
    <row r="871" customFormat="false" ht="16.5" hidden="false" customHeight="true" outlineLevel="0" collapsed="false"/>
    <row r="872" customFormat="false" ht="16.5" hidden="false" customHeight="true" outlineLevel="0" collapsed="false"/>
    <row r="873" customFormat="false" ht="16.5" hidden="false" customHeight="true" outlineLevel="0" collapsed="false"/>
    <row r="874" customFormat="false" ht="16.5" hidden="false" customHeight="true" outlineLevel="0" collapsed="false"/>
    <row r="875" customFormat="false" ht="16.5" hidden="false" customHeight="true" outlineLevel="0" collapsed="false"/>
    <row r="876" customFormat="false" ht="16.5" hidden="false" customHeight="true" outlineLevel="0" collapsed="false"/>
    <row r="877" customFormat="false" ht="16.5" hidden="false" customHeight="true" outlineLevel="0" collapsed="false"/>
    <row r="878" customFormat="false" ht="16.5" hidden="false" customHeight="true" outlineLevel="0" collapsed="false"/>
    <row r="879" customFormat="false" ht="16.5" hidden="false" customHeight="true" outlineLevel="0" collapsed="false"/>
    <row r="880" customFormat="false" ht="16.5" hidden="false" customHeight="true" outlineLevel="0" collapsed="false"/>
    <row r="881" customFormat="false" ht="16.5" hidden="false" customHeight="true" outlineLevel="0" collapsed="false"/>
    <row r="882" customFormat="false" ht="16.5" hidden="false" customHeight="true" outlineLevel="0" collapsed="false"/>
    <row r="883" customFormat="false" ht="16.5" hidden="false" customHeight="true" outlineLevel="0" collapsed="false"/>
    <row r="884" customFormat="false" ht="16.5" hidden="false" customHeight="true" outlineLevel="0" collapsed="false"/>
    <row r="885" customFormat="false" ht="16.5" hidden="false" customHeight="true" outlineLevel="0" collapsed="false"/>
    <row r="886" customFormat="false" ht="16.5" hidden="false" customHeight="true" outlineLevel="0" collapsed="false"/>
    <row r="887" customFormat="false" ht="16.5" hidden="false" customHeight="true" outlineLevel="0" collapsed="false"/>
    <row r="888" customFormat="false" ht="16.5" hidden="false" customHeight="true" outlineLevel="0" collapsed="false"/>
    <row r="889" customFormat="false" ht="16.5" hidden="false" customHeight="true" outlineLevel="0" collapsed="false"/>
    <row r="890" customFormat="false" ht="16.5" hidden="false" customHeight="true" outlineLevel="0" collapsed="false"/>
    <row r="891" customFormat="false" ht="16.5" hidden="false" customHeight="true" outlineLevel="0" collapsed="false"/>
    <row r="892" customFormat="false" ht="16.5" hidden="false" customHeight="true" outlineLevel="0" collapsed="false"/>
    <row r="893" customFormat="false" ht="16.5" hidden="false" customHeight="true" outlineLevel="0" collapsed="false"/>
    <row r="894" customFormat="false" ht="16.5" hidden="false" customHeight="true" outlineLevel="0" collapsed="false"/>
    <row r="895" customFormat="false" ht="16.5" hidden="false" customHeight="true" outlineLevel="0" collapsed="false"/>
    <row r="896" customFormat="false" ht="16.5" hidden="false" customHeight="true" outlineLevel="0" collapsed="false"/>
    <row r="897" customFormat="false" ht="16.5" hidden="false" customHeight="true" outlineLevel="0" collapsed="false"/>
    <row r="898" customFormat="false" ht="16.5" hidden="false" customHeight="true" outlineLevel="0" collapsed="false"/>
    <row r="899" customFormat="false" ht="16.5" hidden="false" customHeight="true" outlineLevel="0" collapsed="false"/>
    <row r="900" customFormat="false" ht="16.5" hidden="false" customHeight="true" outlineLevel="0" collapsed="false"/>
    <row r="901" customFormat="false" ht="16.5" hidden="false" customHeight="true" outlineLevel="0" collapsed="false"/>
    <row r="902" customFormat="false" ht="16.5" hidden="false" customHeight="true" outlineLevel="0" collapsed="false"/>
    <row r="903" customFormat="false" ht="16.5" hidden="false" customHeight="true" outlineLevel="0" collapsed="false"/>
    <row r="904" customFormat="false" ht="16.5" hidden="false" customHeight="true" outlineLevel="0" collapsed="false"/>
    <row r="905" customFormat="false" ht="16.5" hidden="false" customHeight="true" outlineLevel="0" collapsed="false"/>
    <row r="906" customFormat="false" ht="16.5" hidden="false" customHeight="true" outlineLevel="0" collapsed="false"/>
    <row r="907" customFormat="false" ht="16.5" hidden="false" customHeight="true" outlineLevel="0" collapsed="false"/>
    <row r="908" customFormat="false" ht="16.5" hidden="false" customHeight="true" outlineLevel="0" collapsed="false"/>
    <row r="909" customFormat="false" ht="16.5" hidden="false" customHeight="true" outlineLevel="0" collapsed="false"/>
    <row r="910" customFormat="false" ht="16.5" hidden="false" customHeight="true" outlineLevel="0" collapsed="false"/>
    <row r="911" customFormat="false" ht="16.5" hidden="false" customHeight="true" outlineLevel="0" collapsed="false"/>
    <row r="912" customFormat="false" ht="16.5" hidden="false" customHeight="true" outlineLevel="0" collapsed="false"/>
    <row r="913" customFormat="false" ht="16.5" hidden="false" customHeight="true" outlineLevel="0" collapsed="false"/>
    <row r="914" customFormat="false" ht="16.5" hidden="false" customHeight="true" outlineLevel="0" collapsed="false"/>
    <row r="915" customFormat="false" ht="16.5" hidden="false" customHeight="true" outlineLevel="0" collapsed="false"/>
    <row r="916" customFormat="false" ht="16.5" hidden="false" customHeight="true" outlineLevel="0" collapsed="false"/>
    <row r="917" customFormat="false" ht="16.5" hidden="false" customHeight="true" outlineLevel="0" collapsed="false"/>
    <row r="918" customFormat="false" ht="16.5" hidden="false" customHeight="true" outlineLevel="0" collapsed="false"/>
    <row r="919" customFormat="false" ht="16.5" hidden="false" customHeight="true" outlineLevel="0" collapsed="false"/>
    <row r="920" customFormat="false" ht="16.5" hidden="false" customHeight="true" outlineLevel="0" collapsed="false"/>
    <row r="921" customFormat="false" ht="16.5" hidden="false" customHeight="true" outlineLevel="0" collapsed="false"/>
    <row r="922" customFormat="false" ht="16.5" hidden="false" customHeight="true" outlineLevel="0" collapsed="false"/>
    <row r="923" customFormat="false" ht="16.5" hidden="false" customHeight="true" outlineLevel="0" collapsed="false"/>
    <row r="924" customFormat="false" ht="16.5" hidden="false" customHeight="true" outlineLevel="0" collapsed="false"/>
    <row r="925" customFormat="false" ht="16.5" hidden="false" customHeight="true" outlineLevel="0" collapsed="false"/>
    <row r="926" customFormat="false" ht="16.5" hidden="false" customHeight="true" outlineLevel="0" collapsed="false"/>
    <row r="927" customFormat="false" ht="16.5" hidden="false" customHeight="true" outlineLevel="0" collapsed="false"/>
    <row r="928" customFormat="false" ht="16.5" hidden="false" customHeight="true" outlineLevel="0" collapsed="false"/>
    <row r="929" customFormat="false" ht="16.5" hidden="false" customHeight="true" outlineLevel="0" collapsed="false"/>
    <row r="930" customFormat="false" ht="16.5" hidden="false" customHeight="true" outlineLevel="0" collapsed="false"/>
    <row r="931" customFormat="false" ht="16.5" hidden="false" customHeight="true" outlineLevel="0" collapsed="false"/>
    <row r="932" customFormat="false" ht="16.5" hidden="false" customHeight="true" outlineLevel="0" collapsed="false"/>
    <row r="933" customFormat="false" ht="16.5" hidden="false" customHeight="true" outlineLevel="0" collapsed="false"/>
    <row r="934" customFormat="false" ht="16.5" hidden="false" customHeight="true" outlineLevel="0" collapsed="false"/>
    <row r="935" customFormat="false" ht="16.5" hidden="false" customHeight="true" outlineLevel="0" collapsed="false"/>
    <row r="936" customFormat="false" ht="16.5" hidden="false" customHeight="true" outlineLevel="0" collapsed="false"/>
    <row r="937" customFormat="false" ht="16.5" hidden="false" customHeight="true" outlineLevel="0" collapsed="false"/>
    <row r="938" customFormat="false" ht="16.5" hidden="false" customHeight="true" outlineLevel="0" collapsed="false"/>
    <row r="939" customFormat="false" ht="16.5" hidden="false" customHeight="true" outlineLevel="0" collapsed="false"/>
    <row r="940" customFormat="false" ht="16.5" hidden="false" customHeight="true" outlineLevel="0" collapsed="false"/>
    <row r="941" customFormat="false" ht="16.5" hidden="false" customHeight="true" outlineLevel="0" collapsed="false"/>
    <row r="942" customFormat="false" ht="16.5" hidden="false" customHeight="true" outlineLevel="0" collapsed="false"/>
    <row r="943" customFormat="false" ht="16.5" hidden="false" customHeight="true" outlineLevel="0" collapsed="false"/>
    <row r="944" customFormat="false" ht="16.5" hidden="false" customHeight="true" outlineLevel="0" collapsed="false"/>
    <row r="945" customFormat="false" ht="16.5" hidden="false" customHeight="true" outlineLevel="0" collapsed="false"/>
    <row r="946" customFormat="false" ht="16.5" hidden="false" customHeight="true" outlineLevel="0" collapsed="false"/>
    <row r="947" customFormat="false" ht="16.5" hidden="false" customHeight="true" outlineLevel="0" collapsed="false"/>
    <row r="948" customFormat="false" ht="16.5" hidden="false" customHeight="true" outlineLevel="0" collapsed="false"/>
    <row r="949" customFormat="false" ht="16.5" hidden="false" customHeight="true" outlineLevel="0" collapsed="false"/>
    <row r="950" customFormat="false" ht="16.5" hidden="false" customHeight="true" outlineLevel="0" collapsed="false"/>
    <row r="951" customFormat="false" ht="16.5" hidden="false" customHeight="true" outlineLevel="0" collapsed="false"/>
    <row r="952" customFormat="false" ht="16.5" hidden="false" customHeight="true" outlineLevel="0" collapsed="false"/>
    <row r="953" customFormat="false" ht="16.5" hidden="false" customHeight="true" outlineLevel="0" collapsed="false"/>
    <row r="954" customFormat="false" ht="16.5" hidden="false" customHeight="true" outlineLevel="0" collapsed="false"/>
    <row r="955" customFormat="false" ht="16.5" hidden="false" customHeight="true" outlineLevel="0" collapsed="false"/>
    <row r="956" customFormat="false" ht="16.5" hidden="false" customHeight="true" outlineLevel="0" collapsed="false"/>
    <row r="957" customFormat="false" ht="16.5" hidden="false" customHeight="true" outlineLevel="0" collapsed="false"/>
    <row r="958" customFormat="false" ht="16.5" hidden="false" customHeight="true" outlineLevel="0" collapsed="false"/>
    <row r="959" customFormat="false" ht="16.5" hidden="false" customHeight="true" outlineLevel="0" collapsed="false"/>
    <row r="960" customFormat="false" ht="16.5" hidden="false" customHeight="true" outlineLevel="0" collapsed="false"/>
    <row r="961" customFormat="false" ht="16.5" hidden="false" customHeight="true" outlineLevel="0" collapsed="false"/>
    <row r="962" customFormat="false" ht="16.5" hidden="false" customHeight="true" outlineLevel="0" collapsed="false"/>
    <row r="963" customFormat="false" ht="16.5" hidden="false" customHeight="true" outlineLevel="0" collapsed="false"/>
    <row r="964" customFormat="false" ht="16.5" hidden="false" customHeight="true" outlineLevel="0" collapsed="false"/>
    <row r="965" customFormat="false" ht="16.5" hidden="false" customHeight="true" outlineLevel="0" collapsed="false"/>
    <row r="966" customFormat="false" ht="16.5" hidden="false" customHeight="true" outlineLevel="0" collapsed="false"/>
    <row r="967" customFormat="false" ht="16.5" hidden="false" customHeight="true" outlineLevel="0" collapsed="false"/>
    <row r="968" customFormat="false" ht="16.5" hidden="false" customHeight="true" outlineLevel="0" collapsed="false"/>
    <row r="969" customFormat="false" ht="16.5" hidden="false" customHeight="true" outlineLevel="0" collapsed="false"/>
    <row r="970" customFormat="false" ht="16.5" hidden="false" customHeight="true" outlineLevel="0" collapsed="false"/>
    <row r="971" customFormat="false" ht="16.5" hidden="false" customHeight="true" outlineLevel="0" collapsed="false"/>
    <row r="972" customFormat="false" ht="16.5" hidden="false" customHeight="true" outlineLevel="0" collapsed="false"/>
    <row r="973" customFormat="false" ht="16.5" hidden="false" customHeight="true" outlineLevel="0" collapsed="false"/>
    <row r="974" customFormat="false" ht="16.5" hidden="false" customHeight="true" outlineLevel="0" collapsed="false"/>
    <row r="975" customFormat="false" ht="16.5" hidden="false" customHeight="true" outlineLevel="0" collapsed="false"/>
    <row r="976" customFormat="false" ht="16.5" hidden="false" customHeight="true" outlineLevel="0" collapsed="false"/>
    <row r="977" customFormat="false" ht="16.5" hidden="false" customHeight="true" outlineLevel="0" collapsed="false"/>
    <row r="978" customFormat="false" ht="16.5" hidden="false" customHeight="true" outlineLevel="0" collapsed="false"/>
    <row r="979" customFormat="false" ht="16.5" hidden="false" customHeight="true" outlineLevel="0" collapsed="false"/>
    <row r="980" customFormat="false" ht="16.5" hidden="false" customHeight="true" outlineLevel="0" collapsed="false"/>
    <row r="981" customFormat="false" ht="16.5" hidden="false" customHeight="true" outlineLevel="0" collapsed="false"/>
    <row r="982" customFormat="false" ht="16.5" hidden="false" customHeight="true" outlineLevel="0" collapsed="false"/>
    <row r="983" customFormat="false" ht="16.5" hidden="false" customHeight="true" outlineLevel="0" collapsed="false"/>
    <row r="984" customFormat="false" ht="16.5" hidden="false" customHeight="true" outlineLevel="0" collapsed="false"/>
    <row r="985" customFormat="false" ht="16.5" hidden="false" customHeight="true" outlineLevel="0" collapsed="false"/>
    <row r="986" customFormat="false" ht="16.5" hidden="false" customHeight="true" outlineLevel="0" collapsed="false"/>
    <row r="987" customFormat="false" ht="16.5" hidden="false" customHeight="true" outlineLevel="0" collapsed="false"/>
    <row r="988" customFormat="false" ht="16.5" hidden="false" customHeight="true" outlineLevel="0" collapsed="false"/>
    <row r="989" customFormat="false" ht="16.5" hidden="false" customHeight="true" outlineLevel="0" collapsed="false"/>
    <row r="990" customFormat="false" ht="16.5" hidden="false" customHeight="true" outlineLevel="0" collapsed="false"/>
    <row r="991" customFormat="false" ht="16.5" hidden="false" customHeight="true" outlineLevel="0" collapsed="false"/>
    <row r="992" customFormat="false" ht="16.5" hidden="false" customHeight="true" outlineLevel="0" collapsed="false"/>
    <row r="993" customFormat="false" ht="16.5" hidden="false" customHeight="true" outlineLevel="0" collapsed="false"/>
    <row r="994" customFormat="false" ht="16.5" hidden="false" customHeight="true" outlineLevel="0" collapsed="false"/>
    <row r="995" customFormat="false" ht="16.5" hidden="false" customHeight="true" outlineLevel="0" collapsed="false"/>
    <row r="996" customFormat="false" ht="16.5" hidden="false" customHeight="true" outlineLevel="0" collapsed="false"/>
    <row r="997" customFormat="false" ht="16.5" hidden="false" customHeight="true" outlineLevel="0" collapsed="false"/>
    <row r="998" customFormat="false" ht="16.5" hidden="false" customHeight="true" outlineLevel="0" collapsed="false"/>
    <row r="999" customFormat="false" ht="16.5" hidden="false" customHeight="true" outlineLevel="0" collapsed="false"/>
    <row r="1000" customFormat="false" ht="16.5" hidden="false" customHeight="true" outlineLevel="0" collapsed="false"/>
  </sheetData>
  <sheetProtection sheet="true" sort="false" autoFilter="false"/>
  <mergeCells count="14">
    <mergeCell ref="A1:J1"/>
    <mergeCell ref="A2:J2"/>
    <mergeCell ref="A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8:J8"/>
  </mergeCells>
  <conditionalFormatting sqref="A10:J44">
    <cfRule type="expression" priority="2" aboveAverage="0" equalAverage="0" bottom="0" percent="0" rank="0" text="" dxfId="24">
      <formula>$A10=""</formula>
    </cfRule>
  </conditionalFormatting>
  <printOptions headings="false" gridLines="false" gridLinesSet="true" horizontalCentered="true" verticalCentered="false"/>
  <pageMargins left="0.4" right="0.4" top="0.6" bottom="0.6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&amp;R&amp;"Calibri,Bold"&amp;K1f3864Controle Vivo de Climatização&amp;"Calibri,Regular"&amp;10 &amp;K595959  ·  GOP / 3ª CRE</oddHeader>
    <oddFooter>&amp;C&amp;9 &amp;K595959Página &amp;P de &amp;N  ·  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3.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3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69"/>
    <col collapsed="false" customWidth="true" hidden="false" outlineLevel="0" max="6" min="6" style="1" width="57"/>
    <col collapsed="false" customWidth="true" hidden="false" outlineLevel="0" max="7" min="7" style="1" width="12"/>
    <col collapsed="false" customWidth="true" hidden="false" outlineLevel="0" max="8" min="8" style="1" width="30"/>
    <col collapsed="false" customWidth="true" hidden="false" outlineLevel="0" max="9" min="9" style="1" width="204"/>
    <col collapsed="false" customWidth="true" hidden="false" outlineLevel="0" max="26" min="10" style="1" width="12"/>
  </cols>
  <sheetData>
    <row r="1" customFormat="false" ht="30" hidden="false" customHeight="true" outlineLevel="0" collapsed="false">
      <c r="A1" s="60" t="s">
        <v>309</v>
      </c>
      <c r="B1" s="66" t="s">
        <v>310</v>
      </c>
      <c r="C1" s="60" t="s">
        <v>117</v>
      </c>
      <c r="D1" s="60" t="s">
        <v>118</v>
      </c>
      <c r="E1" s="60" t="s">
        <v>119</v>
      </c>
      <c r="F1" s="60" t="s">
        <v>311</v>
      </c>
      <c r="G1" s="60" t="s">
        <v>312</v>
      </c>
      <c r="H1" s="60" t="s">
        <v>313</v>
      </c>
      <c r="I1" s="60" t="s">
        <v>314</v>
      </c>
      <c r="J1" s="114"/>
      <c r="K1" s="115" t="s">
        <v>315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 customFormat="false" ht="21.75" hidden="false" customHeight="true" outlineLevel="0" collapsed="false">
      <c r="A2" s="70" t="s">
        <v>316</v>
      </c>
      <c r="B2" s="74" t="n">
        <v>46105</v>
      </c>
      <c r="C2" s="70" t="s">
        <v>148</v>
      </c>
      <c r="D2" s="71" t="n">
        <f aca="false">IF(E2="","",IFERROR(INDEX(CADASTRO_VIVO_3CRE!$B$2:$B$150,MATCH(E2,CADASTRO_VIVO_3CRE!$E$2:$E$150,0)),""))</f>
        <v>313025</v>
      </c>
      <c r="E2" s="72" t="s">
        <v>149</v>
      </c>
      <c r="F2" s="72" t="s">
        <v>317</v>
      </c>
      <c r="G2" s="70" t="s">
        <v>34</v>
      </c>
      <c r="H2" s="70" t="s">
        <v>318</v>
      </c>
      <c r="I2" s="72" t="s">
        <v>319</v>
      </c>
      <c r="J2" s="78"/>
      <c r="K2" s="116" t="str">
        <f aca="false">IF(AND(A2&lt;&gt;"",E2=CONSULTA_UNIDADE!$B$4),MAX($K$1:$K$1)+1,"")</f>
        <v/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customFormat="false" ht="21.75" hidden="false" customHeight="true" outlineLevel="0" collapsed="false">
      <c r="A3" s="79" t="s">
        <v>320</v>
      </c>
      <c r="B3" s="83" t="n">
        <v>46000</v>
      </c>
      <c r="C3" s="79" t="s">
        <v>159</v>
      </c>
      <c r="D3" s="85" t="str">
        <f aca="false">IF(E3="","",IFERROR(INDEX(CADASTRO_VIVO_3CRE!$B$2:$B$150,MATCH(E3,CADASTRO_VIVO_3CRE!$E$2:$E$150,0)),""))</f>
        <v/>
      </c>
      <c r="E3" s="81"/>
      <c r="F3" s="81" t="s">
        <v>317</v>
      </c>
      <c r="G3" s="79" t="s">
        <v>34</v>
      </c>
      <c r="H3" s="79" t="s">
        <v>318</v>
      </c>
      <c r="I3" s="81" t="s">
        <v>321</v>
      </c>
      <c r="J3" s="78"/>
      <c r="K3" s="116" t="str">
        <f aca="false">IF(AND(A3&lt;&gt;"",E3=CONSULTA_UNIDADE!$B$4),MAX($K$1:$K$2)+1,"")</f>
        <v/>
      </c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customFormat="false" ht="21.75" hidden="false" customHeight="true" outlineLevel="0" collapsed="false">
      <c r="A4" s="70" t="s">
        <v>322</v>
      </c>
      <c r="B4" s="74" t="n">
        <v>45887</v>
      </c>
      <c r="C4" s="70" t="s">
        <v>165</v>
      </c>
      <c r="D4" s="71" t="str">
        <f aca="false">IF(E4="","",IFERROR(INDEX(CADASTRO_VIVO_3CRE!$B$2:$B$150,MATCH(E4,CADASTRO_VIVO_3CRE!$E$2:$E$150,0)),""))</f>
        <v/>
      </c>
      <c r="E4" s="72"/>
      <c r="F4" s="72" t="s">
        <v>317</v>
      </c>
      <c r="G4" s="70" t="s">
        <v>34</v>
      </c>
      <c r="H4" s="70" t="s">
        <v>318</v>
      </c>
      <c r="I4" s="72" t="s">
        <v>323</v>
      </c>
      <c r="J4" s="78"/>
      <c r="K4" s="116" t="str">
        <f aca="false">IF(AND(A4&lt;&gt;"",E4=CONSULTA_UNIDADE!$B$4),MAX($K$1:$K$3)+1,"")</f>
        <v/>
      </c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customFormat="false" ht="21.75" hidden="false" customHeight="true" outlineLevel="0" collapsed="false">
      <c r="A5" s="79" t="s">
        <v>324</v>
      </c>
      <c r="B5" s="83" t="n">
        <v>46105</v>
      </c>
      <c r="C5" s="79" t="s">
        <v>173</v>
      </c>
      <c r="D5" s="85" t="n">
        <f aca="false">IF(E5="","",IFERROR(INDEX(CADASTRO_VIVO_3CRE!$B$2:$B$150,MATCH(E5,CADASTRO_VIVO_3CRE!$E$2:$E$150,0)),""))</f>
        <v>312502</v>
      </c>
      <c r="E5" s="81" t="s">
        <v>174</v>
      </c>
      <c r="F5" s="81" t="s">
        <v>317</v>
      </c>
      <c r="G5" s="79" t="s">
        <v>34</v>
      </c>
      <c r="H5" s="79" t="s">
        <v>318</v>
      </c>
      <c r="I5" s="81" t="s">
        <v>325</v>
      </c>
      <c r="J5" s="78"/>
      <c r="K5" s="116" t="str">
        <f aca="false">IF(AND(A5&lt;&gt;"",E5=CONSULTA_UNIDADE!$B$4),MAX($K$1:$K$4)+1,"")</f>
        <v/>
      </c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customFormat="false" ht="21.75" hidden="false" customHeight="true" outlineLevel="0" collapsed="false">
      <c r="A6" s="70" t="s">
        <v>326</v>
      </c>
      <c r="B6" s="74" t="n">
        <v>46105</v>
      </c>
      <c r="C6" s="70" t="s">
        <v>178</v>
      </c>
      <c r="D6" s="71" t="n">
        <f aca="false">IF(E6="","",IFERROR(INDEX(CADASTRO_VIVO_3CRE!$B$2:$B$150,MATCH(E6,CADASTRO_VIVO_3CRE!$E$2:$E$150,0)),""))</f>
        <v>328601</v>
      </c>
      <c r="E6" s="72" t="s">
        <v>179</v>
      </c>
      <c r="F6" s="72" t="s">
        <v>317</v>
      </c>
      <c r="G6" s="70" t="s">
        <v>34</v>
      </c>
      <c r="H6" s="70" t="s">
        <v>318</v>
      </c>
      <c r="I6" s="72" t="s">
        <v>327</v>
      </c>
      <c r="J6" s="78"/>
      <c r="K6" s="116" t="str">
        <f aca="false">IF(AND(A6&lt;&gt;"",E6=CONSULTA_UNIDADE!$B$4),MAX($K$1:$K$5)+1,"")</f>
        <v/>
      </c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customFormat="false" ht="21.75" hidden="false" customHeight="true" outlineLevel="0" collapsed="false">
      <c r="A7" s="79" t="s">
        <v>328</v>
      </c>
      <c r="B7" s="83" t="n">
        <v>46105</v>
      </c>
      <c r="C7" s="79" t="s">
        <v>184</v>
      </c>
      <c r="D7" s="85" t="n">
        <f aca="false">IF(E7="","",IFERROR(INDEX(CADASTRO_VIVO_3CRE!$B$2:$B$150,MATCH(E7,CADASTRO_VIVO_3CRE!$E$2:$E$150,0)),""))</f>
        <v>328801</v>
      </c>
      <c r="E7" s="81" t="s">
        <v>185</v>
      </c>
      <c r="F7" s="81" t="s">
        <v>317</v>
      </c>
      <c r="G7" s="79" t="s">
        <v>34</v>
      </c>
      <c r="H7" s="79" t="s">
        <v>318</v>
      </c>
      <c r="I7" s="81" t="s">
        <v>329</v>
      </c>
      <c r="J7" s="78"/>
      <c r="K7" s="116" t="str">
        <f aca="false">IF(AND(A7&lt;&gt;"",E7=CONSULTA_UNIDADE!$B$4),MAX($K$1:$K$6)+1,"")</f>
        <v/>
      </c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customFormat="false" ht="21.75" hidden="false" customHeight="true" outlineLevel="0" collapsed="false">
      <c r="A8" s="70" t="s">
        <v>330</v>
      </c>
      <c r="B8" s="74" t="n">
        <v>46080</v>
      </c>
      <c r="C8" s="70" t="s">
        <v>188</v>
      </c>
      <c r="D8" s="71" t="n">
        <f aca="false">IF(E8="","",IFERROR(INDEX(CADASTRO_VIVO_3CRE!$B$2:$B$150,MATCH(E8,CADASTRO_VIVO_3CRE!$E$2:$E$150,0)),""))</f>
        <v>313806</v>
      </c>
      <c r="E8" s="72" t="s">
        <v>189</v>
      </c>
      <c r="F8" s="72" t="s">
        <v>317</v>
      </c>
      <c r="G8" s="70" t="s">
        <v>34</v>
      </c>
      <c r="H8" s="70" t="s">
        <v>318</v>
      </c>
      <c r="I8" s="72" t="s">
        <v>331</v>
      </c>
      <c r="J8" s="78"/>
      <c r="K8" s="116" t="str">
        <f aca="false">IF(AND(A8&lt;&gt;"",E8=CONSULTA_UNIDADE!$B$4),MAX($K$1:$K$7)+1,"")</f>
        <v/>
      </c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customFormat="false" ht="21.75" hidden="false" customHeight="true" outlineLevel="0" collapsed="false">
      <c r="A9" s="79" t="s">
        <v>332</v>
      </c>
      <c r="B9" s="83" t="n">
        <v>46057</v>
      </c>
      <c r="C9" s="79" t="s">
        <v>192</v>
      </c>
      <c r="D9" s="85" t="n">
        <f aca="false">IF(E9="","",IFERROR(INDEX(CADASTRO_VIVO_3CRE!$B$2:$B$150,MATCH(E9,CADASTRO_VIVO_3CRE!$E$2:$E$150,0)),""))</f>
        <v>312014</v>
      </c>
      <c r="E9" s="81" t="s">
        <v>193</v>
      </c>
      <c r="F9" s="81" t="s">
        <v>317</v>
      </c>
      <c r="G9" s="79" t="s">
        <v>34</v>
      </c>
      <c r="H9" s="79" t="s">
        <v>318</v>
      </c>
      <c r="I9" s="81" t="s">
        <v>333</v>
      </c>
      <c r="J9" s="78"/>
      <c r="K9" s="116" t="str">
        <f aca="false">IF(AND(A9&lt;&gt;"",E9=CONSULTA_UNIDADE!$B$4),MAX($K$1:$K$8)+1,"")</f>
        <v/>
      </c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customFormat="false" ht="21.75" hidden="false" customHeight="true" outlineLevel="0" collapsed="false">
      <c r="A10" s="70" t="s">
        <v>334</v>
      </c>
      <c r="B10" s="74" t="n">
        <v>46073</v>
      </c>
      <c r="C10" s="70" t="s">
        <v>195</v>
      </c>
      <c r="D10" s="71" t="n">
        <f aca="false">IF(E10="","",IFERROR(INDEX(CADASTRO_VIVO_3CRE!$B$2:$B$150,MATCH(E10,CADASTRO_VIVO_3CRE!$E$2:$E$150,0)),""))</f>
        <v>313002</v>
      </c>
      <c r="E10" s="72" t="s">
        <v>196</v>
      </c>
      <c r="F10" s="72" t="s">
        <v>317</v>
      </c>
      <c r="G10" s="70" t="s">
        <v>34</v>
      </c>
      <c r="H10" s="70" t="s">
        <v>318</v>
      </c>
      <c r="I10" s="72" t="s">
        <v>335</v>
      </c>
      <c r="J10" s="78"/>
      <c r="K10" s="116" t="str">
        <f aca="false">IF(AND(A10&lt;&gt;"",E10=CONSULTA_UNIDADE!$B$4),MAX($K$1:$K$9)+1,"")</f>
        <v/>
      </c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customFormat="false" ht="21.75" hidden="false" customHeight="true" outlineLevel="0" collapsed="false">
      <c r="A11" s="79" t="s">
        <v>336</v>
      </c>
      <c r="B11" s="83" t="n">
        <v>46105</v>
      </c>
      <c r="C11" s="79" t="s">
        <v>199</v>
      </c>
      <c r="D11" s="85" t="n">
        <f aca="false">IF(E11="","",IFERROR(INDEX(CADASTRO_VIVO_3CRE!$B$2:$B$150,MATCH(E11,CADASTRO_VIVO_3CRE!$E$2:$E$150,0)),""))</f>
        <v>313022</v>
      </c>
      <c r="E11" s="81" t="s">
        <v>200</v>
      </c>
      <c r="F11" s="81" t="s">
        <v>317</v>
      </c>
      <c r="G11" s="79" t="s">
        <v>34</v>
      </c>
      <c r="H11" s="79" t="s">
        <v>318</v>
      </c>
      <c r="I11" s="81" t="s">
        <v>337</v>
      </c>
      <c r="J11" s="78"/>
      <c r="K11" s="116" t="str">
        <f aca="false">IF(AND(A11&lt;&gt;"",E11=CONSULTA_UNIDADE!$B$4),MAX($K$1:$K$10)+1,"")</f>
        <v/>
      </c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customFormat="false" ht="21.75" hidden="false" customHeight="true" outlineLevel="0" collapsed="false">
      <c r="A12" s="70" t="s">
        <v>338</v>
      </c>
      <c r="B12" s="74" t="n">
        <v>46105</v>
      </c>
      <c r="C12" s="70" t="s">
        <v>203</v>
      </c>
      <c r="D12" s="71" t="n">
        <f aca="false">IF(E12="","",IFERROR(INDEX(CADASTRO_VIVO_3CRE!$B$2:$B$150,MATCH(E12,CADASTRO_VIVO_3CRE!$E$2:$E$150,0)),""))</f>
        <v>313018</v>
      </c>
      <c r="E12" s="72" t="s">
        <v>204</v>
      </c>
      <c r="F12" s="72" t="s">
        <v>317</v>
      </c>
      <c r="G12" s="70" t="s">
        <v>34</v>
      </c>
      <c r="H12" s="70" t="s">
        <v>318</v>
      </c>
      <c r="I12" s="72" t="s">
        <v>339</v>
      </c>
      <c r="J12" s="78"/>
      <c r="K12" s="116" t="str">
        <f aca="false">IF(AND(A12&lt;&gt;"",E12=CONSULTA_UNIDADE!$B$4),MAX($K$1:$K$11)+1,"")</f>
        <v/>
      </c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customFormat="false" ht="21.75" hidden="false" customHeight="true" outlineLevel="0" collapsed="false">
      <c r="A13" s="79" t="s">
        <v>340</v>
      </c>
      <c r="B13" s="83" t="n">
        <v>46105</v>
      </c>
      <c r="C13" s="79" t="s">
        <v>207</v>
      </c>
      <c r="D13" s="85" t="n">
        <f aca="false">IF(E13="","",IFERROR(INDEX(CADASTRO_VIVO_3CRE!$B$2:$B$150,MATCH(E13,CADASTRO_VIVO_3CRE!$E$2:$E$150,0)),""))</f>
        <v>312021</v>
      </c>
      <c r="E13" s="81" t="s">
        <v>208</v>
      </c>
      <c r="F13" s="81" t="s">
        <v>317</v>
      </c>
      <c r="G13" s="79" t="s">
        <v>34</v>
      </c>
      <c r="H13" s="79" t="s">
        <v>318</v>
      </c>
      <c r="I13" s="81" t="s">
        <v>341</v>
      </c>
      <c r="J13" s="78"/>
      <c r="K13" s="116" t="str">
        <f aca="false">IF(AND(A13&lt;&gt;"",E13=CONSULTA_UNIDADE!$B$4),MAX($K$1:$K$12)+1,"")</f>
        <v/>
      </c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customFormat="false" ht="21.75" hidden="false" customHeight="true" outlineLevel="0" collapsed="false">
      <c r="A14" s="70" t="s">
        <v>342</v>
      </c>
      <c r="B14" s="74" t="n">
        <v>46105</v>
      </c>
      <c r="C14" s="70" t="s">
        <v>211</v>
      </c>
      <c r="D14" s="71" t="n">
        <f aca="false">IF(E14="","",IFERROR(INDEX(CADASTRO_VIVO_3CRE!$B$2:$B$150,MATCH(E14,CADASTRO_VIVO_3CRE!$E$2:$E$150,0)),""))</f>
        <v>313040</v>
      </c>
      <c r="E14" s="72" t="s">
        <v>212</v>
      </c>
      <c r="F14" s="72" t="s">
        <v>317</v>
      </c>
      <c r="G14" s="70" t="s">
        <v>34</v>
      </c>
      <c r="H14" s="70" t="s">
        <v>318</v>
      </c>
      <c r="I14" s="72" t="s">
        <v>343</v>
      </c>
      <c r="J14" s="78"/>
      <c r="K14" s="116" t="str">
        <f aca="false">IF(AND(A14&lt;&gt;"",E14=CONSULTA_UNIDADE!$B$4),MAX($K$1:$K$13)+1,"")</f>
        <v/>
      </c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customFormat="false" ht="21.75" hidden="false" customHeight="true" outlineLevel="0" collapsed="false">
      <c r="A15" s="79" t="s">
        <v>344</v>
      </c>
      <c r="B15" s="83" t="n">
        <v>46105</v>
      </c>
      <c r="C15" s="79" t="s">
        <v>215</v>
      </c>
      <c r="D15" s="85" t="n">
        <f aca="false">IF(E15="","",IFERROR(INDEX(CADASTRO_VIVO_3CRE!$B$2:$B$150,MATCH(E15,CADASTRO_VIVO_3CRE!$E$2:$E$150,0)),""))</f>
        <v>313041</v>
      </c>
      <c r="E15" s="81" t="s">
        <v>216</v>
      </c>
      <c r="F15" s="81" t="s">
        <v>317</v>
      </c>
      <c r="G15" s="79" t="s">
        <v>34</v>
      </c>
      <c r="H15" s="79" t="s">
        <v>318</v>
      </c>
      <c r="I15" s="81" t="s">
        <v>345</v>
      </c>
      <c r="J15" s="78"/>
      <c r="K15" s="116" t="str">
        <f aca="false">IF(AND(A15&lt;&gt;"",E15=CONSULTA_UNIDADE!$B$4),MAX($K$1:$K$14)+1,"")</f>
        <v/>
      </c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customFormat="false" ht="21.75" hidden="false" customHeight="true" outlineLevel="0" collapsed="false">
      <c r="A16" s="70" t="s">
        <v>346</v>
      </c>
      <c r="B16" s="74" t="n">
        <v>46105</v>
      </c>
      <c r="C16" s="70" t="s">
        <v>218</v>
      </c>
      <c r="D16" s="71" t="n">
        <f aca="false">IF(E16="","",IFERROR(INDEX(CADASTRO_VIVO_3CRE!$B$2:$B$150,MATCH(E16,CADASTRO_VIVO_3CRE!$E$2:$E$150,0)),""))</f>
        <v>312043</v>
      </c>
      <c r="E16" s="72" t="s">
        <v>219</v>
      </c>
      <c r="F16" s="72" t="s">
        <v>317</v>
      </c>
      <c r="G16" s="70" t="s">
        <v>34</v>
      </c>
      <c r="H16" s="70" t="s">
        <v>318</v>
      </c>
      <c r="I16" s="72" t="s">
        <v>347</v>
      </c>
      <c r="J16" s="78"/>
      <c r="K16" s="116" t="str">
        <f aca="false">IF(AND(A16&lt;&gt;"",E16=CONSULTA_UNIDADE!$B$4),MAX($K$1:$K$15)+1,"")</f>
        <v/>
      </c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customFormat="false" ht="21.75" hidden="false" customHeight="true" outlineLevel="0" collapsed="false">
      <c r="A17" s="79" t="s">
        <v>348</v>
      </c>
      <c r="B17" s="83" t="n">
        <v>45714</v>
      </c>
      <c r="C17" s="79" t="s">
        <v>222</v>
      </c>
      <c r="D17" s="85" t="str">
        <f aca="false">IF(E17="","",IFERROR(INDEX(CADASTRO_VIVO_3CRE!$B$2:$B$150,MATCH(E17,CADASTRO_VIVO_3CRE!$E$2:$E$150,0)),""))</f>
        <v/>
      </c>
      <c r="E17" s="81"/>
      <c r="F17" s="81" t="s">
        <v>317</v>
      </c>
      <c r="G17" s="79" t="s">
        <v>34</v>
      </c>
      <c r="H17" s="79" t="s">
        <v>318</v>
      </c>
      <c r="I17" s="81" t="s">
        <v>349</v>
      </c>
      <c r="J17" s="78"/>
      <c r="K17" s="116" t="str">
        <f aca="false">IF(AND(A17&lt;&gt;"",E17=CONSULTA_UNIDADE!$B$4),MAX($K$1:$K$16)+1,"")</f>
        <v/>
      </c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customFormat="false" ht="21.75" hidden="false" customHeight="true" outlineLevel="0" collapsed="false">
      <c r="A18" s="70" t="s">
        <v>350</v>
      </c>
      <c r="B18" s="74" t="n">
        <v>46106</v>
      </c>
      <c r="C18" s="70" t="s">
        <v>226</v>
      </c>
      <c r="D18" s="71" t="n">
        <f aca="false">IF(E18="","",IFERROR(INDEX(CADASTRO_VIVO_3CRE!$B$2:$B$150,MATCH(E18,CADASTRO_VIVO_3CRE!$E$2:$E$150,0)),""))</f>
        <v>313007</v>
      </c>
      <c r="E18" s="72" t="s">
        <v>227</v>
      </c>
      <c r="F18" s="72" t="s">
        <v>317</v>
      </c>
      <c r="G18" s="70" t="s">
        <v>34</v>
      </c>
      <c r="H18" s="70" t="s">
        <v>318</v>
      </c>
      <c r="I18" s="72" t="s">
        <v>351</v>
      </c>
      <c r="J18" s="78"/>
      <c r="K18" s="116" t="str">
        <f aca="false">IF(AND(A18&lt;&gt;"",E18=CONSULTA_UNIDADE!$B$4),MAX($K$1:$K$17)+1,"")</f>
        <v/>
      </c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customFormat="false" ht="21.75" hidden="false" customHeight="true" outlineLevel="0" collapsed="false">
      <c r="A19" s="79" t="s">
        <v>352</v>
      </c>
      <c r="B19" s="83" t="n">
        <v>45882</v>
      </c>
      <c r="C19" s="79" t="s">
        <v>231</v>
      </c>
      <c r="D19" s="85" t="str">
        <f aca="false">IF(E19="","",IFERROR(INDEX(CADASTRO_VIVO_3CRE!$B$2:$B$150,MATCH(E19,CADASTRO_VIVO_3CRE!$E$2:$E$150,0)),""))</f>
        <v/>
      </c>
      <c r="E19" s="81"/>
      <c r="F19" s="81" t="s">
        <v>317</v>
      </c>
      <c r="G19" s="79" t="s">
        <v>34</v>
      </c>
      <c r="H19" s="79" t="s">
        <v>318</v>
      </c>
      <c r="I19" s="81" t="s">
        <v>353</v>
      </c>
      <c r="J19" s="78"/>
      <c r="K19" s="116" t="str">
        <f aca="false">IF(AND(A19&lt;&gt;"",E19=CONSULTA_UNIDADE!$B$4),MAX($K$1:$K$18)+1,"")</f>
        <v/>
      </c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customFormat="false" ht="21.75" hidden="false" customHeight="true" outlineLevel="0" collapsed="false">
      <c r="A20" s="70" t="s">
        <v>354</v>
      </c>
      <c r="B20" s="74" t="n">
        <v>46164</v>
      </c>
      <c r="C20" s="70" t="s">
        <v>235</v>
      </c>
      <c r="D20" s="71" t="n">
        <f aca="false">IF(E20="","",IFERROR(INDEX(CADASTRO_VIVO_3CRE!$B$2:$B$150,MATCH(E20,CADASTRO_VIVO_3CRE!$E$2:$E$150,0)),""))</f>
        <v>312035</v>
      </c>
      <c r="E20" s="72" t="s">
        <v>236</v>
      </c>
      <c r="F20" s="72" t="s">
        <v>317</v>
      </c>
      <c r="G20" s="70" t="s">
        <v>34</v>
      </c>
      <c r="H20" s="70" t="s">
        <v>318</v>
      </c>
      <c r="I20" s="72" t="s">
        <v>355</v>
      </c>
      <c r="J20" s="78"/>
      <c r="K20" s="116" t="str">
        <f aca="false">IF(AND(A20&lt;&gt;"",E20=CONSULTA_UNIDADE!$B$4),MAX($K$1:$K$19)+1,"")</f>
        <v/>
      </c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customFormat="false" ht="21.75" hidden="false" customHeight="true" outlineLevel="0" collapsed="false">
      <c r="A21" s="79" t="s">
        <v>356</v>
      </c>
      <c r="B21" s="83" t="n">
        <v>46105</v>
      </c>
      <c r="C21" s="79" t="s">
        <v>242</v>
      </c>
      <c r="D21" s="85" t="n">
        <f aca="false">IF(E21="","",IFERROR(INDEX(CADASTRO_VIVO_3CRE!$B$2:$B$150,MATCH(E21,CADASTRO_VIVO_3CRE!$E$2:$E$150,0)),""))</f>
        <v>312801</v>
      </c>
      <c r="E21" s="81" t="s">
        <v>243</v>
      </c>
      <c r="F21" s="81" t="s">
        <v>317</v>
      </c>
      <c r="G21" s="79" t="s">
        <v>34</v>
      </c>
      <c r="H21" s="79" t="s">
        <v>318</v>
      </c>
      <c r="I21" s="81" t="s">
        <v>357</v>
      </c>
      <c r="J21" s="78"/>
      <c r="K21" s="116" t="str">
        <f aca="false">IF(AND(A21&lt;&gt;"",E21=CONSULTA_UNIDADE!$B$4),MAX($K$1:$K$20)+1,"")</f>
        <v/>
      </c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customFormat="false" ht="21.75" hidden="false" customHeight="true" outlineLevel="0" collapsed="false">
      <c r="A22" s="70" t="s">
        <v>358</v>
      </c>
      <c r="B22" s="74" t="n">
        <v>46105</v>
      </c>
      <c r="C22" s="70" t="s">
        <v>246</v>
      </c>
      <c r="D22" s="71" t="n">
        <f aca="false">IF(E22="","",IFERROR(INDEX(CADASTRO_VIVO_3CRE!$B$2:$B$150,MATCH(E22,CADASTRO_VIVO_3CRE!$E$2:$E$150,0)),""))</f>
        <v>312006</v>
      </c>
      <c r="E22" s="72" t="s">
        <v>247</v>
      </c>
      <c r="F22" s="72" t="s">
        <v>317</v>
      </c>
      <c r="G22" s="70" t="s">
        <v>34</v>
      </c>
      <c r="H22" s="70" t="s">
        <v>318</v>
      </c>
      <c r="I22" s="72" t="s">
        <v>359</v>
      </c>
      <c r="J22" s="78"/>
      <c r="K22" s="116" t="str">
        <f aca="false">IF(AND(A22&lt;&gt;"",E22=CONSULTA_UNIDADE!$B$4),MAX($K$1:$K$21)+1,"")</f>
        <v/>
      </c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customFormat="false" ht="21.75" hidden="false" customHeight="true" outlineLevel="0" collapsed="false">
      <c r="A23" s="79" t="s">
        <v>360</v>
      </c>
      <c r="B23" s="83" t="n">
        <v>45799</v>
      </c>
      <c r="C23" s="79" t="s">
        <v>250</v>
      </c>
      <c r="D23" s="85" t="str">
        <f aca="false">IF(E23="","",IFERROR(INDEX(CADASTRO_VIVO_3CRE!$B$2:$B$150,MATCH(E23,CADASTRO_VIVO_3CRE!$E$2:$E$150,0)),""))</f>
        <v/>
      </c>
      <c r="E23" s="81"/>
      <c r="F23" s="81" t="s">
        <v>317</v>
      </c>
      <c r="G23" s="79" t="s">
        <v>34</v>
      </c>
      <c r="H23" s="79" t="s">
        <v>318</v>
      </c>
      <c r="I23" s="81" t="s">
        <v>361</v>
      </c>
      <c r="J23" s="78"/>
      <c r="K23" s="116" t="str">
        <f aca="false">IF(AND(A23&lt;&gt;"",E23=CONSULTA_UNIDADE!$B$4),MAX($K$1:$K$22)+1,"")</f>
        <v/>
      </c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customFormat="false" ht="21.75" hidden="false" customHeight="true" outlineLevel="0" collapsed="false">
      <c r="A24" s="70" t="s">
        <v>362</v>
      </c>
      <c r="B24" s="74" t="n">
        <v>46146</v>
      </c>
      <c r="C24" s="70" t="s">
        <v>254</v>
      </c>
      <c r="D24" s="71" t="n">
        <f aca="false">IF(E24="","",IFERROR(INDEX(CADASTRO_VIVO_3CRE!$B$2:$B$150,MATCH(E24,CADASTRO_VIVO_3CRE!$E$2:$E$150,0)),""))</f>
        <v>328501</v>
      </c>
      <c r="E24" s="72" t="s">
        <v>255</v>
      </c>
      <c r="F24" s="72" t="s">
        <v>317</v>
      </c>
      <c r="G24" s="70" t="s">
        <v>34</v>
      </c>
      <c r="H24" s="70" t="s">
        <v>318</v>
      </c>
      <c r="I24" s="72" t="s">
        <v>363</v>
      </c>
      <c r="J24" s="78"/>
      <c r="K24" s="116" t="str">
        <f aca="false">IF(AND(A24&lt;&gt;"",E24=CONSULTA_UNIDADE!$B$4),MAX($K$1:$K$23)+1,"")</f>
        <v/>
      </c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customFormat="false" ht="21.75" hidden="false" customHeight="true" outlineLevel="0" collapsed="false">
      <c r="A25" s="79" t="s">
        <v>364</v>
      </c>
      <c r="B25" s="83" t="n">
        <v>46161</v>
      </c>
      <c r="C25" s="79" t="s">
        <v>258</v>
      </c>
      <c r="D25" s="85" t="n">
        <f aca="false">IF(E25="","",IFERROR(INDEX(CADASTRO_VIVO_3CRE!$B$2:$B$150,MATCH(E25,CADASTRO_VIVO_3CRE!$E$2:$E$150,0)),""))</f>
        <v>313051</v>
      </c>
      <c r="E25" s="81" t="s">
        <v>259</v>
      </c>
      <c r="F25" s="81" t="s">
        <v>317</v>
      </c>
      <c r="G25" s="79" t="s">
        <v>34</v>
      </c>
      <c r="H25" s="79" t="s">
        <v>318</v>
      </c>
      <c r="I25" s="81" t="s">
        <v>365</v>
      </c>
      <c r="J25" s="78"/>
      <c r="K25" s="116" t="str">
        <f aca="false">IF(AND(A25&lt;&gt;"",E25=CONSULTA_UNIDADE!$B$4),MAX($K$1:$K$24)+1,"")</f>
        <v/>
      </c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customFormat="false" ht="21.75" hidden="false" customHeight="true" outlineLevel="0" collapsed="false">
      <c r="A26" s="70" t="s">
        <v>366</v>
      </c>
      <c r="B26" s="74" t="n">
        <v>46149</v>
      </c>
      <c r="C26" s="70" t="s">
        <v>262</v>
      </c>
      <c r="D26" s="71" t="n">
        <f aca="false">IF(E26="","",IFERROR(INDEX(CADASTRO_VIVO_3CRE!$B$2:$B$150,MATCH(E26,CADASTRO_VIVO_3CRE!$E$2:$E$150,0)),""))</f>
        <v>313055</v>
      </c>
      <c r="E26" s="72" t="s">
        <v>263</v>
      </c>
      <c r="F26" s="72" t="s">
        <v>317</v>
      </c>
      <c r="G26" s="70" t="s">
        <v>34</v>
      </c>
      <c r="H26" s="70" t="s">
        <v>318</v>
      </c>
      <c r="I26" s="72" t="s">
        <v>367</v>
      </c>
      <c r="J26" s="78"/>
      <c r="K26" s="116" t="str">
        <f aca="false">IF(AND(A26&lt;&gt;"",E26=CONSULTA_UNIDADE!$B$4),MAX($K$1:$K$25)+1,"")</f>
        <v/>
      </c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customFormat="false" ht="21.75" hidden="false" customHeight="true" outlineLevel="0" collapsed="false">
      <c r="A27" s="79" t="s">
        <v>368</v>
      </c>
      <c r="B27" s="83" t="n">
        <v>46148</v>
      </c>
      <c r="C27" s="79" t="s">
        <v>266</v>
      </c>
      <c r="D27" s="85" t="n">
        <f aca="false">IF(E27="","",IFERROR(INDEX(CADASTRO_VIVO_3CRE!$B$2:$B$150,MATCH(E27,CADASTRO_VIVO_3CRE!$E$2:$E$150,0)),""))</f>
        <v>330601</v>
      </c>
      <c r="E27" s="81" t="s">
        <v>267</v>
      </c>
      <c r="F27" s="81" t="s">
        <v>317</v>
      </c>
      <c r="G27" s="79" t="s">
        <v>34</v>
      </c>
      <c r="H27" s="79" t="s">
        <v>318</v>
      </c>
      <c r="I27" s="81" t="s">
        <v>369</v>
      </c>
      <c r="J27" s="78"/>
      <c r="K27" s="116" t="str">
        <f aca="false">IF(AND(A27&lt;&gt;"",E27=CONSULTA_UNIDADE!$B$4),MAX($K$1:$K$26)+1,"")</f>
        <v/>
      </c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customFormat="false" ht="21.75" hidden="false" customHeight="true" outlineLevel="0" collapsed="false">
      <c r="A28" s="70" t="s">
        <v>370</v>
      </c>
      <c r="B28" s="74" t="n">
        <v>46105</v>
      </c>
      <c r="C28" s="70" t="s">
        <v>270</v>
      </c>
      <c r="D28" s="71" t="n">
        <f aca="false">IF(E28="","",IFERROR(INDEX(CADASTRO_VIVO_3CRE!$B$2:$B$150,MATCH(E28,CADASTRO_VIVO_3CRE!$E$2:$E$150,0)),""))</f>
        <v>313034</v>
      </c>
      <c r="E28" s="72" t="s">
        <v>271</v>
      </c>
      <c r="F28" s="72" t="s">
        <v>317</v>
      </c>
      <c r="G28" s="70" t="s">
        <v>34</v>
      </c>
      <c r="H28" s="70" t="s">
        <v>318</v>
      </c>
      <c r="I28" s="72" t="s">
        <v>273</v>
      </c>
      <c r="J28" s="78"/>
      <c r="K28" s="116" t="str">
        <f aca="false">IF(AND(A28&lt;&gt;"",E28=CONSULTA_UNIDADE!$B$4),MAX($K$1:$K$27)+1,"")</f>
        <v/>
      </c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customFormat="false" ht="21.75" hidden="false" customHeight="true" outlineLevel="0" collapsed="false">
      <c r="A29" s="79" t="s">
        <v>371</v>
      </c>
      <c r="B29" s="83" t="n">
        <v>46105</v>
      </c>
      <c r="C29" s="79" t="s">
        <v>274</v>
      </c>
      <c r="D29" s="85" t="n">
        <f aca="false">IF(E29="","",IFERROR(INDEX(CADASTRO_VIVO_3CRE!$B$2:$B$150,MATCH(E29,CADASTRO_VIVO_3CRE!$E$2:$E$150,0)),""))</f>
        <v>312033</v>
      </c>
      <c r="E29" s="81" t="s">
        <v>275</v>
      </c>
      <c r="F29" s="81" t="s">
        <v>317</v>
      </c>
      <c r="G29" s="79" t="s">
        <v>34</v>
      </c>
      <c r="H29" s="79" t="s">
        <v>318</v>
      </c>
      <c r="I29" s="81" t="s">
        <v>278</v>
      </c>
      <c r="J29" s="78"/>
      <c r="K29" s="116" t="str">
        <f aca="false">IF(AND(A29&lt;&gt;"",E29=CONSULTA_UNIDADE!$B$4),MAX($K$1:$K$28)+1,"")</f>
        <v/>
      </c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customFormat="false" ht="16.5" hidden="false" customHeight="true" outlineLevel="0" collapsed="false">
      <c r="A30" s="86"/>
      <c r="B30" s="88"/>
      <c r="C30" s="86"/>
      <c r="D30" s="87" t="str">
        <f aca="false">IF(E30="","",IFERROR(INDEX(CADASTRO_VIVO_3CRE!$B$2:$B$150,MATCH(E30,CADASTRO_VIVO_3CRE!$E$2:$E$150,0)),""))</f>
        <v/>
      </c>
      <c r="E30" s="86"/>
      <c r="F30" s="86"/>
      <c r="G30" s="86"/>
      <c r="H30" s="86"/>
      <c r="I30" s="86"/>
      <c r="J30" s="86"/>
      <c r="K30" s="117" t="str">
        <f aca="false">IF(AND(A30&lt;&gt;"",E30=CONSULTA_UNIDADE!$B$4),MAX($K$1:$K$29)+1,"")</f>
        <v/>
      </c>
      <c r="L30" s="86"/>
      <c r="M30" s="86"/>
      <c r="N30" s="86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customFormat="false" ht="16.5" hidden="false" customHeight="true" outlineLevel="0" collapsed="false">
      <c r="A31" s="86"/>
      <c r="B31" s="88"/>
      <c r="C31" s="86"/>
      <c r="D31" s="87" t="str">
        <f aca="false">IF(E31="","",IFERROR(INDEX(CADASTRO_VIVO_3CRE!$B$2:$B$150,MATCH(E31,CADASTRO_VIVO_3CRE!$E$2:$E$150,0)),""))</f>
        <v/>
      </c>
      <c r="E31" s="86"/>
      <c r="F31" s="86"/>
      <c r="G31" s="86"/>
      <c r="H31" s="86"/>
      <c r="I31" s="86"/>
      <c r="J31" s="86"/>
      <c r="K31" s="117" t="str">
        <f aca="false">IF(AND(A31&lt;&gt;"",E31=CONSULTA_UNIDADE!$B$4),MAX($K$1:$K$30)+1,"")</f>
        <v/>
      </c>
      <c r="L31" s="86"/>
      <c r="M31" s="86"/>
      <c r="N31" s="86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customFormat="false" ht="16.5" hidden="false" customHeight="true" outlineLevel="0" collapsed="false">
      <c r="A32" s="86"/>
      <c r="B32" s="88"/>
      <c r="C32" s="86"/>
      <c r="D32" s="87" t="str">
        <f aca="false">IF(E32="","",IFERROR(INDEX(CADASTRO_VIVO_3CRE!$B$2:$B$150,MATCH(E32,CADASTRO_VIVO_3CRE!$E$2:$E$150,0)),""))</f>
        <v/>
      </c>
      <c r="E32" s="86"/>
      <c r="F32" s="86"/>
      <c r="G32" s="86"/>
      <c r="H32" s="86"/>
      <c r="I32" s="86"/>
      <c r="J32" s="86"/>
      <c r="K32" s="117" t="str">
        <f aca="false">IF(AND(A32&lt;&gt;"",E32=CONSULTA_UNIDADE!$B$4),MAX($K$1:$K$31)+1,"")</f>
        <v/>
      </c>
      <c r="L32" s="86"/>
      <c r="M32" s="86"/>
      <c r="N32" s="86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customFormat="false" ht="16.5" hidden="false" customHeight="true" outlineLevel="0" collapsed="false">
      <c r="A33" s="86"/>
      <c r="B33" s="88"/>
      <c r="C33" s="86"/>
      <c r="D33" s="87" t="str">
        <f aca="false">IF(E33="","",IFERROR(INDEX(CADASTRO_VIVO_3CRE!$B$2:$B$150,MATCH(E33,CADASTRO_VIVO_3CRE!$E$2:$E$150,0)),""))</f>
        <v/>
      </c>
      <c r="E33" s="86"/>
      <c r="F33" s="86"/>
      <c r="G33" s="86"/>
      <c r="H33" s="86"/>
      <c r="I33" s="86"/>
      <c r="J33" s="86"/>
      <c r="K33" s="117" t="str">
        <f aca="false">IF(AND(A33&lt;&gt;"",E33=CONSULTA_UNIDADE!$B$4),MAX($K$1:$K$32)+1,"")</f>
        <v/>
      </c>
      <c r="L33" s="86"/>
      <c r="M33" s="86"/>
      <c r="N33" s="86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customFormat="false" ht="16.5" hidden="false" customHeight="true" outlineLevel="0" collapsed="false">
      <c r="A34" s="86"/>
      <c r="B34" s="88"/>
      <c r="C34" s="86"/>
      <c r="D34" s="87" t="str">
        <f aca="false">IF(E34="","",IFERROR(INDEX(CADASTRO_VIVO_3CRE!$B$2:$B$150,MATCH(E34,CADASTRO_VIVO_3CRE!$E$2:$E$150,0)),""))</f>
        <v/>
      </c>
      <c r="E34" s="86"/>
      <c r="F34" s="86"/>
      <c r="G34" s="86"/>
      <c r="H34" s="86"/>
      <c r="I34" s="86"/>
      <c r="J34" s="86"/>
      <c r="K34" s="117" t="str">
        <f aca="false">IF(AND(A34&lt;&gt;"",E34=CONSULTA_UNIDADE!$B$4),MAX($K$1:$K$33)+1,"")</f>
        <v/>
      </c>
      <c r="L34" s="86"/>
      <c r="M34" s="86"/>
      <c r="N34" s="86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customFormat="false" ht="16.5" hidden="false" customHeight="true" outlineLevel="0" collapsed="false">
      <c r="A35" s="86"/>
      <c r="B35" s="88"/>
      <c r="C35" s="86"/>
      <c r="D35" s="87" t="str">
        <f aca="false">IF(E35="","",IFERROR(INDEX(CADASTRO_VIVO_3CRE!$B$2:$B$150,MATCH(E35,CADASTRO_VIVO_3CRE!$E$2:$E$150,0)),""))</f>
        <v/>
      </c>
      <c r="E35" s="86"/>
      <c r="F35" s="86"/>
      <c r="G35" s="86"/>
      <c r="H35" s="86"/>
      <c r="I35" s="86"/>
      <c r="J35" s="86"/>
      <c r="K35" s="117" t="str">
        <f aca="false">IF(AND(A35&lt;&gt;"",E35=CONSULTA_UNIDADE!$B$4),MAX($K$1:$K$34)+1,"")</f>
        <v/>
      </c>
      <c r="L35" s="86"/>
      <c r="M35" s="86"/>
      <c r="N35" s="86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customFormat="false" ht="16.5" hidden="false" customHeight="true" outlineLevel="0" collapsed="false">
      <c r="A36" s="86"/>
      <c r="B36" s="88"/>
      <c r="C36" s="86"/>
      <c r="D36" s="87" t="str">
        <f aca="false">IF(E36="","",IFERROR(INDEX(CADASTRO_VIVO_3CRE!$B$2:$B$150,MATCH(E36,CADASTRO_VIVO_3CRE!$E$2:$E$150,0)),""))</f>
        <v/>
      </c>
      <c r="E36" s="86"/>
      <c r="F36" s="86"/>
      <c r="G36" s="86"/>
      <c r="H36" s="86"/>
      <c r="I36" s="86"/>
      <c r="J36" s="86"/>
      <c r="K36" s="117" t="str">
        <f aca="false">IF(AND(A36&lt;&gt;"",E36=CONSULTA_UNIDADE!$B$4),MAX($K$1:$K$35)+1,"")</f>
        <v/>
      </c>
      <c r="L36" s="86"/>
      <c r="M36" s="86"/>
      <c r="N36" s="86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customFormat="false" ht="16.5" hidden="false" customHeight="true" outlineLevel="0" collapsed="false">
      <c r="A37" s="86"/>
      <c r="B37" s="88"/>
      <c r="C37" s="86"/>
      <c r="D37" s="87" t="str">
        <f aca="false">IF(E37="","",IFERROR(INDEX(CADASTRO_VIVO_3CRE!$B$2:$B$150,MATCH(E37,CADASTRO_VIVO_3CRE!$E$2:$E$150,0)),""))</f>
        <v/>
      </c>
      <c r="E37" s="86"/>
      <c r="F37" s="86"/>
      <c r="G37" s="86"/>
      <c r="H37" s="86"/>
      <c r="I37" s="86"/>
      <c r="J37" s="86"/>
      <c r="K37" s="117" t="str">
        <f aca="false">IF(AND(A37&lt;&gt;"",E37=CONSULTA_UNIDADE!$B$4),MAX($K$1:$K$36)+1,"")</f>
        <v/>
      </c>
      <c r="L37" s="86"/>
      <c r="M37" s="86"/>
      <c r="N37" s="86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customFormat="false" ht="16.5" hidden="false" customHeight="true" outlineLevel="0" collapsed="false">
      <c r="A38" s="86"/>
      <c r="B38" s="88"/>
      <c r="C38" s="86"/>
      <c r="D38" s="87" t="str">
        <f aca="false">IF(E38="","",IFERROR(INDEX(CADASTRO_VIVO_3CRE!$B$2:$B$150,MATCH(E38,CADASTRO_VIVO_3CRE!$E$2:$E$150,0)),""))</f>
        <v/>
      </c>
      <c r="E38" s="86"/>
      <c r="F38" s="86"/>
      <c r="G38" s="86"/>
      <c r="H38" s="86"/>
      <c r="I38" s="86"/>
      <c r="J38" s="86"/>
      <c r="K38" s="117" t="str">
        <f aca="false">IF(AND(A38&lt;&gt;"",E38=CONSULTA_UNIDADE!$B$4),MAX($K$1:$K$37)+1,"")</f>
        <v/>
      </c>
      <c r="L38" s="86"/>
      <c r="M38" s="86"/>
      <c r="N38" s="86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customFormat="false" ht="16.5" hidden="false" customHeight="true" outlineLevel="0" collapsed="false">
      <c r="A39" s="86"/>
      <c r="B39" s="88"/>
      <c r="C39" s="86"/>
      <c r="D39" s="87" t="str">
        <f aca="false">IF(E39="","",IFERROR(INDEX(CADASTRO_VIVO_3CRE!$B$2:$B$150,MATCH(E39,CADASTRO_VIVO_3CRE!$E$2:$E$150,0)),""))</f>
        <v/>
      </c>
      <c r="E39" s="86"/>
      <c r="F39" s="86"/>
      <c r="G39" s="86"/>
      <c r="H39" s="86"/>
      <c r="I39" s="86"/>
      <c r="J39" s="86"/>
      <c r="K39" s="117" t="str">
        <f aca="false">IF(AND(A39&lt;&gt;"",E39=CONSULTA_UNIDADE!$B$4),MAX($K$1:$K$38)+1,"")</f>
        <v/>
      </c>
      <c r="L39" s="86"/>
      <c r="M39" s="86"/>
      <c r="N39" s="86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customFormat="false" ht="16.5" hidden="false" customHeight="true" outlineLevel="0" collapsed="false">
      <c r="A40" s="86"/>
      <c r="B40" s="88"/>
      <c r="C40" s="86"/>
      <c r="D40" s="87" t="str">
        <f aca="false">IF(E40="","",IFERROR(INDEX(CADASTRO_VIVO_3CRE!$B$2:$B$150,MATCH(E40,CADASTRO_VIVO_3CRE!$E$2:$E$150,0)),""))</f>
        <v/>
      </c>
      <c r="E40" s="86"/>
      <c r="F40" s="86"/>
      <c r="G40" s="86"/>
      <c r="H40" s="86"/>
      <c r="I40" s="86"/>
      <c r="J40" s="86"/>
      <c r="K40" s="117" t="str">
        <f aca="false">IF(AND(A40&lt;&gt;"",E40=CONSULTA_UNIDADE!$B$4),MAX($K$1:$K$39)+1,"")</f>
        <v/>
      </c>
      <c r="L40" s="86"/>
      <c r="M40" s="86"/>
      <c r="N40" s="86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customFormat="false" ht="16.5" hidden="false" customHeight="true" outlineLevel="0" collapsed="false">
      <c r="A41" s="86"/>
      <c r="B41" s="88"/>
      <c r="C41" s="86"/>
      <c r="D41" s="87" t="str">
        <f aca="false">IF(E41="","",IFERROR(INDEX(CADASTRO_VIVO_3CRE!$B$2:$B$150,MATCH(E41,CADASTRO_VIVO_3CRE!$E$2:$E$150,0)),""))</f>
        <v/>
      </c>
      <c r="E41" s="86"/>
      <c r="F41" s="86"/>
      <c r="G41" s="86"/>
      <c r="H41" s="86"/>
      <c r="I41" s="86"/>
      <c r="J41" s="86"/>
      <c r="K41" s="117" t="str">
        <f aca="false">IF(AND(A41&lt;&gt;"",E41=CONSULTA_UNIDADE!$B$4),MAX($K$1:$K$40)+1,"")</f>
        <v/>
      </c>
      <c r="L41" s="86"/>
      <c r="M41" s="86"/>
      <c r="N41" s="86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customFormat="false" ht="16.5" hidden="false" customHeight="true" outlineLevel="0" collapsed="false">
      <c r="A42" s="86"/>
      <c r="B42" s="88"/>
      <c r="C42" s="86"/>
      <c r="D42" s="87" t="str">
        <f aca="false">IF(E42="","",IFERROR(INDEX(CADASTRO_VIVO_3CRE!$B$2:$B$150,MATCH(E42,CADASTRO_VIVO_3CRE!$E$2:$E$150,0)),""))</f>
        <v/>
      </c>
      <c r="E42" s="86"/>
      <c r="F42" s="86"/>
      <c r="G42" s="86"/>
      <c r="H42" s="86"/>
      <c r="I42" s="86"/>
      <c r="J42" s="86"/>
      <c r="K42" s="117" t="str">
        <f aca="false">IF(AND(A42&lt;&gt;"",E42=CONSULTA_UNIDADE!$B$4),MAX($K$1:$K$41)+1,"")</f>
        <v/>
      </c>
      <c r="L42" s="86"/>
      <c r="M42" s="86"/>
      <c r="N42" s="86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customFormat="false" ht="16.5" hidden="false" customHeight="true" outlineLevel="0" collapsed="false">
      <c r="A43" s="86"/>
      <c r="B43" s="88"/>
      <c r="C43" s="86"/>
      <c r="D43" s="87" t="str">
        <f aca="false">IF(E43="","",IFERROR(INDEX(CADASTRO_VIVO_3CRE!$B$2:$B$150,MATCH(E43,CADASTRO_VIVO_3CRE!$E$2:$E$150,0)),""))</f>
        <v/>
      </c>
      <c r="E43" s="86"/>
      <c r="F43" s="86"/>
      <c r="G43" s="86"/>
      <c r="H43" s="86"/>
      <c r="I43" s="86"/>
      <c r="J43" s="86"/>
      <c r="K43" s="117" t="str">
        <f aca="false">IF(AND(A43&lt;&gt;"",E43=CONSULTA_UNIDADE!$B$4),MAX($K$1:$K$42)+1,"")</f>
        <v/>
      </c>
      <c r="L43" s="86"/>
      <c r="M43" s="86"/>
      <c r="N43" s="86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customFormat="false" ht="16.5" hidden="false" customHeight="true" outlineLevel="0" collapsed="false">
      <c r="A44" s="86"/>
      <c r="B44" s="88"/>
      <c r="C44" s="86"/>
      <c r="D44" s="87" t="str">
        <f aca="false">IF(E44="","",IFERROR(INDEX(CADASTRO_VIVO_3CRE!$B$2:$B$150,MATCH(E44,CADASTRO_VIVO_3CRE!$E$2:$E$150,0)),""))</f>
        <v/>
      </c>
      <c r="E44" s="86"/>
      <c r="F44" s="86"/>
      <c r="G44" s="86"/>
      <c r="H44" s="86"/>
      <c r="I44" s="86"/>
      <c r="J44" s="86"/>
      <c r="K44" s="117" t="str">
        <f aca="false">IF(AND(A44&lt;&gt;"",E44=CONSULTA_UNIDADE!$B$4),MAX($K$1:$K$43)+1,"")</f>
        <v/>
      </c>
      <c r="L44" s="86"/>
      <c r="M44" s="86"/>
      <c r="N44" s="86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customFormat="false" ht="16.5" hidden="false" customHeight="true" outlineLevel="0" collapsed="false">
      <c r="A45" s="86"/>
      <c r="B45" s="88"/>
      <c r="C45" s="86"/>
      <c r="D45" s="87" t="str">
        <f aca="false">IF(E45="","",IFERROR(INDEX(CADASTRO_VIVO_3CRE!$B$2:$B$150,MATCH(E45,CADASTRO_VIVO_3CRE!$E$2:$E$150,0)),""))</f>
        <v/>
      </c>
      <c r="E45" s="86"/>
      <c r="F45" s="86"/>
      <c r="G45" s="86"/>
      <c r="H45" s="86"/>
      <c r="I45" s="86"/>
      <c r="J45" s="86"/>
      <c r="K45" s="117" t="str">
        <f aca="false">IF(AND(A45&lt;&gt;"",E45=CONSULTA_UNIDADE!$B$4),MAX($K$1:$K$44)+1,"")</f>
        <v/>
      </c>
      <c r="L45" s="86"/>
      <c r="M45" s="86"/>
      <c r="N45" s="86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customFormat="false" ht="16.5" hidden="false" customHeight="true" outlineLevel="0" collapsed="false">
      <c r="A46" s="86"/>
      <c r="B46" s="88"/>
      <c r="C46" s="86"/>
      <c r="D46" s="87" t="str">
        <f aca="false">IF(E46="","",IFERROR(INDEX(CADASTRO_VIVO_3CRE!$B$2:$B$150,MATCH(E46,CADASTRO_VIVO_3CRE!$E$2:$E$150,0)),""))</f>
        <v/>
      </c>
      <c r="E46" s="86"/>
      <c r="F46" s="86"/>
      <c r="G46" s="86"/>
      <c r="H46" s="86"/>
      <c r="I46" s="86"/>
      <c r="J46" s="86"/>
      <c r="K46" s="117" t="str">
        <f aca="false">IF(AND(A46&lt;&gt;"",E46=CONSULTA_UNIDADE!$B$4),MAX($K$1:$K$45)+1,"")</f>
        <v/>
      </c>
      <c r="L46" s="86"/>
      <c r="M46" s="86"/>
      <c r="N46" s="86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customFormat="false" ht="16.5" hidden="false" customHeight="true" outlineLevel="0" collapsed="false">
      <c r="A47" s="86"/>
      <c r="B47" s="88"/>
      <c r="C47" s="86"/>
      <c r="D47" s="87" t="str">
        <f aca="false">IF(E47="","",IFERROR(INDEX(CADASTRO_VIVO_3CRE!$B$2:$B$150,MATCH(E47,CADASTRO_VIVO_3CRE!$E$2:$E$150,0)),""))</f>
        <v/>
      </c>
      <c r="E47" s="86"/>
      <c r="F47" s="86"/>
      <c r="G47" s="86"/>
      <c r="H47" s="86"/>
      <c r="I47" s="86"/>
      <c r="J47" s="86"/>
      <c r="K47" s="117" t="str">
        <f aca="false">IF(AND(A47&lt;&gt;"",E47=CONSULTA_UNIDADE!$B$4),MAX($K$1:$K$46)+1,"")</f>
        <v/>
      </c>
      <c r="L47" s="86"/>
      <c r="M47" s="86"/>
      <c r="N47" s="86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customFormat="false" ht="16.5" hidden="false" customHeight="true" outlineLevel="0" collapsed="false">
      <c r="A48" s="86"/>
      <c r="B48" s="88"/>
      <c r="C48" s="86"/>
      <c r="D48" s="87" t="str">
        <f aca="false">IF(E48="","",IFERROR(INDEX(CADASTRO_VIVO_3CRE!$B$2:$B$150,MATCH(E48,CADASTRO_VIVO_3CRE!$E$2:$E$150,0)),""))</f>
        <v/>
      </c>
      <c r="E48" s="86"/>
      <c r="F48" s="86"/>
      <c r="G48" s="86"/>
      <c r="H48" s="86"/>
      <c r="I48" s="86"/>
      <c r="J48" s="86"/>
      <c r="K48" s="117" t="str">
        <f aca="false">IF(AND(A48&lt;&gt;"",E48=CONSULTA_UNIDADE!$B$4),MAX($K$1:$K$47)+1,"")</f>
        <v/>
      </c>
      <c r="L48" s="86"/>
      <c r="M48" s="86"/>
      <c r="N48" s="86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customFormat="false" ht="16.5" hidden="false" customHeight="true" outlineLevel="0" collapsed="false">
      <c r="A49" s="86"/>
      <c r="B49" s="88"/>
      <c r="C49" s="86"/>
      <c r="D49" s="87" t="str">
        <f aca="false">IF(E49="","",IFERROR(INDEX(CADASTRO_VIVO_3CRE!$B$2:$B$150,MATCH(E49,CADASTRO_VIVO_3CRE!$E$2:$E$150,0)),""))</f>
        <v/>
      </c>
      <c r="E49" s="86"/>
      <c r="F49" s="86"/>
      <c r="G49" s="86"/>
      <c r="H49" s="86"/>
      <c r="I49" s="86"/>
      <c r="J49" s="86"/>
      <c r="K49" s="117" t="str">
        <f aca="false">IF(AND(A49&lt;&gt;"",E49=CONSULTA_UNIDADE!$B$4),MAX($K$1:$K$48)+1,"")</f>
        <v/>
      </c>
      <c r="L49" s="86"/>
      <c r="M49" s="86"/>
      <c r="N49" s="86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customFormat="false" ht="16.5" hidden="false" customHeight="true" outlineLevel="0" collapsed="false">
      <c r="A50" s="86"/>
      <c r="B50" s="88"/>
      <c r="C50" s="86"/>
      <c r="D50" s="87" t="str">
        <f aca="false">IF(E50="","",IFERROR(INDEX(CADASTRO_VIVO_3CRE!$B$2:$B$150,MATCH(E50,CADASTRO_VIVO_3CRE!$E$2:$E$150,0)),""))</f>
        <v/>
      </c>
      <c r="E50" s="86"/>
      <c r="F50" s="86"/>
      <c r="G50" s="86"/>
      <c r="H50" s="86"/>
      <c r="I50" s="86"/>
      <c r="J50" s="86"/>
      <c r="K50" s="117" t="str">
        <f aca="false">IF(AND(A50&lt;&gt;"",E50=CONSULTA_UNIDADE!$B$4),MAX($K$1:$K$49)+1,"")</f>
        <v/>
      </c>
      <c r="L50" s="86"/>
      <c r="M50" s="86"/>
      <c r="N50" s="86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customFormat="false" ht="16.5" hidden="false" customHeight="true" outlineLevel="0" collapsed="false">
      <c r="A51" s="86"/>
      <c r="B51" s="88"/>
      <c r="C51" s="86"/>
      <c r="D51" s="87" t="str">
        <f aca="false">IF(E51="","",IFERROR(INDEX(CADASTRO_VIVO_3CRE!$B$2:$B$150,MATCH(E51,CADASTRO_VIVO_3CRE!$E$2:$E$150,0)),""))</f>
        <v/>
      </c>
      <c r="E51" s="86"/>
      <c r="F51" s="86"/>
      <c r="G51" s="86"/>
      <c r="H51" s="86"/>
      <c r="I51" s="86"/>
      <c r="J51" s="86"/>
      <c r="K51" s="117" t="str">
        <f aca="false">IF(AND(A51&lt;&gt;"",E51=CONSULTA_UNIDADE!$B$4),MAX($K$1:$K$50)+1,"")</f>
        <v/>
      </c>
      <c r="L51" s="86"/>
      <c r="M51" s="86"/>
      <c r="N51" s="86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customFormat="false" ht="16.5" hidden="false" customHeight="true" outlineLevel="0" collapsed="false">
      <c r="A52" s="86"/>
      <c r="B52" s="88"/>
      <c r="C52" s="86"/>
      <c r="D52" s="87" t="str">
        <f aca="false">IF(E52="","",IFERROR(INDEX(CADASTRO_VIVO_3CRE!$B$2:$B$150,MATCH(E52,CADASTRO_VIVO_3CRE!$E$2:$E$150,0)),""))</f>
        <v/>
      </c>
      <c r="E52" s="86"/>
      <c r="F52" s="86"/>
      <c r="G52" s="86"/>
      <c r="H52" s="86"/>
      <c r="I52" s="86"/>
      <c r="J52" s="86"/>
      <c r="K52" s="117" t="str">
        <f aca="false">IF(AND(A52&lt;&gt;"",E52=CONSULTA_UNIDADE!$B$4),MAX($K$1:$K$51)+1,"")</f>
        <v/>
      </c>
      <c r="L52" s="86"/>
      <c r="M52" s="86"/>
      <c r="N52" s="86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customFormat="false" ht="16.5" hidden="false" customHeight="true" outlineLevel="0" collapsed="false">
      <c r="A53" s="86"/>
      <c r="B53" s="88"/>
      <c r="C53" s="86"/>
      <c r="D53" s="87" t="str">
        <f aca="false">IF(E53="","",IFERROR(INDEX(CADASTRO_VIVO_3CRE!$B$2:$B$150,MATCH(E53,CADASTRO_VIVO_3CRE!$E$2:$E$150,0)),""))</f>
        <v/>
      </c>
      <c r="E53" s="86"/>
      <c r="F53" s="86"/>
      <c r="G53" s="86"/>
      <c r="H53" s="86"/>
      <c r="I53" s="86"/>
      <c r="J53" s="86"/>
      <c r="K53" s="117" t="str">
        <f aca="false">IF(AND(A53&lt;&gt;"",E53=CONSULTA_UNIDADE!$B$4),MAX($K$1:$K$52)+1,"")</f>
        <v/>
      </c>
      <c r="L53" s="86"/>
      <c r="M53" s="86"/>
      <c r="N53" s="86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customFormat="false" ht="16.5" hidden="false" customHeight="true" outlineLevel="0" collapsed="false">
      <c r="A54" s="86"/>
      <c r="B54" s="88"/>
      <c r="C54" s="86"/>
      <c r="D54" s="87" t="str">
        <f aca="false">IF(E54="","",IFERROR(INDEX(CADASTRO_VIVO_3CRE!$B$2:$B$150,MATCH(E54,CADASTRO_VIVO_3CRE!$E$2:$E$150,0)),""))</f>
        <v/>
      </c>
      <c r="E54" s="86"/>
      <c r="F54" s="86"/>
      <c r="G54" s="86"/>
      <c r="H54" s="86"/>
      <c r="I54" s="86"/>
      <c r="J54" s="86"/>
      <c r="K54" s="117" t="str">
        <f aca="false">IF(AND(A54&lt;&gt;"",E54=CONSULTA_UNIDADE!$B$4),MAX($K$1:$K$53)+1,"")</f>
        <v/>
      </c>
      <c r="L54" s="86"/>
      <c r="M54" s="86"/>
      <c r="N54" s="86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customFormat="false" ht="16.5" hidden="false" customHeight="true" outlineLevel="0" collapsed="false">
      <c r="A55" s="86"/>
      <c r="B55" s="88"/>
      <c r="C55" s="86"/>
      <c r="D55" s="87" t="str">
        <f aca="false">IF(E55="","",IFERROR(INDEX(CADASTRO_VIVO_3CRE!$B$2:$B$150,MATCH(E55,CADASTRO_VIVO_3CRE!$E$2:$E$150,0)),""))</f>
        <v/>
      </c>
      <c r="E55" s="86"/>
      <c r="F55" s="86"/>
      <c r="G55" s="86"/>
      <c r="H55" s="86"/>
      <c r="I55" s="86"/>
      <c r="J55" s="86"/>
      <c r="K55" s="117" t="str">
        <f aca="false">IF(AND(A55&lt;&gt;"",E55=CONSULTA_UNIDADE!$B$4),MAX($K$1:$K$54)+1,"")</f>
        <v/>
      </c>
      <c r="L55" s="86"/>
      <c r="M55" s="86"/>
      <c r="N55" s="86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customFormat="false" ht="16.5" hidden="false" customHeight="true" outlineLevel="0" collapsed="false">
      <c r="A56" s="86"/>
      <c r="B56" s="88"/>
      <c r="C56" s="86"/>
      <c r="D56" s="87" t="str">
        <f aca="false">IF(E56="","",IFERROR(INDEX(CADASTRO_VIVO_3CRE!$B$2:$B$150,MATCH(E56,CADASTRO_VIVO_3CRE!$E$2:$E$150,0)),""))</f>
        <v/>
      </c>
      <c r="E56" s="86"/>
      <c r="F56" s="86"/>
      <c r="G56" s="86"/>
      <c r="H56" s="86"/>
      <c r="I56" s="86"/>
      <c r="J56" s="86"/>
      <c r="K56" s="117" t="str">
        <f aca="false">IF(AND(A56&lt;&gt;"",E56=CONSULTA_UNIDADE!$B$4),MAX($K$1:$K$55)+1,"")</f>
        <v/>
      </c>
      <c r="L56" s="86"/>
      <c r="M56" s="86"/>
      <c r="N56" s="86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customFormat="false" ht="16.5" hidden="false" customHeight="true" outlineLevel="0" collapsed="false">
      <c r="A57" s="86"/>
      <c r="B57" s="88"/>
      <c r="C57" s="86"/>
      <c r="D57" s="87" t="str">
        <f aca="false">IF(E57="","",IFERROR(INDEX(CADASTRO_VIVO_3CRE!$B$2:$B$150,MATCH(E57,CADASTRO_VIVO_3CRE!$E$2:$E$150,0)),""))</f>
        <v/>
      </c>
      <c r="E57" s="86"/>
      <c r="F57" s="86"/>
      <c r="G57" s="86"/>
      <c r="H57" s="86"/>
      <c r="I57" s="86"/>
      <c r="J57" s="86"/>
      <c r="K57" s="117" t="str">
        <f aca="false">IF(AND(A57&lt;&gt;"",E57=CONSULTA_UNIDADE!$B$4),MAX($K$1:$K$56)+1,"")</f>
        <v/>
      </c>
      <c r="L57" s="86"/>
      <c r="M57" s="86"/>
      <c r="N57" s="86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customFormat="false" ht="16.5" hidden="false" customHeight="true" outlineLevel="0" collapsed="false">
      <c r="A58" s="86"/>
      <c r="B58" s="88"/>
      <c r="C58" s="86"/>
      <c r="D58" s="87" t="str">
        <f aca="false">IF(E58="","",IFERROR(INDEX(CADASTRO_VIVO_3CRE!$B$2:$B$150,MATCH(E58,CADASTRO_VIVO_3CRE!$E$2:$E$150,0)),""))</f>
        <v/>
      </c>
      <c r="E58" s="86"/>
      <c r="F58" s="86"/>
      <c r="G58" s="86"/>
      <c r="H58" s="86"/>
      <c r="I58" s="86"/>
      <c r="J58" s="86"/>
      <c r="K58" s="117" t="str">
        <f aca="false">IF(AND(A58&lt;&gt;"",E58=CONSULTA_UNIDADE!$B$4),MAX($K$1:$K$57)+1,"")</f>
        <v/>
      </c>
      <c r="L58" s="86"/>
      <c r="M58" s="86"/>
      <c r="N58" s="86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customFormat="false" ht="16.5" hidden="false" customHeight="true" outlineLevel="0" collapsed="false">
      <c r="A59" s="86"/>
      <c r="B59" s="88"/>
      <c r="C59" s="86"/>
      <c r="D59" s="87" t="str">
        <f aca="false">IF(E59="","",IFERROR(INDEX(CADASTRO_VIVO_3CRE!$B$2:$B$150,MATCH(E59,CADASTRO_VIVO_3CRE!$E$2:$E$150,0)),""))</f>
        <v/>
      </c>
      <c r="E59" s="86"/>
      <c r="F59" s="86"/>
      <c r="G59" s="86"/>
      <c r="H59" s="86"/>
      <c r="I59" s="86"/>
      <c r="J59" s="86"/>
      <c r="K59" s="117" t="str">
        <f aca="false">IF(AND(A59&lt;&gt;"",E59=CONSULTA_UNIDADE!$B$4),MAX($K$1:$K$58)+1,"")</f>
        <v/>
      </c>
      <c r="L59" s="86"/>
      <c r="M59" s="86"/>
      <c r="N59" s="86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customFormat="false" ht="16.5" hidden="false" customHeight="true" outlineLevel="0" collapsed="false">
      <c r="A60" s="86"/>
      <c r="B60" s="88"/>
      <c r="C60" s="86"/>
      <c r="D60" s="87" t="str">
        <f aca="false">IF(E60="","",IFERROR(INDEX(CADASTRO_VIVO_3CRE!$B$2:$B$150,MATCH(E60,CADASTRO_VIVO_3CRE!$E$2:$E$150,0)),""))</f>
        <v/>
      </c>
      <c r="E60" s="86"/>
      <c r="F60" s="86"/>
      <c r="G60" s="86"/>
      <c r="H60" s="86"/>
      <c r="I60" s="86"/>
      <c r="J60" s="86"/>
      <c r="K60" s="117" t="str">
        <f aca="false">IF(AND(A60&lt;&gt;"",E60=CONSULTA_UNIDADE!$B$4),MAX($K$1:$K$59)+1,"")</f>
        <v/>
      </c>
      <c r="L60" s="86"/>
      <c r="M60" s="86"/>
      <c r="N60" s="86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customFormat="false" ht="16.5" hidden="false" customHeight="true" outlineLevel="0" collapsed="false">
      <c r="A61" s="86"/>
      <c r="B61" s="88"/>
      <c r="C61" s="86"/>
      <c r="D61" s="87" t="str">
        <f aca="false">IF(E61="","",IFERROR(INDEX(CADASTRO_VIVO_3CRE!$B$2:$B$150,MATCH(E61,CADASTRO_VIVO_3CRE!$E$2:$E$150,0)),""))</f>
        <v/>
      </c>
      <c r="E61" s="86"/>
      <c r="F61" s="86"/>
      <c r="G61" s="86"/>
      <c r="H61" s="86"/>
      <c r="I61" s="86"/>
      <c r="J61" s="86"/>
      <c r="K61" s="117" t="str">
        <f aca="false">IF(AND(A61&lt;&gt;"",E61=CONSULTA_UNIDADE!$B$4),MAX($K$1:$K$60)+1,"")</f>
        <v/>
      </c>
      <c r="L61" s="86"/>
      <c r="M61" s="86"/>
      <c r="N61" s="86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customFormat="false" ht="16.5" hidden="false" customHeight="true" outlineLevel="0" collapsed="false">
      <c r="A62" s="86"/>
      <c r="B62" s="88"/>
      <c r="C62" s="86"/>
      <c r="D62" s="87" t="str">
        <f aca="false">IF(E62="","",IFERROR(INDEX(CADASTRO_VIVO_3CRE!$B$2:$B$150,MATCH(E62,CADASTRO_VIVO_3CRE!$E$2:$E$150,0)),""))</f>
        <v/>
      </c>
      <c r="E62" s="86"/>
      <c r="F62" s="86"/>
      <c r="G62" s="86"/>
      <c r="H62" s="86"/>
      <c r="I62" s="86"/>
      <c r="J62" s="86"/>
      <c r="K62" s="117" t="str">
        <f aca="false">IF(AND(A62&lt;&gt;"",E62=CONSULTA_UNIDADE!$B$4),MAX($K$1:$K$61)+1,"")</f>
        <v/>
      </c>
      <c r="L62" s="86"/>
      <c r="M62" s="86"/>
      <c r="N62" s="86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customFormat="false" ht="16.5" hidden="false" customHeight="true" outlineLevel="0" collapsed="false">
      <c r="A63" s="86"/>
      <c r="B63" s="88"/>
      <c r="C63" s="86"/>
      <c r="D63" s="87" t="str">
        <f aca="false">IF(E63="","",IFERROR(INDEX(CADASTRO_VIVO_3CRE!$B$2:$B$150,MATCH(E63,CADASTRO_VIVO_3CRE!$E$2:$E$150,0)),""))</f>
        <v/>
      </c>
      <c r="E63" s="86"/>
      <c r="F63" s="86"/>
      <c r="G63" s="86"/>
      <c r="H63" s="86"/>
      <c r="I63" s="86"/>
      <c r="J63" s="86"/>
      <c r="K63" s="117" t="str">
        <f aca="false">IF(AND(A63&lt;&gt;"",E63=CONSULTA_UNIDADE!$B$4),MAX($K$1:$K$62)+1,"")</f>
        <v/>
      </c>
      <c r="L63" s="86"/>
      <c r="M63" s="86"/>
      <c r="N63" s="86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customFormat="false" ht="16.5" hidden="false" customHeight="true" outlineLevel="0" collapsed="false">
      <c r="A64" s="86"/>
      <c r="B64" s="88"/>
      <c r="C64" s="86"/>
      <c r="D64" s="87" t="str">
        <f aca="false">IF(E64="","",IFERROR(INDEX(CADASTRO_VIVO_3CRE!$B$2:$B$150,MATCH(E64,CADASTRO_VIVO_3CRE!$E$2:$E$150,0)),""))</f>
        <v/>
      </c>
      <c r="E64" s="86"/>
      <c r="F64" s="86"/>
      <c r="G64" s="86"/>
      <c r="H64" s="86"/>
      <c r="I64" s="86"/>
      <c r="J64" s="86"/>
      <c r="K64" s="117" t="str">
        <f aca="false">IF(AND(A64&lt;&gt;"",E64=CONSULTA_UNIDADE!$B$4),MAX($K$1:$K$63)+1,"")</f>
        <v/>
      </c>
      <c r="L64" s="86"/>
      <c r="M64" s="86"/>
      <c r="N64" s="86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customFormat="false" ht="16.5" hidden="false" customHeight="true" outlineLevel="0" collapsed="false">
      <c r="A65" s="86"/>
      <c r="B65" s="88"/>
      <c r="C65" s="86"/>
      <c r="D65" s="87" t="str">
        <f aca="false">IF(E65="","",IFERROR(INDEX(CADASTRO_VIVO_3CRE!$B$2:$B$150,MATCH(E65,CADASTRO_VIVO_3CRE!$E$2:$E$150,0)),""))</f>
        <v/>
      </c>
      <c r="E65" s="86"/>
      <c r="F65" s="86"/>
      <c r="G65" s="86"/>
      <c r="H65" s="86"/>
      <c r="I65" s="86"/>
      <c r="J65" s="86"/>
      <c r="K65" s="117" t="str">
        <f aca="false">IF(AND(A65&lt;&gt;"",E65=CONSULTA_UNIDADE!$B$4),MAX($K$1:$K$64)+1,"")</f>
        <v/>
      </c>
      <c r="L65" s="86"/>
      <c r="M65" s="86"/>
      <c r="N65" s="86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customFormat="false" ht="16.5" hidden="false" customHeight="true" outlineLevel="0" collapsed="false">
      <c r="A66" s="86"/>
      <c r="B66" s="88"/>
      <c r="C66" s="86"/>
      <c r="D66" s="87" t="str">
        <f aca="false">IF(E66="","",IFERROR(INDEX(CADASTRO_VIVO_3CRE!$B$2:$B$150,MATCH(E66,CADASTRO_VIVO_3CRE!$E$2:$E$150,0)),""))</f>
        <v/>
      </c>
      <c r="E66" s="86"/>
      <c r="F66" s="86"/>
      <c r="G66" s="86"/>
      <c r="H66" s="86"/>
      <c r="I66" s="86"/>
      <c r="J66" s="86"/>
      <c r="K66" s="117" t="str">
        <f aca="false">IF(AND(A66&lt;&gt;"",E66=CONSULTA_UNIDADE!$B$4),MAX($K$1:$K$65)+1,"")</f>
        <v/>
      </c>
      <c r="L66" s="86"/>
      <c r="M66" s="86"/>
      <c r="N66" s="86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customFormat="false" ht="16.5" hidden="false" customHeight="true" outlineLevel="0" collapsed="false">
      <c r="A67" s="86"/>
      <c r="B67" s="88"/>
      <c r="C67" s="86"/>
      <c r="D67" s="87" t="str">
        <f aca="false">IF(E67="","",IFERROR(INDEX(CADASTRO_VIVO_3CRE!$B$2:$B$150,MATCH(E67,CADASTRO_VIVO_3CRE!$E$2:$E$150,0)),""))</f>
        <v/>
      </c>
      <c r="E67" s="86"/>
      <c r="F67" s="86"/>
      <c r="G67" s="86"/>
      <c r="H67" s="86"/>
      <c r="I67" s="86"/>
      <c r="J67" s="86"/>
      <c r="K67" s="117" t="str">
        <f aca="false">IF(AND(A67&lt;&gt;"",E67=CONSULTA_UNIDADE!$B$4),MAX($K$1:$K$66)+1,"")</f>
        <v/>
      </c>
      <c r="L67" s="86"/>
      <c r="M67" s="86"/>
      <c r="N67" s="86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customFormat="false" ht="16.5" hidden="false" customHeight="true" outlineLevel="0" collapsed="false">
      <c r="A68" s="86"/>
      <c r="B68" s="88"/>
      <c r="C68" s="86"/>
      <c r="D68" s="87" t="str">
        <f aca="false">IF(E68="","",IFERROR(INDEX(CADASTRO_VIVO_3CRE!$B$2:$B$150,MATCH(E68,CADASTRO_VIVO_3CRE!$E$2:$E$150,0)),""))</f>
        <v/>
      </c>
      <c r="E68" s="86"/>
      <c r="F68" s="86"/>
      <c r="G68" s="86"/>
      <c r="H68" s="86"/>
      <c r="I68" s="86"/>
      <c r="J68" s="86"/>
      <c r="K68" s="117" t="str">
        <f aca="false">IF(AND(A68&lt;&gt;"",E68=CONSULTA_UNIDADE!$B$4),MAX($K$1:$K$67)+1,"")</f>
        <v/>
      </c>
      <c r="L68" s="86"/>
      <c r="M68" s="86"/>
      <c r="N68" s="86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customFormat="false" ht="16.5" hidden="false" customHeight="true" outlineLevel="0" collapsed="false">
      <c r="A69" s="86"/>
      <c r="B69" s="88"/>
      <c r="C69" s="86"/>
      <c r="D69" s="87" t="str">
        <f aca="false">IF(E69="","",IFERROR(INDEX(CADASTRO_VIVO_3CRE!$B$2:$B$150,MATCH(E69,CADASTRO_VIVO_3CRE!$E$2:$E$150,0)),""))</f>
        <v/>
      </c>
      <c r="E69" s="86"/>
      <c r="F69" s="86"/>
      <c r="G69" s="86"/>
      <c r="H69" s="86"/>
      <c r="I69" s="86"/>
      <c r="J69" s="86"/>
      <c r="K69" s="117" t="str">
        <f aca="false">IF(AND(A69&lt;&gt;"",E69=CONSULTA_UNIDADE!$B$4),MAX($K$1:$K$68)+1,"")</f>
        <v/>
      </c>
      <c r="L69" s="86"/>
      <c r="M69" s="86"/>
      <c r="N69" s="86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customFormat="false" ht="16.5" hidden="false" customHeight="true" outlineLevel="0" collapsed="false">
      <c r="A70" s="86"/>
      <c r="B70" s="88"/>
      <c r="C70" s="86"/>
      <c r="D70" s="87" t="str">
        <f aca="false">IF(E70="","",IFERROR(INDEX(CADASTRO_VIVO_3CRE!$B$2:$B$150,MATCH(E70,CADASTRO_VIVO_3CRE!$E$2:$E$150,0)),""))</f>
        <v/>
      </c>
      <c r="E70" s="86"/>
      <c r="F70" s="86"/>
      <c r="G70" s="86"/>
      <c r="H70" s="86"/>
      <c r="I70" s="86"/>
      <c r="J70" s="86"/>
      <c r="K70" s="117" t="str">
        <f aca="false">IF(AND(A70&lt;&gt;"",E70=CONSULTA_UNIDADE!$B$4),MAX($K$1:$K$69)+1,"")</f>
        <v/>
      </c>
      <c r="L70" s="86"/>
      <c r="M70" s="86"/>
      <c r="N70" s="86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customFormat="false" ht="16.5" hidden="false" customHeight="true" outlineLevel="0" collapsed="false">
      <c r="A71" s="86"/>
      <c r="B71" s="88"/>
      <c r="C71" s="86"/>
      <c r="D71" s="87" t="str">
        <f aca="false">IF(E71="","",IFERROR(INDEX(CADASTRO_VIVO_3CRE!$B$2:$B$150,MATCH(E71,CADASTRO_VIVO_3CRE!$E$2:$E$150,0)),""))</f>
        <v/>
      </c>
      <c r="E71" s="86"/>
      <c r="F71" s="86"/>
      <c r="G71" s="86"/>
      <c r="H71" s="86"/>
      <c r="I71" s="86"/>
      <c r="J71" s="86"/>
      <c r="K71" s="117" t="str">
        <f aca="false">IF(AND(A71&lt;&gt;"",E71=CONSULTA_UNIDADE!$B$4),MAX($K$1:$K$70)+1,"")</f>
        <v/>
      </c>
      <c r="L71" s="86"/>
      <c r="M71" s="86"/>
      <c r="N71" s="86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customFormat="false" ht="16.5" hidden="false" customHeight="true" outlineLevel="0" collapsed="false">
      <c r="A72" s="86"/>
      <c r="B72" s="88"/>
      <c r="C72" s="86"/>
      <c r="D72" s="87" t="str">
        <f aca="false">IF(E72="","",IFERROR(INDEX(CADASTRO_VIVO_3CRE!$B$2:$B$150,MATCH(E72,CADASTRO_VIVO_3CRE!$E$2:$E$150,0)),""))</f>
        <v/>
      </c>
      <c r="E72" s="86"/>
      <c r="F72" s="86"/>
      <c r="G72" s="86"/>
      <c r="H72" s="86"/>
      <c r="I72" s="86"/>
      <c r="J72" s="86"/>
      <c r="K72" s="117" t="str">
        <f aca="false">IF(AND(A72&lt;&gt;"",E72=CONSULTA_UNIDADE!$B$4),MAX($K$1:$K$71)+1,"")</f>
        <v/>
      </c>
      <c r="L72" s="86"/>
      <c r="M72" s="86"/>
      <c r="N72" s="86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customFormat="false" ht="16.5" hidden="false" customHeight="true" outlineLevel="0" collapsed="false">
      <c r="A73" s="86"/>
      <c r="B73" s="88"/>
      <c r="C73" s="86"/>
      <c r="D73" s="87" t="str">
        <f aca="false">IF(E73="","",IFERROR(INDEX(CADASTRO_VIVO_3CRE!$B$2:$B$150,MATCH(E73,CADASTRO_VIVO_3CRE!$E$2:$E$150,0)),""))</f>
        <v/>
      </c>
      <c r="E73" s="86"/>
      <c r="F73" s="86"/>
      <c r="G73" s="86"/>
      <c r="H73" s="86"/>
      <c r="I73" s="86"/>
      <c r="J73" s="86"/>
      <c r="K73" s="117" t="str">
        <f aca="false">IF(AND(A73&lt;&gt;"",E73=CONSULTA_UNIDADE!$B$4),MAX($K$1:$K$72)+1,"")</f>
        <v/>
      </c>
      <c r="L73" s="86"/>
      <c r="M73" s="86"/>
      <c r="N73" s="86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customFormat="false" ht="16.5" hidden="false" customHeight="true" outlineLevel="0" collapsed="false">
      <c r="A74" s="86"/>
      <c r="B74" s="88"/>
      <c r="C74" s="86"/>
      <c r="D74" s="87" t="str">
        <f aca="false">IF(E74="","",IFERROR(INDEX(CADASTRO_VIVO_3CRE!$B$2:$B$150,MATCH(E74,CADASTRO_VIVO_3CRE!$E$2:$E$150,0)),""))</f>
        <v/>
      </c>
      <c r="E74" s="86"/>
      <c r="F74" s="86"/>
      <c r="G74" s="86"/>
      <c r="H74" s="86"/>
      <c r="I74" s="86"/>
      <c r="J74" s="86"/>
      <c r="K74" s="117" t="str">
        <f aca="false">IF(AND(A74&lt;&gt;"",E74=CONSULTA_UNIDADE!$B$4),MAX($K$1:$K$73)+1,"")</f>
        <v/>
      </c>
      <c r="L74" s="86"/>
      <c r="M74" s="86"/>
      <c r="N74" s="86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customFormat="false" ht="16.5" hidden="false" customHeight="true" outlineLevel="0" collapsed="false">
      <c r="A75" s="86"/>
      <c r="B75" s="88"/>
      <c r="C75" s="86"/>
      <c r="D75" s="87" t="str">
        <f aca="false">IF(E75="","",IFERROR(INDEX(CADASTRO_VIVO_3CRE!$B$2:$B$150,MATCH(E75,CADASTRO_VIVO_3CRE!$E$2:$E$150,0)),""))</f>
        <v/>
      </c>
      <c r="E75" s="86"/>
      <c r="F75" s="86"/>
      <c r="G75" s="86"/>
      <c r="H75" s="86"/>
      <c r="I75" s="86"/>
      <c r="J75" s="86"/>
      <c r="K75" s="117" t="str">
        <f aca="false">IF(AND(A75&lt;&gt;"",E75=CONSULTA_UNIDADE!$B$4),MAX($K$1:$K$74)+1,"")</f>
        <v/>
      </c>
      <c r="L75" s="86"/>
      <c r="M75" s="86"/>
      <c r="N75" s="86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customFormat="false" ht="16.5" hidden="false" customHeight="true" outlineLevel="0" collapsed="false">
      <c r="A76" s="86"/>
      <c r="B76" s="88"/>
      <c r="C76" s="86"/>
      <c r="D76" s="87" t="str">
        <f aca="false">IF(E76="","",IFERROR(INDEX(CADASTRO_VIVO_3CRE!$B$2:$B$150,MATCH(E76,CADASTRO_VIVO_3CRE!$E$2:$E$150,0)),""))</f>
        <v/>
      </c>
      <c r="E76" s="86"/>
      <c r="F76" s="86"/>
      <c r="G76" s="86"/>
      <c r="H76" s="86"/>
      <c r="I76" s="86"/>
      <c r="J76" s="86"/>
      <c r="K76" s="117" t="str">
        <f aca="false">IF(AND(A76&lt;&gt;"",E76=CONSULTA_UNIDADE!$B$4),MAX($K$1:$K$75)+1,"")</f>
        <v/>
      </c>
      <c r="L76" s="86"/>
      <c r="M76" s="86"/>
      <c r="N76" s="86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customFormat="false" ht="16.5" hidden="false" customHeight="true" outlineLevel="0" collapsed="false">
      <c r="A77" s="86"/>
      <c r="B77" s="88"/>
      <c r="C77" s="86"/>
      <c r="D77" s="87" t="str">
        <f aca="false">IF(E77="","",IFERROR(INDEX(CADASTRO_VIVO_3CRE!$B$2:$B$150,MATCH(E77,CADASTRO_VIVO_3CRE!$E$2:$E$150,0)),""))</f>
        <v/>
      </c>
      <c r="E77" s="86"/>
      <c r="F77" s="86"/>
      <c r="G77" s="86"/>
      <c r="H77" s="86"/>
      <c r="I77" s="86"/>
      <c r="J77" s="86"/>
      <c r="K77" s="117" t="str">
        <f aca="false">IF(AND(A77&lt;&gt;"",E77=CONSULTA_UNIDADE!$B$4),MAX($K$1:$K$76)+1,"")</f>
        <v/>
      </c>
      <c r="L77" s="86"/>
      <c r="M77" s="86"/>
      <c r="N77" s="86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customFormat="false" ht="16.5" hidden="false" customHeight="true" outlineLevel="0" collapsed="false">
      <c r="A78" s="86"/>
      <c r="B78" s="88"/>
      <c r="C78" s="86"/>
      <c r="D78" s="87" t="str">
        <f aca="false">IF(E78="","",IFERROR(INDEX(CADASTRO_VIVO_3CRE!$B$2:$B$150,MATCH(E78,CADASTRO_VIVO_3CRE!$E$2:$E$150,0)),""))</f>
        <v/>
      </c>
      <c r="E78" s="86"/>
      <c r="F78" s="86"/>
      <c r="G78" s="86"/>
      <c r="H78" s="86"/>
      <c r="I78" s="86"/>
      <c r="J78" s="86"/>
      <c r="K78" s="117" t="str">
        <f aca="false">IF(AND(A78&lt;&gt;"",E78=CONSULTA_UNIDADE!$B$4),MAX($K$1:$K$77)+1,"")</f>
        <v/>
      </c>
      <c r="L78" s="86"/>
      <c r="M78" s="86"/>
      <c r="N78" s="86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customFormat="false" ht="16.5" hidden="false" customHeight="true" outlineLevel="0" collapsed="false">
      <c r="A79" s="86"/>
      <c r="B79" s="88"/>
      <c r="C79" s="86"/>
      <c r="D79" s="87" t="str">
        <f aca="false">IF(E79="","",IFERROR(INDEX(CADASTRO_VIVO_3CRE!$B$2:$B$150,MATCH(E79,CADASTRO_VIVO_3CRE!$E$2:$E$150,0)),""))</f>
        <v/>
      </c>
      <c r="E79" s="86"/>
      <c r="F79" s="86"/>
      <c r="G79" s="86"/>
      <c r="H79" s="86"/>
      <c r="I79" s="86"/>
      <c r="J79" s="86"/>
      <c r="K79" s="117" t="str">
        <f aca="false">IF(AND(A79&lt;&gt;"",E79=CONSULTA_UNIDADE!$B$4),MAX($K$1:$K$78)+1,"")</f>
        <v/>
      </c>
      <c r="L79" s="86"/>
      <c r="M79" s="86"/>
      <c r="N79" s="86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customFormat="false" ht="16.5" hidden="false" customHeight="true" outlineLevel="0" collapsed="false">
      <c r="A80" s="86"/>
      <c r="B80" s="88"/>
      <c r="C80" s="86"/>
      <c r="D80" s="87" t="str">
        <f aca="false">IF(E80="","",IFERROR(INDEX(CADASTRO_VIVO_3CRE!$B$2:$B$150,MATCH(E80,CADASTRO_VIVO_3CRE!$E$2:$E$150,0)),""))</f>
        <v/>
      </c>
      <c r="E80" s="86"/>
      <c r="F80" s="86"/>
      <c r="G80" s="86"/>
      <c r="H80" s="86"/>
      <c r="I80" s="86"/>
      <c r="J80" s="86"/>
      <c r="K80" s="117" t="str">
        <f aca="false">IF(AND(A80&lt;&gt;"",E80=CONSULTA_UNIDADE!$B$4),MAX($K$1:$K$79)+1,"")</f>
        <v/>
      </c>
      <c r="L80" s="86"/>
      <c r="M80" s="86"/>
      <c r="N80" s="86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customFormat="false" ht="16.5" hidden="false" customHeight="true" outlineLevel="0" collapsed="false">
      <c r="A81" s="86"/>
      <c r="B81" s="88"/>
      <c r="C81" s="86"/>
      <c r="D81" s="87" t="str">
        <f aca="false">IF(E81="","",IFERROR(INDEX(CADASTRO_VIVO_3CRE!$B$2:$B$150,MATCH(E81,CADASTRO_VIVO_3CRE!$E$2:$E$150,0)),""))</f>
        <v/>
      </c>
      <c r="E81" s="86"/>
      <c r="F81" s="86"/>
      <c r="G81" s="86"/>
      <c r="H81" s="86"/>
      <c r="I81" s="86"/>
      <c r="J81" s="86"/>
      <c r="K81" s="117" t="str">
        <f aca="false">IF(AND(A81&lt;&gt;"",E81=CONSULTA_UNIDADE!$B$4),MAX($K$1:$K$80)+1,"")</f>
        <v/>
      </c>
      <c r="L81" s="86"/>
      <c r="M81" s="86"/>
      <c r="N81" s="86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customFormat="false" ht="16.5" hidden="false" customHeight="true" outlineLevel="0" collapsed="false">
      <c r="A82" s="86"/>
      <c r="B82" s="88"/>
      <c r="C82" s="86"/>
      <c r="D82" s="87" t="str">
        <f aca="false">IF(E82="","",IFERROR(INDEX(CADASTRO_VIVO_3CRE!$B$2:$B$150,MATCH(E82,CADASTRO_VIVO_3CRE!$E$2:$E$150,0)),""))</f>
        <v/>
      </c>
      <c r="E82" s="86"/>
      <c r="F82" s="86"/>
      <c r="G82" s="86"/>
      <c r="H82" s="86"/>
      <c r="I82" s="86"/>
      <c r="J82" s="86"/>
      <c r="K82" s="117" t="str">
        <f aca="false">IF(AND(A82&lt;&gt;"",E82=CONSULTA_UNIDADE!$B$4),MAX($K$1:$K$81)+1,"")</f>
        <v/>
      </c>
      <c r="L82" s="86"/>
      <c r="M82" s="86"/>
      <c r="N82" s="86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customFormat="false" ht="16.5" hidden="false" customHeight="true" outlineLevel="0" collapsed="false">
      <c r="A83" s="86"/>
      <c r="B83" s="88"/>
      <c r="C83" s="86"/>
      <c r="D83" s="87" t="str">
        <f aca="false">IF(E83="","",IFERROR(INDEX(CADASTRO_VIVO_3CRE!$B$2:$B$150,MATCH(E83,CADASTRO_VIVO_3CRE!$E$2:$E$150,0)),""))</f>
        <v/>
      </c>
      <c r="E83" s="86"/>
      <c r="F83" s="86"/>
      <c r="G83" s="86"/>
      <c r="H83" s="86"/>
      <c r="I83" s="86"/>
      <c r="J83" s="86"/>
      <c r="K83" s="117" t="str">
        <f aca="false">IF(AND(A83&lt;&gt;"",E83=CONSULTA_UNIDADE!$B$4),MAX($K$1:$K$82)+1,"")</f>
        <v/>
      </c>
      <c r="L83" s="86"/>
      <c r="M83" s="86"/>
      <c r="N83" s="86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customFormat="false" ht="16.5" hidden="false" customHeight="true" outlineLevel="0" collapsed="false">
      <c r="A84" s="86"/>
      <c r="B84" s="88"/>
      <c r="C84" s="86"/>
      <c r="D84" s="87" t="str">
        <f aca="false">IF(E84="","",IFERROR(INDEX(CADASTRO_VIVO_3CRE!$B$2:$B$150,MATCH(E84,CADASTRO_VIVO_3CRE!$E$2:$E$150,0)),""))</f>
        <v/>
      </c>
      <c r="E84" s="86"/>
      <c r="F84" s="86"/>
      <c r="G84" s="86"/>
      <c r="H84" s="86"/>
      <c r="I84" s="86"/>
      <c r="J84" s="86"/>
      <c r="K84" s="117" t="str">
        <f aca="false">IF(AND(A84&lt;&gt;"",E84=CONSULTA_UNIDADE!$B$4),MAX($K$1:$K$83)+1,"")</f>
        <v/>
      </c>
      <c r="L84" s="86"/>
      <c r="M84" s="86"/>
      <c r="N84" s="86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customFormat="false" ht="16.5" hidden="false" customHeight="true" outlineLevel="0" collapsed="false">
      <c r="A85" s="86"/>
      <c r="B85" s="88"/>
      <c r="C85" s="86"/>
      <c r="D85" s="87" t="str">
        <f aca="false">IF(E85="","",IFERROR(INDEX(CADASTRO_VIVO_3CRE!$B$2:$B$150,MATCH(E85,CADASTRO_VIVO_3CRE!$E$2:$E$150,0)),""))</f>
        <v/>
      </c>
      <c r="E85" s="86"/>
      <c r="F85" s="86"/>
      <c r="G85" s="86"/>
      <c r="H85" s="86"/>
      <c r="I85" s="86"/>
      <c r="J85" s="86"/>
      <c r="K85" s="117" t="str">
        <f aca="false">IF(AND(A85&lt;&gt;"",E85=CONSULTA_UNIDADE!$B$4),MAX($K$1:$K$84)+1,"")</f>
        <v/>
      </c>
      <c r="L85" s="86"/>
      <c r="M85" s="86"/>
      <c r="N85" s="86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customFormat="false" ht="16.5" hidden="false" customHeight="true" outlineLevel="0" collapsed="false">
      <c r="A86" s="86"/>
      <c r="B86" s="88"/>
      <c r="C86" s="86"/>
      <c r="D86" s="87" t="str">
        <f aca="false">IF(E86="","",IFERROR(INDEX(CADASTRO_VIVO_3CRE!$B$2:$B$150,MATCH(E86,CADASTRO_VIVO_3CRE!$E$2:$E$150,0)),""))</f>
        <v/>
      </c>
      <c r="E86" s="86"/>
      <c r="F86" s="86"/>
      <c r="G86" s="86"/>
      <c r="H86" s="86"/>
      <c r="I86" s="86"/>
      <c r="J86" s="86"/>
      <c r="K86" s="117" t="str">
        <f aca="false">IF(AND(A86&lt;&gt;"",E86=CONSULTA_UNIDADE!$B$4),MAX($K$1:$K$85)+1,"")</f>
        <v/>
      </c>
      <c r="L86" s="86"/>
      <c r="M86" s="86"/>
      <c r="N86" s="86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customFormat="false" ht="16.5" hidden="false" customHeight="true" outlineLevel="0" collapsed="false">
      <c r="A87" s="86"/>
      <c r="B87" s="88"/>
      <c r="C87" s="86"/>
      <c r="D87" s="87" t="str">
        <f aca="false">IF(E87="","",IFERROR(INDEX(CADASTRO_VIVO_3CRE!$B$2:$B$150,MATCH(E87,CADASTRO_VIVO_3CRE!$E$2:$E$150,0)),""))</f>
        <v/>
      </c>
      <c r="E87" s="86"/>
      <c r="F87" s="86"/>
      <c r="G87" s="86"/>
      <c r="H87" s="86"/>
      <c r="I87" s="86"/>
      <c r="J87" s="86"/>
      <c r="K87" s="117" t="str">
        <f aca="false">IF(AND(A87&lt;&gt;"",E87=CONSULTA_UNIDADE!$B$4),MAX($K$1:$K$86)+1,"")</f>
        <v/>
      </c>
      <c r="L87" s="86"/>
      <c r="M87" s="86"/>
      <c r="N87" s="86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customFormat="false" ht="16.5" hidden="false" customHeight="true" outlineLevel="0" collapsed="false">
      <c r="A88" s="86"/>
      <c r="B88" s="88"/>
      <c r="C88" s="86"/>
      <c r="D88" s="87" t="str">
        <f aca="false">IF(E88="","",IFERROR(INDEX(CADASTRO_VIVO_3CRE!$B$2:$B$150,MATCH(E88,CADASTRO_VIVO_3CRE!$E$2:$E$150,0)),""))</f>
        <v/>
      </c>
      <c r="E88" s="86"/>
      <c r="F88" s="86"/>
      <c r="G88" s="86"/>
      <c r="H88" s="86"/>
      <c r="I88" s="86"/>
      <c r="J88" s="86"/>
      <c r="K88" s="117" t="str">
        <f aca="false">IF(AND(A88&lt;&gt;"",E88=CONSULTA_UNIDADE!$B$4),MAX($K$1:$K$87)+1,"")</f>
        <v/>
      </c>
      <c r="L88" s="86"/>
      <c r="M88" s="86"/>
      <c r="N88" s="86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customFormat="false" ht="16.5" hidden="false" customHeight="true" outlineLevel="0" collapsed="false">
      <c r="A89" s="86"/>
      <c r="B89" s="88"/>
      <c r="C89" s="86"/>
      <c r="D89" s="87" t="str">
        <f aca="false">IF(E89="","",IFERROR(INDEX(CADASTRO_VIVO_3CRE!$B$2:$B$150,MATCH(E89,CADASTRO_VIVO_3CRE!$E$2:$E$150,0)),""))</f>
        <v/>
      </c>
      <c r="E89" s="86"/>
      <c r="F89" s="86"/>
      <c r="G89" s="86"/>
      <c r="H89" s="86"/>
      <c r="I89" s="86"/>
      <c r="J89" s="86"/>
      <c r="K89" s="117" t="str">
        <f aca="false">IF(AND(A89&lt;&gt;"",E89=CONSULTA_UNIDADE!$B$4),MAX($K$1:$K$88)+1,"")</f>
        <v/>
      </c>
      <c r="L89" s="86"/>
      <c r="M89" s="86"/>
      <c r="N89" s="86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customFormat="false" ht="16.5" hidden="false" customHeight="true" outlineLevel="0" collapsed="false">
      <c r="A90" s="86"/>
      <c r="B90" s="88"/>
      <c r="C90" s="86"/>
      <c r="D90" s="87" t="str">
        <f aca="false">IF(E90="","",IFERROR(INDEX(CADASTRO_VIVO_3CRE!$B$2:$B$150,MATCH(E90,CADASTRO_VIVO_3CRE!$E$2:$E$150,0)),""))</f>
        <v/>
      </c>
      <c r="E90" s="86"/>
      <c r="F90" s="86"/>
      <c r="G90" s="86"/>
      <c r="H90" s="86"/>
      <c r="I90" s="86"/>
      <c r="J90" s="86"/>
      <c r="K90" s="117" t="str">
        <f aca="false">IF(AND(A90&lt;&gt;"",E90=CONSULTA_UNIDADE!$B$4),MAX($K$1:$K$89)+1,"")</f>
        <v/>
      </c>
      <c r="L90" s="86"/>
      <c r="M90" s="86"/>
      <c r="N90" s="86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customFormat="false" ht="16.5" hidden="false" customHeight="true" outlineLevel="0" collapsed="false">
      <c r="A91" s="86"/>
      <c r="B91" s="88"/>
      <c r="C91" s="86"/>
      <c r="D91" s="87" t="str">
        <f aca="false">IF(E91="","",IFERROR(INDEX(CADASTRO_VIVO_3CRE!$B$2:$B$150,MATCH(E91,CADASTRO_VIVO_3CRE!$E$2:$E$150,0)),""))</f>
        <v/>
      </c>
      <c r="E91" s="86"/>
      <c r="F91" s="86"/>
      <c r="G91" s="86"/>
      <c r="H91" s="86"/>
      <c r="I91" s="86"/>
      <c r="J91" s="86"/>
      <c r="K91" s="117" t="str">
        <f aca="false">IF(AND(A91&lt;&gt;"",E91=CONSULTA_UNIDADE!$B$4),MAX($K$1:$K$90)+1,"")</f>
        <v/>
      </c>
      <c r="L91" s="86"/>
      <c r="M91" s="86"/>
      <c r="N91" s="86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customFormat="false" ht="16.5" hidden="false" customHeight="true" outlineLevel="0" collapsed="false">
      <c r="A92" s="86"/>
      <c r="B92" s="88"/>
      <c r="C92" s="86"/>
      <c r="D92" s="87" t="str">
        <f aca="false">IF(E92="","",IFERROR(INDEX(CADASTRO_VIVO_3CRE!$B$2:$B$150,MATCH(E92,CADASTRO_VIVO_3CRE!$E$2:$E$150,0)),""))</f>
        <v/>
      </c>
      <c r="E92" s="86"/>
      <c r="F92" s="86"/>
      <c r="G92" s="86"/>
      <c r="H92" s="86"/>
      <c r="I92" s="86"/>
      <c r="J92" s="86"/>
      <c r="K92" s="117" t="str">
        <f aca="false">IF(AND(A92&lt;&gt;"",E92=CONSULTA_UNIDADE!$B$4),MAX($K$1:$K$91)+1,"")</f>
        <v/>
      </c>
      <c r="L92" s="86"/>
      <c r="M92" s="86"/>
      <c r="N92" s="86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customFormat="false" ht="16.5" hidden="false" customHeight="true" outlineLevel="0" collapsed="false">
      <c r="A93" s="86"/>
      <c r="B93" s="88"/>
      <c r="C93" s="86"/>
      <c r="D93" s="87" t="str">
        <f aca="false">IF(E93="","",IFERROR(INDEX(CADASTRO_VIVO_3CRE!$B$2:$B$150,MATCH(E93,CADASTRO_VIVO_3CRE!$E$2:$E$150,0)),""))</f>
        <v/>
      </c>
      <c r="E93" s="86"/>
      <c r="F93" s="86"/>
      <c r="G93" s="86"/>
      <c r="H93" s="86"/>
      <c r="I93" s="86"/>
      <c r="J93" s="86"/>
      <c r="K93" s="117" t="str">
        <f aca="false">IF(AND(A93&lt;&gt;"",E93=CONSULTA_UNIDADE!$B$4),MAX($K$1:$K$92)+1,"")</f>
        <v/>
      </c>
      <c r="L93" s="86"/>
      <c r="M93" s="86"/>
      <c r="N93" s="86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customFormat="false" ht="16.5" hidden="false" customHeight="true" outlineLevel="0" collapsed="false">
      <c r="A94" s="86"/>
      <c r="B94" s="88"/>
      <c r="C94" s="86"/>
      <c r="D94" s="87" t="str">
        <f aca="false">IF(E94="","",IFERROR(INDEX(CADASTRO_VIVO_3CRE!$B$2:$B$150,MATCH(E94,CADASTRO_VIVO_3CRE!$E$2:$E$150,0)),""))</f>
        <v/>
      </c>
      <c r="E94" s="86"/>
      <c r="F94" s="86"/>
      <c r="G94" s="86"/>
      <c r="H94" s="86"/>
      <c r="I94" s="86"/>
      <c r="J94" s="86"/>
      <c r="K94" s="117" t="str">
        <f aca="false">IF(AND(A94&lt;&gt;"",E94=CONSULTA_UNIDADE!$B$4),MAX($K$1:$K$93)+1,"")</f>
        <v/>
      </c>
      <c r="L94" s="86"/>
      <c r="M94" s="86"/>
      <c r="N94" s="86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customFormat="false" ht="16.5" hidden="false" customHeight="true" outlineLevel="0" collapsed="false">
      <c r="A95" s="86"/>
      <c r="B95" s="88"/>
      <c r="C95" s="86"/>
      <c r="D95" s="87" t="str">
        <f aca="false">IF(E95="","",IFERROR(INDEX(CADASTRO_VIVO_3CRE!$B$2:$B$150,MATCH(E95,CADASTRO_VIVO_3CRE!$E$2:$E$150,0)),""))</f>
        <v/>
      </c>
      <c r="E95" s="86"/>
      <c r="F95" s="86"/>
      <c r="G95" s="86"/>
      <c r="H95" s="86"/>
      <c r="I95" s="86"/>
      <c r="J95" s="86"/>
      <c r="K95" s="117" t="str">
        <f aca="false">IF(AND(A95&lt;&gt;"",E95=CONSULTA_UNIDADE!$B$4),MAX($K$1:$K$94)+1,"")</f>
        <v/>
      </c>
      <c r="L95" s="86"/>
      <c r="M95" s="86"/>
      <c r="N95" s="86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customFormat="false" ht="16.5" hidden="false" customHeight="true" outlineLevel="0" collapsed="false">
      <c r="A96" s="86"/>
      <c r="B96" s="88"/>
      <c r="C96" s="86"/>
      <c r="D96" s="87" t="str">
        <f aca="false">IF(E96="","",IFERROR(INDEX(CADASTRO_VIVO_3CRE!$B$2:$B$150,MATCH(E96,CADASTRO_VIVO_3CRE!$E$2:$E$150,0)),""))</f>
        <v/>
      </c>
      <c r="E96" s="86"/>
      <c r="F96" s="86"/>
      <c r="G96" s="86"/>
      <c r="H96" s="86"/>
      <c r="I96" s="86"/>
      <c r="J96" s="86"/>
      <c r="K96" s="117" t="str">
        <f aca="false">IF(AND(A96&lt;&gt;"",E96=CONSULTA_UNIDADE!$B$4),MAX($K$1:$K$95)+1,"")</f>
        <v/>
      </c>
      <c r="L96" s="86"/>
      <c r="M96" s="86"/>
      <c r="N96" s="86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customFormat="false" ht="16.5" hidden="false" customHeight="true" outlineLevel="0" collapsed="false">
      <c r="A97" s="86"/>
      <c r="B97" s="88"/>
      <c r="C97" s="86"/>
      <c r="D97" s="87" t="str">
        <f aca="false">IF(E97="","",IFERROR(INDEX(CADASTRO_VIVO_3CRE!$B$2:$B$150,MATCH(E97,CADASTRO_VIVO_3CRE!$E$2:$E$150,0)),""))</f>
        <v/>
      </c>
      <c r="E97" s="86"/>
      <c r="F97" s="86"/>
      <c r="G97" s="86"/>
      <c r="H97" s="86"/>
      <c r="I97" s="86"/>
      <c r="J97" s="86"/>
      <c r="K97" s="117" t="str">
        <f aca="false">IF(AND(A97&lt;&gt;"",E97=CONSULTA_UNIDADE!$B$4),MAX($K$1:$K$96)+1,"")</f>
        <v/>
      </c>
      <c r="L97" s="86"/>
      <c r="M97" s="86"/>
      <c r="N97" s="86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customFormat="false" ht="16.5" hidden="false" customHeight="true" outlineLevel="0" collapsed="false">
      <c r="A98" s="86"/>
      <c r="B98" s="88"/>
      <c r="C98" s="86"/>
      <c r="D98" s="87" t="str">
        <f aca="false">IF(E98="","",IFERROR(INDEX(CADASTRO_VIVO_3CRE!$B$2:$B$150,MATCH(E98,CADASTRO_VIVO_3CRE!$E$2:$E$150,0)),""))</f>
        <v/>
      </c>
      <c r="E98" s="86"/>
      <c r="F98" s="86"/>
      <c r="G98" s="86"/>
      <c r="H98" s="86"/>
      <c r="I98" s="86"/>
      <c r="J98" s="86"/>
      <c r="K98" s="117" t="str">
        <f aca="false">IF(AND(A98&lt;&gt;"",E98=CONSULTA_UNIDADE!$B$4),MAX($K$1:$K$97)+1,"")</f>
        <v/>
      </c>
      <c r="L98" s="86"/>
      <c r="M98" s="86"/>
      <c r="N98" s="86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customFormat="false" ht="16.5" hidden="false" customHeight="true" outlineLevel="0" collapsed="false">
      <c r="A99" s="86"/>
      <c r="B99" s="88"/>
      <c r="C99" s="86"/>
      <c r="D99" s="87" t="str">
        <f aca="false">IF(E99="","",IFERROR(INDEX(CADASTRO_VIVO_3CRE!$B$2:$B$150,MATCH(E99,CADASTRO_VIVO_3CRE!$E$2:$E$150,0)),""))</f>
        <v/>
      </c>
      <c r="E99" s="86"/>
      <c r="F99" s="86"/>
      <c r="G99" s="86"/>
      <c r="H99" s="86"/>
      <c r="I99" s="86"/>
      <c r="J99" s="86"/>
      <c r="K99" s="117" t="str">
        <f aca="false">IF(AND(A99&lt;&gt;"",E99=CONSULTA_UNIDADE!$B$4),MAX($K$1:$K$98)+1,"")</f>
        <v/>
      </c>
      <c r="L99" s="86"/>
      <c r="M99" s="86"/>
      <c r="N99" s="86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customFormat="false" ht="16.5" hidden="false" customHeight="true" outlineLevel="0" collapsed="false">
      <c r="A100" s="86"/>
      <c r="B100" s="88"/>
      <c r="C100" s="86"/>
      <c r="D100" s="87" t="str">
        <f aca="false">IF(E100="","",IFERROR(INDEX(CADASTRO_VIVO_3CRE!$B$2:$B$150,MATCH(E100,CADASTRO_VIVO_3CRE!$E$2:$E$150,0)),""))</f>
        <v/>
      </c>
      <c r="E100" s="86"/>
      <c r="F100" s="86"/>
      <c r="G100" s="86"/>
      <c r="H100" s="86"/>
      <c r="I100" s="86"/>
      <c r="J100" s="86"/>
      <c r="K100" s="117" t="str">
        <f aca="false">IF(AND(A100&lt;&gt;"",E100=CONSULTA_UNIDADE!$B$4),MAX($K$1:$K$99)+1,"")</f>
        <v/>
      </c>
      <c r="L100" s="86"/>
      <c r="M100" s="86"/>
      <c r="N100" s="86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customFormat="false" ht="16.5" hidden="false" customHeight="true" outlineLevel="0" collapsed="false">
      <c r="A101" s="86"/>
      <c r="B101" s="88"/>
      <c r="C101" s="86"/>
      <c r="D101" s="87" t="str">
        <f aca="false">IF(E101="","",IFERROR(INDEX(CADASTRO_VIVO_3CRE!$B$2:$B$150,MATCH(E101,CADASTRO_VIVO_3CRE!$E$2:$E$150,0)),""))</f>
        <v/>
      </c>
      <c r="E101" s="86"/>
      <c r="F101" s="86"/>
      <c r="G101" s="86"/>
      <c r="H101" s="86"/>
      <c r="I101" s="86"/>
      <c r="J101" s="86"/>
      <c r="K101" s="117" t="str">
        <f aca="false">IF(AND(A101&lt;&gt;"",E101=CONSULTA_UNIDADE!$B$4),MAX($K$1:$K$100)+1,"")</f>
        <v/>
      </c>
      <c r="L101" s="86"/>
      <c r="M101" s="86"/>
      <c r="N101" s="86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customFormat="false" ht="16.5" hidden="false" customHeight="true" outlineLevel="0" collapsed="false">
      <c r="A102" s="86"/>
      <c r="B102" s="88"/>
      <c r="C102" s="86"/>
      <c r="D102" s="87" t="str">
        <f aca="false">IF(E102="","",IFERROR(INDEX(CADASTRO_VIVO_3CRE!$B$2:$B$150,MATCH(E102,CADASTRO_VIVO_3CRE!$E$2:$E$150,0)),""))</f>
        <v/>
      </c>
      <c r="E102" s="86"/>
      <c r="F102" s="86"/>
      <c r="G102" s="86"/>
      <c r="H102" s="86"/>
      <c r="I102" s="86"/>
      <c r="J102" s="86"/>
      <c r="K102" s="117" t="str">
        <f aca="false">IF(AND(A102&lt;&gt;"",E102=CONSULTA_UNIDADE!$B$4),MAX($K$1:$K$101)+1,"")</f>
        <v/>
      </c>
      <c r="L102" s="86"/>
      <c r="M102" s="86"/>
      <c r="N102" s="86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customFormat="false" ht="16.5" hidden="false" customHeight="true" outlineLevel="0" collapsed="false">
      <c r="A103" s="86"/>
      <c r="B103" s="88"/>
      <c r="C103" s="86"/>
      <c r="D103" s="87" t="str">
        <f aca="false">IF(E103="","",IFERROR(INDEX(CADASTRO_VIVO_3CRE!$B$2:$B$150,MATCH(E103,CADASTRO_VIVO_3CRE!$E$2:$E$150,0)),""))</f>
        <v/>
      </c>
      <c r="E103" s="86"/>
      <c r="F103" s="86"/>
      <c r="G103" s="86"/>
      <c r="H103" s="86"/>
      <c r="I103" s="86"/>
      <c r="J103" s="86"/>
      <c r="K103" s="117" t="str">
        <f aca="false">IF(AND(A103&lt;&gt;"",E103=CONSULTA_UNIDADE!$B$4),MAX($K$1:$K$102)+1,"")</f>
        <v/>
      </c>
      <c r="L103" s="86"/>
      <c r="M103" s="86"/>
      <c r="N103" s="86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customFormat="false" ht="16.5" hidden="false" customHeight="true" outlineLevel="0" collapsed="false">
      <c r="A104" s="86"/>
      <c r="B104" s="88"/>
      <c r="C104" s="86"/>
      <c r="D104" s="87" t="str">
        <f aca="false">IF(E104="","",IFERROR(INDEX(CADASTRO_VIVO_3CRE!$B$2:$B$150,MATCH(E104,CADASTRO_VIVO_3CRE!$E$2:$E$150,0)),""))</f>
        <v/>
      </c>
      <c r="E104" s="86"/>
      <c r="F104" s="86"/>
      <c r="G104" s="86"/>
      <c r="H104" s="86"/>
      <c r="I104" s="86"/>
      <c r="J104" s="86"/>
      <c r="K104" s="117" t="str">
        <f aca="false">IF(AND(A104&lt;&gt;"",E104=CONSULTA_UNIDADE!$B$4),MAX($K$1:$K$103)+1,"")</f>
        <v/>
      </c>
      <c r="L104" s="86"/>
      <c r="M104" s="86"/>
      <c r="N104" s="86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customFormat="false" ht="16.5" hidden="false" customHeight="true" outlineLevel="0" collapsed="false">
      <c r="A105" s="86"/>
      <c r="B105" s="88"/>
      <c r="C105" s="86"/>
      <c r="D105" s="87" t="str">
        <f aca="false">IF(E105="","",IFERROR(INDEX(CADASTRO_VIVO_3CRE!$B$2:$B$150,MATCH(E105,CADASTRO_VIVO_3CRE!$E$2:$E$150,0)),""))</f>
        <v/>
      </c>
      <c r="E105" s="86"/>
      <c r="F105" s="86"/>
      <c r="G105" s="86"/>
      <c r="H105" s="86"/>
      <c r="I105" s="86"/>
      <c r="J105" s="86"/>
      <c r="K105" s="117" t="str">
        <f aca="false">IF(AND(A105&lt;&gt;"",E105=CONSULTA_UNIDADE!$B$4),MAX($K$1:$K$104)+1,"")</f>
        <v/>
      </c>
      <c r="L105" s="86"/>
      <c r="M105" s="86"/>
      <c r="N105" s="86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customFormat="false" ht="16.5" hidden="false" customHeight="true" outlineLevel="0" collapsed="false">
      <c r="A106" s="86"/>
      <c r="B106" s="88"/>
      <c r="C106" s="86"/>
      <c r="D106" s="87" t="str">
        <f aca="false">IF(E106="","",IFERROR(INDEX(CADASTRO_VIVO_3CRE!$B$2:$B$150,MATCH(E106,CADASTRO_VIVO_3CRE!$E$2:$E$150,0)),""))</f>
        <v/>
      </c>
      <c r="E106" s="86"/>
      <c r="F106" s="86"/>
      <c r="G106" s="86"/>
      <c r="H106" s="86"/>
      <c r="I106" s="86"/>
      <c r="J106" s="86"/>
      <c r="K106" s="117" t="str">
        <f aca="false">IF(AND(A106&lt;&gt;"",E106=CONSULTA_UNIDADE!$B$4),MAX($K$1:$K$105)+1,"")</f>
        <v/>
      </c>
      <c r="L106" s="86"/>
      <c r="M106" s="86"/>
      <c r="N106" s="86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customFormat="false" ht="16.5" hidden="false" customHeight="true" outlineLevel="0" collapsed="false">
      <c r="A107" s="86"/>
      <c r="B107" s="88"/>
      <c r="C107" s="86"/>
      <c r="D107" s="87" t="str">
        <f aca="false">IF(E107="","",IFERROR(INDEX(CADASTRO_VIVO_3CRE!$B$2:$B$150,MATCH(E107,CADASTRO_VIVO_3CRE!$E$2:$E$150,0)),""))</f>
        <v/>
      </c>
      <c r="E107" s="86"/>
      <c r="F107" s="86"/>
      <c r="G107" s="86"/>
      <c r="H107" s="86"/>
      <c r="I107" s="86"/>
      <c r="J107" s="86"/>
      <c r="K107" s="117" t="str">
        <f aca="false">IF(AND(A107&lt;&gt;"",E107=CONSULTA_UNIDADE!$B$4),MAX($K$1:$K$106)+1,"")</f>
        <v/>
      </c>
      <c r="L107" s="86"/>
      <c r="M107" s="86"/>
      <c r="N107" s="86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customFormat="false" ht="16.5" hidden="false" customHeight="true" outlineLevel="0" collapsed="false">
      <c r="A108" s="86"/>
      <c r="B108" s="88"/>
      <c r="C108" s="86"/>
      <c r="D108" s="87" t="str">
        <f aca="false">IF(E108="","",IFERROR(INDEX(CADASTRO_VIVO_3CRE!$B$2:$B$150,MATCH(E108,CADASTRO_VIVO_3CRE!$E$2:$E$150,0)),""))</f>
        <v/>
      </c>
      <c r="E108" s="86"/>
      <c r="F108" s="86"/>
      <c r="G108" s="86"/>
      <c r="H108" s="86"/>
      <c r="I108" s="86"/>
      <c r="J108" s="86"/>
      <c r="K108" s="117" t="str">
        <f aca="false">IF(AND(A108&lt;&gt;"",E108=CONSULTA_UNIDADE!$B$4),MAX($K$1:$K$107)+1,"")</f>
        <v/>
      </c>
      <c r="L108" s="86"/>
      <c r="M108" s="86"/>
      <c r="N108" s="86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customFormat="false" ht="16.5" hidden="false" customHeight="true" outlineLevel="0" collapsed="false">
      <c r="A109" s="86"/>
      <c r="B109" s="88"/>
      <c r="C109" s="86"/>
      <c r="D109" s="87" t="str">
        <f aca="false">IF(E109="","",IFERROR(INDEX(CADASTRO_VIVO_3CRE!$B$2:$B$150,MATCH(E109,CADASTRO_VIVO_3CRE!$E$2:$E$150,0)),""))</f>
        <v/>
      </c>
      <c r="E109" s="86"/>
      <c r="F109" s="86"/>
      <c r="G109" s="86"/>
      <c r="H109" s="86"/>
      <c r="I109" s="86"/>
      <c r="J109" s="86"/>
      <c r="K109" s="117" t="str">
        <f aca="false">IF(AND(A109&lt;&gt;"",E109=CONSULTA_UNIDADE!$B$4),MAX($K$1:$K$108)+1,"")</f>
        <v/>
      </c>
      <c r="L109" s="86"/>
      <c r="M109" s="86"/>
      <c r="N109" s="86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customFormat="false" ht="16.5" hidden="false" customHeight="true" outlineLevel="0" collapsed="false">
      <c r="A110" s="86"/>
      <c r="B110" s="88"/>
      <c r="C110" s="86"/>
      <c r="D110" s="87" t="str">
        <f aca="false">IF(E110="","",IFERROR(INDEX(CADASTRO_VIVO_3CRE!$B$2:$B$150,MATCH(E110,CADASTRO_VIVO_3CRE!$E$2:$E$150,0)),""))</f>
        <v/>
      </c>
      <c r="E110" s="86"/>
      <c r="F110" s="86"/>
      <c r="G110" s="86"/>
      <c r="H110" s="86"/>
      <c r="I110" s="86"/>
      <c r="J110" s="86"/>
      <c r="K110" s="117" t="str">
        <f aca="false">IF(AND(A110&lt;&gt;"",E110=CONSULTA_UNIDADE!$B$4),MAX($K$1:$K$109)+1,"")</f>
        <v/>
      </c>
      <c r="L110" s="86"/>
      <c r="M110" s="86"/>
      <c r="N110" s="86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customFormat="false" ht="16.5" hidden="false" customHeight="true" outlineLevel="0" collapsed="false">
      <c r="A111" s="86"/>
      <c r="B111" s="88"/>
      <c r="C111" s="86"/>
      <c r="D111" s="87" t="str">
        <f aca="false">IF(E111="","",IFERROR(INDEX(CADASTRO_VIVO_3CRE!$B$2:$B$150,MATCH(E111,CADASTRO_VIVO_3CRE!$E$2:$E$150,0)),""))</f>
        <v/>
      </c>
      <c r="E111" s="86"/>
      <c r="F111" s="86"/>
      <c r="G111" s="86"/>
      <c r="H111" s="86"/>
      <c r="I111" s="86"/>
      <c r="J111" s="86"/>
      <c r="K111" s="117" t="str">
        <f aca="false">IF(AND(A111&lt;&gt;"",E111=CONSULTA_UNIDADE!$B$4),MAX($K$1:$K$110)+1,"")</f>
        <v/>
      </c>
      <c r="L111" s="86"/>
      <c r="M111" s="86"/>
      <c r="N111" s="86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customFormat="false" ht="16.5" hidden="false" customHeight="true" outlineLevel="0" collapsed="false">
      <c r="A112" s="86"/>
      <c r="B112" s="88"/>
      <c r="C112" s="86"/>
      <c r="D112" s="87" t="str">
        <f aca="false">IF(E112="","",IFERROR(INDEX(CADASTRO_VIVO_3CRE!$B$2:$B$150,MATCH(E112,CADASTRO_VIVO_3CRE!$E$2:$E$150,0)),""))</f>
        <v/>
      </c>
      <c r="E112" s="86"/>
      <c r="F112" s="86"/>
      <c r="G112" s="86"/>
      <c r="H112" s="86"/>
      <c r="I112" s="86"/>
      <c r="J112" s="86"/>
      <c r="K112" s="117" t="str">
        <f aca="false">IF(AND(A112&lt;&gt;"",E112=CONSULTA_UNIDADE!$B$4),MAX($K$1:$K$111)+1,"")</f>
        <v/>
      </c>
      <c r="L112" s="86"/>
      <c r="M112" s="86"/>
      <c r="N112" s="86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customFormat="false" ht="16.5" hidden="false" customHeight="true" outlineLevel="0" collapsed="false">
      <c r="A113" s="86"/>
      <c r="B113" s="88"/>
      <c r="C113" s="86"/>
      <c r="D113" s="87" t="str">
        <f aca="false">IF(E113="","",IFERROR(INDEX(CADASTRO_VIVO_3CRE!$B$2:$B$150,MATCH(E113,CADASTRO_VIVO_3CRE!$E$2:$E$150,0)),""))</f>
        <v/>
      </c>
      <c r="E113" s="86"/>
      <c r="F113" s="86"/>
      <c r="G113" s="86"/>
      <c r="H113" s="86"/>
      <c r="I113" s="86"/>
      <c r="J113" s="86"/>
      <c r="K113" s="117" t="str">
        <f aca="false">IF(AND(A113&lt;&gt;"",E113=CONSULTA_UNIDADE!$B$4),MAX($K$1:$K$112)+1,"")</f>
        <v/>
      </c>
      <c r="L113" s="86"/>
      <c r="M113" s="86"/>
      <c r="N113" s="86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customFormat="false" ht="16.5" hidden="false" customHeight="true" outlineLevel="0" collapsed="false">
      <c r="A114" s="86"/>
      <c r="B114" s="88"/>
      <c r="C114" s="86"/>
      <c r="D114" s="87" t="str">
        <f aca="false">IF(E114="","",IFERROR(INDEX(CADASTRO_VIVO_3CRE!$B$2:$B$150,MATCH(E114,CADASTRO_VIVO_3CRE!$E$2:$E$150,0)),""))</f>
        <v/>
      </c>
      <c r="E114" s="86"/>
      <c r="F114" s="86"/>
      <c r="G114" s="86"/>
      <c r="H114" s="86"/>
      <c r="I114" s="86"/>
      <c r="J114" s="86"/>
      <c r="K114" s="117" t="str">
        <f aca="false">IF(AND(A114&lt;&gt;"",E114=CONSULTA_UNIDADE!$B$4),MAX($K$1:$K$113)+1,"")</f>
        <v/>
      </c>
      <c r="L114" s="86"/>
      <c r="M114" s="86"/>
      <c r="N114" s="86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customFormat="false" ht="16.5" hidden="false" customHeight="true" outlineLevel="0" collapsed="false">
      <c r="A115" s="86"/>
      <c r="B115" s="88"/>
      <c r="C115" s="86"/>
      <c r="D115" s="87" t="str">
        <f aca="false">IF(E115="","",IFERROR(INDEX(CADASTRO_VIVO_3CRE!$B$2:$B$150,MATCH(E115,CADASTRO_VIVO_3CRE!$E$2:$E$150,0)),""))</f>
        <v/>
      </c>
      <c r="E115" s="86"/>
      <c r="F115" s="86"/>
      <c r="G115" s="86"/>
      <c r="H115" s="86"/>
      <c r="I115" s="86"/>
      <c r="J115" s="86"/>
      <c r="K115" s="117" t="str">
        <f aca="false">IF(AND(A115&lt;&gt;"",E115=CONSULTA_UNIDADE!$B$4),MAX($K$1:$K$114)+1,"")</f>
        <v/>
      </c>
      <c r="L115" s="86"/>
      <c r="M115" s="86"/>
      <c r="N115" s="86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customFormat="false" ht="16.5" hidden="false" customHeight="true" outlineLevel="0" collapsed="false">
      <c r="A116" s="86"/>
      <c r="B116" s="88"/>
      <c r="C116" s="86"/>
      <c r="D116" s="87" t="str">
        <f aca="false">IF(E116="","",IFERROR(INDEX(CADASTRO_VIVO_3CRE!$B$2:$B$150,MATCH(E116,CADASTRO_VIVO_3CRE!$E$2:$E$150,0)),""))</f>
        <v/>
      </c>
      <c r="E116" s="86"/>
      <c r="F116" s="86"/>
      <c r="G116" s="86"/>
      <c r="H116" s="86"/>
      <c r="I116" s="86"/>
      <c r="J116" s="86"/>
      <c r="K116" s="117" t="str">
        <f aca="false">IF(AND(A116&lt;&gt;"",E116=CONSULTA_UNIDADE!$B$4),MAX($K$1:$K$115)+1,"")</f>
        <v/>
      </c>
      <c r="L116" s="86"/>
      <c r="M116" s="86"/>
      <c r="N116" s="86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customFormat="false" ht="16.5" hidden="false" customHeight="true" outlineLevel="0" collapsed="false">
      <c r="A117" s="86"/>
      <c r="B117" s="88"/>
      <c r="C117" s="86"/>
      <c r="D117" s="87" t="str">
        <f aca="false">IF(E117="","",IFERROR(INDEX(CADASTRO_VIVO_3CRE!$B$2:$B$150,MATCH(E117,CADASTRO_VIVO_3CRE!$E$2:$E$150,0)),""))</f>
        <v/>
      </c>
      <c r="E117" s="86"/>
      <c r="F117" s="86"/>
      <c r="G117" s="86"/>
      <c r="H117" s="86"/>
      <c r="I117" s="86"/>
      <c r="J117" s="86"/>
      <c r="K117" s="117" t="str">
        <f aca="false">IF(AND(A117&lt;&gt;"",E117=CONSULTA_UNIDADE!$B$4),MAX($K$1:$K$116)+1,"")</f>
        <v/>
      </c>
      <c r="L117" s="86"/>
      <c r="M117" s="86"/>
      <c r="N117" s="86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customFormat="false" ht="16.5" hidden="false" customHeight="true" outlineLevel="0" collapsed="false">
      <c r="A118" s="86"/>
      <c r="B118" s="88"/>
      <c r="C118" s="86"/>
      <c r="D118" s="87" t="str">
        <f aca="false">IF(E118="","",IFERROR(INDEX(CADASTRO_VIVO_3CRE!$B$2:$B$150,MATCH(E118,CADASTRO_VIVO_3CRE!$E$2:$E$150,0)),""))</f>
        <v/>
      </c>
      <c r="E118" s="86"/>
      <c r="F118" s="86"/>
      <c r="G118" s="86"/>
      <c r="H118" s="86"/>
      <c r="I118" s="86"/>
      <c r="J118" s="86"/>
      <c r="K118" s="117" t="str">
        <f aca="false">IF(AND(A118&lt;&gt;"",E118=CONSULTA_UNIDADE!$B$4),MAX($K$1:$K$117)+1,"")</f>
        <v/>
      </c>
      <c r="L118" s="86"/>
      <c r="M118" s="86"/>
      <c r="N118" s="86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customFormat="false" ht="16.5" hidden="false" customHeight="true" outlineLevel="0" collapsed="false">
      <c r="A119" s="86"/>
      <c r="B119" s="88"/>
      <c r="C119" s="86"/>
      <c r="D119" s="87" t="str">
        <f aca="false">IF(E119="","",IFERROR(INDEX(CADASTRO_VIVO_3CRE!$B$2:$B$150,MATCH(E119,CADASTRO_VIVO_3CRE!$E$2:$E$150,0)),""))</f>
        <v/>
      </c>
      <c r="E119" s="86"/>
      <c r="F119" s="86"/>
      <c r="G119" s="86"/>
      <c r="H119" s="86"/>
      <c r="I119" s="86"/>
      <c r="J119" s="86"/>
      <c r="K119" s="117" t="str">
        <f aca="false">IF(AND(A119&lt;&gt;"",E119=CONSULTA_UNIDADE!$B$4),MAX($K$1:$K$118)+1,"")</f>
        <v/>
      </c>
      <c r="L119" s="86"/>
      <c r="M119" s="86"/>
      <c r="N119" s="86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customFormat="false" ht="16.5" hidden="false" customHeight="true" outlineLevel="0" collapsed="false">
      <c r="A120" s="86"/>
      <c r="B120" s="88"/>
      <c r="C120" s="86"/>
      <c r="D120" s="87" t="str">
        <f aca="false">IF(E120="","",IFERROR(INDEX(CADASTRO_VIVO_3CRE!$B$2:$B$150,MATCH(E120,CADASTRO_VIVO_3CRE!$E$2:$E$150,0)),""))</f>
        <v/>
      </c>
      <c r="E120" s="86"/>
      <c r="F120" s="86"/>
      <c r="G120" s="86"/>
      <c r="H120" s="86"/>
      <c r="I120" s="86"/>
      <c r="J120" s="86"/>
      <c r="K120" s="117" t="str">
        <f aca="false">IF(AND(A120&lt;&gt;"",E120=CONSULTA_UNIDADE!$B$4),MAX($K$1:$K$119)+1,"")</f>
        <v/>
      </c>
      <c r="L120" s="86"/>
      <c r="M120" s="86"/>
      <c r="N120" s="86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customFormat="false" ht="16.5" hidden="false" customHeight="true" outlineLevel="0" collapsed="false">
      <c r="A121" s="86"/>
      <c r="B121" s="88"/>
      <c r="C121" s="86"/>
      <c r="D121" s="87" t="str">
        <f aca="false">IF(E121="","",IFERROR(INDEX(CADASTRO_VIVO_3CRE!$B$2:$B$150,MATCH(E121,CADASTRO_VIVO_3CRE!$E$2:$E$150,0)),""))</f>
        <v/>
      </c>
      <c r="E121" s="86"/>
      <c r="F121" s="86"/>
      <c r="G121" s="86"/>
      <c r="H121" s="86"/>
      <c r="I121" s="86"/>
      <c r="J121" s="86"/>
      <c r="K121" s="117" t="str">
        <f aca="false">IF(AND(A121&lt;&gt;"",E121=CONSULTA_UNIDADE!$B$4),MAX($K$1:$K$120)+1,"")</f>
        <v/>
      </c>
      <c r="L121" s="86"/>
      <c r="M121" s="86"/>
      <c r="N121" s="86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customFormat="false" ht="16.5" hidden="false" customHeight="true" outlineLevel="0" collapsed="false">
      <c r="A122" s="86"/>
      <c r="B122" s="88"/>
      <c r="C122" s="86"/>
      <c r="D122" s="87" t="str">
        <f aca="false">IF(E122="","",IFERROR(INDEX(CADASTRO_VIVO_3CRE!$B$2:$B$150,MATCH(E122,CADASTRO_VIVO_3CRE!$E$2:$E$150,0)),""))</f>
        <v/>
      </c>
      <c r="E122" s="86"/>
      <c r="F122" s="86"/>
      <c r="G122" s="86"/>
      <c r="H122" s="86"/>
      <c r="I122" s="86"/>
      <c r="J122" s="86"/>
      <c r="K122" s="117" t="str">
        <f aca="false">IF(AND(A122&lt;&gt;"",E122=CONSULTA_UNIDADE!$B$4),MAX($K$1:$K$121)+1,"")</f>
        <v/>
      </c>
      <c r="L122" s="86"/>
      <c r="M122" s="86"/>
      <c r="N122" s="86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customFormat="false" ht="16.5" hidden="false" customHeight="true" outlineLevel="0" collapsed="false">
      <c r="A123" s="86"/>
      <c r="B123" s="88"/>
      <c r="C123" s="86"/>
      <c r="D123" s="87" t="str">
        <f aca="false">IF(E123="","",IFERROR(INDEX(CADASTRO_VIVO_3CRE!$B$2:$B$150,MATCH(E123,CADASTRO_VIVO_3CRE!$E$2:$E$150,0)),""))</f>
        <v/>
      </c>
      <c r="E123" s="86"/>
      <c r="F123" s="86"/>
      <c r="G123" s="86"/>
      <c r="H123" s="86"/>
      <c r="I123" s="86"/>
      <c r="J123" s="86"/>
      <c r="K123" s="117" t="str">
        <f aca="false">IF(AND(A123&lt;&gt;"",E123=CONSULTA_UNIDADE!$B$4),MAX($K$1:$K$122)+1,"")</f>
        <v/>
      </c>
      <c r="L123" s="86"/>
      <c r="M123" s="86"/>
      <c r="N123" s="86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customFormat="false" ht="16.5" hidden="false" customHeight="true" outlineLevel="0" collapsed="false">
      <c r="A124" s="86"/>
      <c r="B124" s="88"/>
      <c r="C124" s="86"/>
      <c r="D124" s="87" t="str">
        <f aca="false">IF(E124="","",IFERROR(INDEX(CADASTRO_VIVO_3CRE!$B$2:$B$150,MATCH(E124,CADASTRO_VIVO_3CRE!$E$2:$E$150,0)),""))</f>
        <v/>
      </c>
      <c r="E124" s="86"/>
      <c r="F124" s="86"/>
      <c r="G124" s="86"/>
      <c r="H124" s="86"/>
      <c r="I124" s="86"/>
      <c r="J124" s="86"/>
      <c r="K124" s="117" t="str">
        <f aca="false">IF(AND(A124&lt;&gt;"",E124=CONSULTA_UNIDADE!$B$4),MAX($K$1:$K$123)+1,"")</f>
        <v/>
      </c>
      <c r="L124" s="86"/>
      <c r="M124" s="86"/>
      <c r="N124" s="86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customFormat="false" ht="16.5" hidden="false" customHeight="true" outlineLevel="0" collapsed="false">
      <c r="A125" s="86"/>
      <c r="B125" s="88"/>
      <c r="C125" s="86"/>
      <c r="D125" s="87" t="str">
        <f aca="false">IF(E125="","",IFERROR(INDEX(CADASTRO_VIVO_3CRE!$B$2:$B$150,MATCH(E125,CADASTRO_VIVO_3CRE!$E$2:$E$150,0)),""))</f>
        <v/>
      </c>
      <c r="E125" s="86"/>
      <c r="F125" s="86"/>
      <c r="G125" s="86"/>
      <c r="H125" s="86"/>
      <c r="I125" s="86"/>
      <c r="J125" s="86"/>
      <c r="K125" s="117" t="str">
        <f aca="false">IF(AND(A125&lt;&gt;"",E125=CONSULTA_UNIDADE!$B$4),MAX($K$1:$K$124)+1,"")</f>
        <v/>
      </c>
      <c r="L125" s="86"/>
      <c r="M125" s="86"/>
      <c r="N125" s="86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customFormat="false" ht="16.5" hidden="false" customHeight="true" outlineLevel="0" collapsed="false">
      <c r="A126" s="86"/>
      <c r="B126" s="88"/>
      <c r="C126" s="86"/>
      <c r="D126" s="87" t="str">
        <f aca="false">IF(E126="","",IFERROR(INDEX(CADASTRO_VIVO_3CRE!$B$2:$B$150,MATCH(E126,CADASTRO_VIVO_3CRE!$E$2:$E$150,0)),""))</f>
        <v/>
      </c>
      <c r="E126" s="86"/>
      <c r="F126" s="86"/>
      <c r="G126" s="86"/>
      <c r="H126" s="86"/>
      <c r="I126" s="86"/>
      <c r="J126" s="86"/>
      <c r="K126" s="117" t="str">
        <f aca="false">IF(AND(A126&lt;&gt;"",E126=CONSULTA_UNIDADE!$B$4),MAX($K$1:$K$125)+1,"")</f>
        <v/>
      </c>
      <c r="L126" s="86"/>
      <c r="M126" s="86"/>
      <c r="N126" s="86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customFormat="false" ht="16.5" hidden="false" customHeight="true" outlineLevel="0" collapsed="false">
      <c r="A127" s="86"/>
      <c r="B127" s="88"/>
      <c r="C127" s="86"/>
      <c r="D127" s="87" t="str">
        <f aca="false">IF(E127="","",IFERROR(INDEX(CADASTRO_VIVO_3CRE!$B$2:$B$150,MATCH(E127,CADASTRO_VIVO_3CRE!$E$2:$E$150,0)),""))</f>
        <v/>
      </c>
      <c r="E127" s="86"/>
      <c r="F127" s="86"/>
      <c r="G127" s="86"/>
      <c r="H127" s="86"/>
      <c r="I127" s="86"/>
      <c r="J127" s="86"/>
      <c r="K127" s="117" t="str">
        <f aca="false">IF(AND(A127&lt;&gt;"",E127=CONSULTA_UNIDADE!$B$4),MAX($K$1:$K$126)+1,"")</f>
        <v/>
      </c>
      <c r="L127" s="86"/>
      <c r="M127" s="86"/>
      <c r="N127" s="86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customFormat="false" ht="16.5" hidden="false" customHeight="true" outlineLevel="0" collapsed="false">
      <c r="A128" s="86"/>
      <c r="B128" s="88"/>
      <c r="C128" s="86"/>
      <c r="D128" s="87" t="str">
        <f aca="false">IF(E128="","",IFERROR(INDEX(CADASTRO_VIVO_3CRE!$B$2:$B$150,MATCH(E128,CADASTRO_VIVO_3CRE!$E$2:$E$150,0)),""))</f>
        <v/>
      </c>
      <c r="E128" s="86"/>
      <c r="F128" s="86"/>
      <c r="G128" s="86"/>
      <c r="H128" s="86"/>
      <c r="I128" s="86"/>
      <c r="J128" s="86"/>
      <c r="K128" s="117" t="str">
        <f aca="false">IF(AND(A128&lt;&gt;"",E128=CONSULTA_UNIDADE!$B$4),MAX($K$1:$K$127)+1,"")</f>
        <v/>
      </c>
      <c r="L128" s="86"/>
      <c r="M128" s="86"/>
      <c r="N128" s="86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customFormat="false" ht="16.5" hidden="false" customHeight="true" outlineLevel="0" collapsed="false">
      <c r="A129" s="86"/>
      <c r="B129" s="88"/>
      <c r="C129" s="86"/>
      <c r="D129" s="87" t="str">
        <f aca="false">IF(E129="","",IFERROR(INDEX(CADASTRO_VIVO_3CRE!$B$2:$B$150,MATCH(E129,CADASTRO_VIVO_3CRE!$E$2:$E$150,0)),""))</f>
        <v/>
      </c>
      <c r="E129" s="86"/>
      <c r="F129" s="86"/>
      <c r="G129" s="86"/>
      <c r="H129" s="86"/>
      <c r="I129" s="86"/>
      <c r="J129" s="86"/>
      <c r="K129" s="117" t="str">
        <f aca="false">IF(AND(A129&lt;&gt;"",E129=CONSULTA_UNIDADE!$B$4),MAX($K$1:$K$128)+1,"")</f>
        <v/>
      </c>
      <c r="L129" s="86"/>
      <c r="M129" s="86"/>
      <c r="N129" s="86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customFormat="false" ht="16.5" hidden="false" customHeight="true" outlineLevel="0" collapsed="false">
      <c r="A130" s="86"/>
      <c r="B130" s="88"/>
      <c r="C130" s="86"/>
      <c r="D130" s="87" t="str">
        <f aca="false">IF(E130="","",IFERROR(INDEX(CADASTRO_VIVO_3CRE!$B$2:$B$150,MATCH(E130,CADASTRO_VIVO_3CRE!$E$2:$E$150,0)),""))</f>
        <v/>
      </c>
      <c r="E130" s="86"/>
      <c r="F130" s="86"/>
      <c r="G130" s="86"/>
      <c r="H130" s="86"/>
      <c r="I130" s="86"/>
      <c r="J130" s="86"/>
      <c r="K130" s="117" t="str">
        <f aca="false">IF(AND(A130&lt;&gt;"",E130=CONSULTA_UNIDADE!$B$4),MAX($K$1:$K$129)+1,"")</f>
        <v/>
      </c>
      <c r="L130" s="86"/>
      <c r="M130" s="86"/>
      <c r="N130" s="86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customFormat="false" ht="16.5" hidden="false" customHeight="true" outlineLevel="0" collapsed="false">
      <c r="A131" s="86"/>
      <c r="B131" s="88"/>
      <c r="C131" s="86"/>
      <c r="D131" s="87" t="str">
        <f aca="false">IF(E131="","",IFERROR(INDEX(CADASTRO_VIVO_3CRE!$B$2:$B$150,MATCH(E131,CADASTRO_VIVO_3CRE!$E$2:$E$150,0)),""))</f>
        <v/>
      </c>
      <c r="E131" s="86"/>
      <c r="F131" s="86"/>
      <c r="G131" s="86"/>
      <c r="H131" s="86"/>
      <c r="I131" s="86"/>
      <c r="J131" s="86"/>
      <c r="K131" s="117" t="str">
        <f aca="false">IF(AND(A131&lt;&gt;"",E131=CONSULTA_UNIDADE!$B$4),MAX($K$1:$K$130)+1,"")</f>
        <v/>
      </c>
      <c r="L131" s="86"/>
      <c r="M131" s="86"/>
      <c r="N131" s="86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customFormat="false" ht="16.5" hidden="false" customHeight="true" outlineLevel="0" collapsed="false">
      <c r="A132" s="86"/>
      <c r="B132" s="88"/>
      <c r="C132" s="86"/>
      <c r="D132" s="87" t="str">
        <f aca="false">IF(E132="","",IFERROR(INDEX(CADASTRO_VIVO_3CRE!$B$2:$B$150,MATCH(E132,CADASTRO_VIVO_3CRE!$E$2:$E$150,0)),""))</f>
        <v/>
      </c>
      <c r="E132" s="86"/>
      <c r="F132" s="86"/>
      <c r="G132" s="86"/>
      <c r="H132" s="86"/>
      <c r="I132" s="86"/>
      <c r="J132" s="86"/>
      <c r="K132" s="117" t="str">
        <f aca="false">IF(AND(A132&lt;&gt;"",E132=CONSULTA_UNIDADE!$B$4),MAX($K$1:$K$131)+1,"")</f>
        <v/>
      </c>
      <c r="L132" s="86"/>
      <c r="M132" s="86"/>
      <c r="N132" s="86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customFormat="false" ht="16.5" hidden="false" customHeight="true" outlineLevel="0" collapsed="false">
      <c r="A133" s="86"/>
      <c r="B133" s="88"/>
      <c r="C133" s="86"/>
      <c r="D133" s="87" t="str">
        <f aca="false">IF(E133="","",IFERROR(INDEX(CADASTRO_VIVO_3CRE!$B$2:$B$150,MATCH(E133,CADASTRO_VIVO_3CRE!$E$2:$E$150,0)),""))</f>
        <v/>
      </c>
      <c r="E133" s="86"/>
      <c r="F133" s="86"/>
      <c r="G133" s="86"/>
      <c r="H133" s="86"/>
      <c r="I133" s="86"/>
      <c r="J133" s="86"/>
      <c r="K133" s="117" t="str">
        <f aca="false">IF(AND(A133&lt;&gt;"",E133=CONSULTA_UNIDADE!$B$4),MAX($K$1:$K$132)+1,"")</f>
        <v/>
      </c>
      <c r="L133" s="86"/>
      <c r="M133" s="86"/>
      <c r="N133" s="86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customFormat="false" ht="16.5" hidden="false" customHeight="true" outlineLevel="0" collapsed="false">
      <c r="A134" s="86"/>
      <c r="B134" s="88"/>
      <c r="C134" s="86"/>
      <c r="D134" s="87" t="str">
        <f aca="false">IF(E134="","",IFERROR(INDEX(CADASTRO_VIVO_3CRE!$B$2:$B$150,MATCH(E134,CADASTRO_VIVO_3CRE!$E$2:$E$150,0)),""))</f>
        <v/>
      </c>
      <c r="E134" s="86"/>
      <c r="F134" s="86"/>
      <c r="G134" s="86"/>
      <c r="H134" s="86"/>
      <c r="I134" s="86"/>
      <c r="J134" s="86"/>
      <c r="K134" s="117" t="str">
        <f aca="false">IF(AND(A134&lt;&gt;"",E134=CONSULTA_UNIDADE!$B$4),MAX($K$1:$K$133)+1,"")</f>
        <v/>
      </c>
      <c r="L134" s="86"/>
      <c r="M134" s="86"/>
      <c r="N134" s="86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customFormat="false" ht="16.5" hidden="false" customHeight="true" outlineLevel="0" collapsed="false">
      <c r="A135" s="86"/>
      <c r="B135" s="88"/>
      <c r="C135" s="86"/>
      <c r="D135" s="87" t="str">
        <f aca="false">IF(E135="","",IFERROR(INDEX(CADASTRO_VIVO_3CRE!$B$2:$B$150,MATCH(E135,CADASTRO_VIVO_3CRE!$E$2:$E$150,0)),""))</f>
        <v/>
      </c>
      <c r="E135" s="86"/>
      <c r="F135" s="86"/>
      <c r="G135" s="86"/>
      <c r="H135" s="86"/>
      <c r="I135" s="86"/>
      <c r="J135" s="86"/>
      <c r="K135" s="117" t="str">
        <f aca="false">IF(AND(A135&lt;&gt;"",E135=CONSULTA_UNIDADE!$B$4),MAX($K$1:$K$134)+1,"")</f>
        <v/>
      </c>
      <c r="L135" s="86"/>
      <c r="M135" s="86"/>
      <c r="N135" s="86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customFormat="false" ht="16.5" hidden="false" customHeight="true" outlineLevel="0" collapsed="false">
      <c r="A136" s="86"/>
      <c r="B136" s="88"/>
      <c r="C136" s="86"/>
      <c r="D136" s="87" t="str">
        <f aca="false">IF(E136="","",IFERROR(INDEX(CADASTRO_VIVO_3CRE!$B$2:$B$150,MATCH(E136,CADASTRO_VIVO_3CRE!$E$2:$E$150,0)),""))</f>
        <v/>
      </c>
      <c r="E136" s="86"/>
      <c r="F136" s="86"/>
      <c r="G136" s="86"/>
      <c r="H136" s="86"/>
      <c r="I136" s="86"/>
      <c r="J136" s="86"/>
      <c r="K136" s="117" t="str">
        <f aca="false">IF(AND(A136&lt;&gt;"",E136=CONSULTA_UNIDADE!$B$4),MAX($K$1:$K$135)+1,"")</f>
        <v/>
      </c>
      <c r="L136" s="86"/>
      <c r="M136" s="86"/>
      <c r="N136" s="86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customFormat="false" ht="16.5" hidden="false" customHeight="true" outlineLevel="0" collapsed="false">
      <c r="A137" s="86"/>
      <c r="B137" s="88"/>
      <c r="C137" s="86"/>
      <c r="D137" s="87" t="str">
        <f aca="false">IF(E137="","",IFERROR(INDEX(CADASTRO_VIVO_3CRE!$B$2:$B$150,MATCH(E137,CADASTRO_VIVO_3CRE!$E$2:$E$150,0)),""))</f>
        <v/>
      </c>
      <c r="E137" s="86"/>
      <c r="F137" s="86"/>
      <c r="G137" s="86"/>
      <c r="H137" s="86"/>
      <c r="I137" s="86"/>
      <c r="J137" s="86"/>
      <c r="K137" s="117" t="str">
        <f aca="false">IF(AND(A137&lt;&gt;"",E137=CONSULTA_UNIDADE!$B$4),MAX($K$1:$K$136)+1,"")</f>
        <v/>
      </c>
      <c r="L137" s="86"/>
      <c r="M137" s="86"/>
      <c r="N137" s="86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customFormat="false" ht="16.5" hidden="false" customHeight="true" outlineLevel="0" collapsed="false">
      <c r="A138" s="86"/>
      <c r="B138" s="88"/>
      <c r="C138" s="86"/>
      <c r="D138" s="87" t="str">
        <f aca="false">IF(E138="","",IFERROR(INDEX(CADASTRO_VIVO_3CRE!$B$2:$B$150,MATCH(E138,CADASTRO_VIVO_3CRE!$E$2:$E$150,0)),""))</f>
        <v/>
      </c>
      <c r="E138" s="86"/>
      <c r="F138" s="86"/>
      <c r="G138" s="86"/>
      <c r="H138" s="86"/>
      <c r="I138" s="86"/>
      <c r="J138" s="86"/>
      <c r="K138" s="117" t="str">
        <f aca="false">IF(AND(A138&lt;&gt;"",E138=CONSULTA_UNIDADE!$B$4),MAX($K$1:$K$137)+1,"")</f>
        <v/>
      </c>
      <c r="L138" s="86"/>
      <c r="M138" s="86"/>
      <c r="N138" s="86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customFormat="false" ht="16.5" hidden="false" customHeight="true" outlineLevel="0" collapsed="false">
      <c r="A139" s="86"/>
      <c r="B139" s="88"/>
      <c r="C139" s="86"/>
      <c r="D139" s="87" t="str">
        <f aca="false">IF(E139="","",IFERROR(INDEX(CADASTRO_VIVO_3CRE!$B$2:$B$150,MATCH(E139,CADASTRO_VIVO_3CRE!$E$2:$E$150,0)),""))</f>
        <v/>
      </c>
      <c r="E139" s="86"/>
      <c r="F139" s="86"/>
      <c r="G139" s="86"/>
      <c r="H139" s="86"/>
      <c r="I139" s="86"/>
      <c r="J139" s="86"/>
      <c r="K139" s="117" t="str">
        <f aca="false">IF(AND(A139&lt;&gt;"",E139=CONSULTA_UNIDADE!$B$4),MAX($K$1:$K$138)+1,"")</f>
        <v/>
      </c>
      <c r="L139" s="86"/>
      <c r="M139" s="86"/>
      <c r="N139" s="86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customFormat="false" ht="16.5" hidden="false" customHeight="true" outlineLevel="0" collapsed="false">
      <c r="A140" s="86"/>
      <c r="B140" s="88"/>
      <c r="C140" s="86"/>
      <c r="D140" s="87" t="str">
        <f aca="false">IF(E140="","",IFERROR(INDEX(CADASTRO_VIVO_3CRE!$B$2:$B$150,MATCH(E140,CADASTRO_VIVO_3CRE!$E$2:$E$150,0)),""))</f>
        <v/>
      </c>
      <c r="E140" s="86"/>
      <c r="F140" s="86"/>
      <c r="G140" s="86"/>
      <c r="H140" s="86"/>
      <c r="I140" s="86"/>
      <c r="J140" s="86"/>
      <c r="K140" s="117" t="str">
        <f aca="false">IF(AND(A140&lt;&gt;"",E140=CONSULTA_UNIDADE!$B$4),MAX($K$1:$K$139)+1,"")</f>
        <v/>
      </c>
      <c r="L140" s="86"/>
      <c r="M140" s="86"/>
      <c r="N140" s="86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customFormat="false" ht="16.5" hidden="false" customHeight="true" outlineLevel="0" collapsed="false">
      <c r="A141" s="86"/>
      <c r="B141" s="88"/>
      <c r="C141" s="86"/>
      <c r="D141" s="87" t="str">
        <f aca="false">IF(E141="","",IFERROR(INDEX(CADASTRO_VIVO_3CRE!$B$2:$B$150,MATCH(E141,CADASTRO_VIVO_3CRE!$E$2:$E$150,0)),""))</f>
        <v/>
      </c>
      <c r="E141" s="86"/>
      <c r="F141" s="86"/>
      <c r="G141" s="86"/>
      <c r="H141" s="86"/>
      <c r="I141" s="86"/>
      <c r="J141" s="86"/>
      <c r="K141" s="117" t="str">
        <f aca="false">IF(AND(A141&lt;&gt;"",E141=CONSULTA_UNIDADE!$B$4),MAX($K$1:$K$140)+1,"")</f>
        <v/>
      </c>
      <c r="L141" s="86"/>
      <c r="M141" s="86"/>
      <c r="N141" s="86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customFormat="false" ht="16.5" hidden="false" customHeight="true" outlineLevel="0" collapsed="false">
      <c r="A142" s="86"/>
      <c r="B142" s="88"/>
      <c r="C142" s="86"/>
      <c r="D142" s="87" t="str">
        <f aca="false">IF(E142="","",IFERROR(INDEX(CADASTRO_VIVO_3CRE!$B$2:$B$150,MATCH(E142,CADASTRO_VIVO_3CRE!$E$2:$E$150,0)),""))</f>
        <v/>
      </c>
      <c r="E142" s="86"/>
      <c r="F142" s="86"/>
      <c r="G142" s="86"/>
      <c r="H142" s="86"/>
      <c r="I142" s="86"/>
      <c r="J142" s="86"/>
      <c r="K142" s="117" t="str">
        <f aca="false">IF(AND(A142&lt;&gt;"",E142=CONSULTA_UNIDADE!$B$4),MAX($K$1:$K$141)+1,"")</f>
        <v/>
      </c>
      <c r="L142" s="86"/>
      <c r="M142" s="86"/>
      <c r="N142" s="86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customFormat="false" ht="16.5" hidden="false" customHeight="true" outlineLevel="0" collapsed="false">
      <c r="A143" s="86"/>
      <c r="B143" s="88"/>
      <c r="C143" s="86"/>
      <c r="D143" s="87" t="str">
        <f aca="false">IF(E143="","",IFERROR(INDEX(CADASTRO_VIVO_3CRE!$B$2:$B$150,MATCH(E143,CADASTRO_VIVO_3CRE!$E$2:$E$150,0)),""))</f>
        <v/>
      </c>
      <c r="E143" s="86"/>
      <c r="F143" s="86"/>
      <c r="G143" s="86"/>
      <c r="H143" s="86"/>
      <c r="I143" s="86"/>
      <c r="J143" s="86"/>
      <c r="K143" s="117" t="str">
        <f aca="false">IF(AND(A143&lt;&gt;"",E143=CONSULTA_UNIDADE!$B$4),MAX($K$1:$K$142)+1,"")</f>
        <v/>
      </c>
      <c r="L143" s="86"/>
      <c r="M143" s="86"/>
      <c r="N143" s="86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customFormat="false" ht="16.5" hidden="false" customHeight="true" outlineLevel="0" collapsed="false">
      <c r="A144" s="86"/>
      <c r="B144" s="88"/>
      <c r="C144" s="86"/>
      <c r="D144" s="87" t="str">
        <f aca="false">IF(E144="","",IFERROR(INDEX(CADASTRO_VIVO_3CRE!$B$2:$B$150,MATCH(E144,CADASTRO_VIVO_3CRE!$E$2:$E$150,0)),""))</f>
        <v/>
      </c>
      <c r="E144" s="86"/>
      <c r="F144" s="86"/>
      <c r="G144" s="86"/>
      <c r="H144" s="86"/>
      <c r="I144" s="86"/>
      <c r="J144" s="86"/>
      <c r="K144" s="117" t="str">
        <f aca="false">IF(AND(A144&lt;&gt;"",E144=CONSULTA_UNIDADE!$B$4),MAX($K$1:$K$143)+1,"")</f>
        <v/>
      </c>
      <c r="L144" s="86"/>
      <c r="M144" s="86"/>
      <c r="N144" s="86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customFormat="false" ht="16.5" hidden="false" customHeight="true" outlineLevel="0" collapsed="false">
      <c r="A145" s="86"/>
      <c r="B145" s="88"/>
      <c r="C145" s="86"/>
      <c r="D145" s="87" t="str">
        <f aca="false">IF(E145="","",IFERROR(INDEX(CADASTRO_VIVO_3CRE!$B$2:$B$150,MATCH(E145,CADASTRO_VIVO_3CRE!$E$2:$E$150,0)),""))</f>
        <v/>
      </c>
      <c r="E145" s="86"/>
      <c r="F145" s="86"/>
      <c r="G145" s="86"/>
      <c r="H145" s="86"/>
      <c r="I145" s="86"/>
      <c r="J145" s="86"/>
      <c r="K145" s="117" t="str">
        <f aca="false">IF(AND(A145&lt;&gt;"",E145=CONSULTA_UNIDADE!$B$4),MAX($K$1:$K$144)+1,"")</f>
        <v/>
      </c>
      <c r="L145" s="86"/>
      <c r="M145" s="86"/>
      <c r="N145" s="86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customFormat="false" ht="16.5" hidden="false" customHeight="true" outlineLevel="0" collapsed="false">
      <c r="A146" s="86"/>
      <c r="B146" s="88"/>
      <c r="C146" s="86"/>
      <c r="D146" s="87" t="str">
        <f aca="false">IF(E146="","",IFERROR(INDEX(CADASTRO_VIVO_3CRE!$B$2:$B$150,MATCH(E146,CADASTRO_VIVO_3CRE!$E$2:$E$150,0)),""))</f>
        <v/>
      </c>
      <c r="E146" s="86"/>
      <c r="F146" s="86"/>
      <c r="G146" s="86"/>
      <c r="H146" s="86"/>
      <c r="I146" s="86"/>
      <c r="J146" s="86"/>
      <c r="K146" s="117" t="str">
        <f aca="false">IF(AND(A146&lt;&gt;"",E146=CONSULTA_UNIDADE!$B$4),MAX($K$1:$K$145)+1,"")</f>
        <v/>
      </c>
      <c r="L146" s="86"/>
      <c r="M146" s="86"/>
      <c r="N146" s="86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customFormat="false" ht="16.5" hidden="false" customHeight="true" outlineLevel="0" collapsed="false">
      <c r="A147" s="86"/>
      <c r="B147" s="88"/>
      <c r="C147" s="86"/>
      <c r="D147" s="87" t="str">
        <f aca="false">IF(E147="","",IFERROR(INDEX(CADASTRO_VIVO_3CRE!$B$2:$B$150,MATCH(E147,CADASTRO_VIVO_3CRE!$E$2:$E$150,0)),""))</f>
        <v/>
      </c>
      <c r="E147" s="86"/>
      <c r="F147" s="86"/>
      <c r="G147" s="86"/>
      <c r="H147" s="86"/>
      <c r="I147" s="86"/>
      <c r="J147" s="86"/>
      <c r="K147" s="117" t="str">
        <f aca="false">IF(AND(A147&lt;&gt;"",E147=CONSULTA_UNIDADE!$B$4),MAX($K$1:$K$146)+1,"")</f>
        <v/>
      </c>
      <c r="L147" s="86"/>
      <c r="M147" s="86"/>
      <c r="N147" s="86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customFormat="false" ht="16.5" hidden="false" customHeight="true" outlineLevel="0" collapsed="false">
      <c r="A148" s="86"/>
      <c r="B148" s="88"/>
      <c r="C148" s="86"/>
      <c r="D148" s="87" t="str">
        <f aca="false">IF(E148="","",IFERROR(INDEX(CADASTRO_VIVO_3CRE!$B$2:$B$150,MATCH(E148,CADASTRO_VIVO_3CRE!$E$2:$E$150,0)),""))</f>
        <v/>
      </c>
      <c r="E148" s="86"/>
      <c r="F148" s="86"/>
      <c r="G148" s="86"/>
      <c r="H148" s="86"/>
      <c r="I148" s="86"/>
      <c r="J148" s="86"/>
      <c r="K148" s="117" t="str">
        <f aca="false">IF(AND(A148&lt;&gt;"",E148=CONSULTA_UNIDADE!$B$4),MAX($K$1:$K$147)+1,"")</f>
        <v/>
      </c>
      <c r="L148" s="86"/>
      <c r="M148" s="86"/>
      <c r="N148" s="86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customFormat="false" ht="16.5" hidden="false" customHeight="true" outlineLevel="0" collapsed="false">
      <c r="A149" s="86"/>
      <c r="B149" s="88"/>
      <c r="C149" s="86"/>
      <c r="D149" s="87" t="str">
        <f aca="false">IF(E149="","",IFERROR(INDEX(CADASTRO_VIVO_3CRE!$B$2:$B$150,MATCH(E149,CADASTRO_VIVO_3CRE!$E$2:$E$150,0)),""))</f>
        <v/>
      </c>
      <c r="E149" s="86"/>
      <c r="F149" s="86"/>
      <c r="G149" s="86"/>
      <c r="H149" s="86"/>
      <c r="I149" s="86"/>
      <c r="J149" s="86"/>
      <c r="K149" s="117" t="str">
        <f aca="false">IF(AND(A149&lt;&gt;"",E149=CONSULTA_UNIDADE!$B$4),MAX($K$1:$K$148)+1,"")</f>
        <v/>
      </c>
      <c r="L149" s="86"/>
      <c r="M149" s="86"/>
      <c r="N149" s="86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customFormat="false" ht="16.5" hidden="false" customHeight="true" outlineLevel="0" collapsed="false">
      <c r="A150" s="86"/>
      <c r="B150" s="88"/>
      <c r="C150" s="86"/>
      <c r="D150" s="87" t="str">
        <f aca="false">IF(E150="","",IFERROR(INDEX(CADASTRO_VIVO_3CRE!$B$2:$B$150,MATCH(E150,CADASTRO_VIVO_3CRE!$E$2:$E$150,0)),""))</f>
        <v/>
      </c>
      <c r="E150" s="86"/>
      <c r="F150" s="86"/>
      <c r="G150" s="86"/>
      <c r="H150" s="86"/>
      <c r="I150" s="86"/>
      <c r="J150" s="86"/>
      <c r="K150" s="117" t="str">
        <f aca="false">IF(AND(A150&lt;&gt;"",E150=CONSULTA_UNIDADE!$B$4),MAX($K$1:$K$149)+1,"")</f>
        <v/>
      </c>
      <c r="L150" s="86"/>
      <c r="M150" s="86"/>
      <c r="N150" s="86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customFormat="false" ht="16.5" hidden="false" customHeight="true" outlineLevel="0" collapsed="false">
      <c r="A151" s="86"/>
      <c r="B151" s="88"/>
      <c r="C151" s="86"/>
      <c r="D151" s="87" t="str">
        <f aca="false">IF(E151="","",IFERROR(INDEX(CADASTRO_VIVO_3CRE!$B$2:$B$150,MATCH(E151,CADASTRO_VIVO_3CRE!$E$2:$E$150,0)),""))</f>
        <v/>
      </c>
      <c r="E151" s="86"/>
      <c r="F151" s="86"/>
      <c r="G151" s="86"/>
      <c r="H151" s="86"/>
      <c r="I151" s="86"/>
      <c r="J151" s="86"/>
      <c r="K151" s="117" t="str">
        <f aca="false">IF(AND(A151&lt;&gt;"",E151=CONSULTA_UNIDADE!$B$4),MAX($K$1:$K$150)+1,"")</f>
        <v/>
      </c>
      <c r="L151" s="86"/>
      <c r="M151" s="86"/>
      <c r="N151" s="86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customFormat="false" ht="16.5" hidden="false" customHeight="true" outlineLevel="0" collapsed="false">
      <c r="A152" s="86"/>
      <c r="B152" s="88"/>
      <c r="C152" s="86"/>
      <c r="D152" s="87" t="str">
        <f aca="false">IF(E152="","",IFERROR(INDEX(CADASTRO_VIVO_3CRE!$B$2:$B$150,MATCH(E152,CADASTRO_VIVO_3CRE!$E$2:$E$150,0)),""))</f>
        <v/>
      </c>
      <c r="E152" s="86"/>
      <c r="F152" s="86"/>
      <c r="G152" s="86"/>
      <c r="H152" s="86"/>
      <c r="I152" s="86"/>
      <c r="J152" s="86"/>
      <c r="K152" s="117" t="str">
        <f aca="false">IF(AND(A152&lt;&gt;"",E152=CONSULTA_UNIDADE!$B$4),MAX($K$1:$K$151)+1,"")</f>
        <v/>
      </c>
      <c r="L152" s="86"/>
      <c r="M152" s="86"/>
      <c r="N152" s="86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customFormat="false" ht="16.5" hidden="false" customHeight="true" outlineLevel="0" collapsed="false">
      <c r="A153" s="86"/>
      <c r="B153" s="88"/>
      <c r="C153" s="86"/>
      <c r="D153" s="87" t="str">
        <f aca="false">IF(E153="","",IFERROR(INDEX(CADASTRO_VIVO_3CRE!$B$2:$B$150,MATCH(E153,CADASTRO_VIVO_3CRE!$E$2:$E$150,0)),""))</f>
        <v/>
      </c>
      <c r="E153" s="86"/>
      <c r="F153" s="86"/>
      <c r="G153" s="86"/>
      <c r="H153" s="86"/>
      <c r="I153" s="86"/>
      <c r="J153" s="86"/>
      <c r="K153" s="117" t="str">
        <f aca="false">IF(AND(A153&lt;&gt;"",E153=CONSULTA_UNIDADE!$B$4),MAX($K$1:$K$152)+1,"")</f>
        <v/>
      </c>
      <c r="L153" s="86"/>
      <c r="M153" s="86"/>
      <c r="N153" s="86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customFormat="false" ht="16.5" hidden="false" customHeight="true" outlineLevel="0" collapsed="false">
      <c r="A154" s="86"/>
      <c r="B154" s="88"/>
      <c r="C154" s="86"/>
      <c r="D154" s="87" t="str">
        <f aca="false">IF(E154="","",IFERROR(INDEX(CADASTRO_VIVO_3CRE!$B$2:$B$150,MATCH(E154,CADASTRO_VIVO_3CRE!$E$2:$E$150,0)),""))</f>
        <v/>
      </c>
      <c r="E154" s="86"/>
      <c r="F154" s="86"/>
      <c r="G154" s="86"/>
      <c r="H154" s="86"/>
      <c r="I154" s="86"/>
      <c r="J154" s="86"/>
      <c r="K154" s="117" t="str">
        <f aca="false">IF(AND(A154&lt;&gt;"",E154=CONSULTA_UNIDADE!$B$4),MAX($K$1:$K$153)+1,"")</f>
        <v/>
      </c>
      <c r="L154" s="86"/>
      <c r="M154" s="86"/>
      <c r="N154" s="86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customFormat="false" ht="16.5" hidden="false" customHeight="true" outlineLevel="0" collapsed="false">
      <c r="A155" s="86"/>
      <c r="B155" s="88"/>
      <c r="C155" s="86"/>
      <c r="D155" s="87" t="str">
        <f aca="false">IF(E155="","",IFERROR(INDEX(CADASTRO_VIVO_3CRE!$B$2:$B$150,MATCH(E155,CADASTRO_VIVO_3CRE!$E$2:$E$150,0)),""))</f>
        <v/>
      </c>
      <c r="E155" s="86"/>
      <c r="F155" s="86"/>
      <c r="G155" s="86"/>
      <c r="H155" s="86"/>
      <c r="I155" s="86"/>
      <c r="J155" s="86"/>
      <c r="K155" s="117" t="str">
        <f aca="false">IF(AND(A155&lt;&gt;"",E155=CONSULTA_UNIDADE!$B$4),MAX($K$1:$K$154)+1,"")</f>
        <v/>
      </c>
      <c r="L155" s="86"/>
      <c r="M155" s="86"/>
      <c r="N155" s="86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customFormat="false" ht="16.5" hidden="false" customHeight="true" outlineLevel="0" collapsed="false">
      <c r="A156" s="86"/>
      <c r="B156" s="88"/>
      <c r="C156" s="86"/>
      <c r="D156" s="87" t="str">
        <f aca="false">IF(E156="","",IFERROR(INDEX(CADASTRO_VIVO_3CRE!$B$2:$B$150,MATCH(E156,CADASTRO_VIVO_3CRE!$E$2:$E$150,0)),""))</f>
        <v/>
      </c>
      <c r="E156" s="86"/>
      <c r="F156" s="86"/>
      <c r="G156" s="86"/>
      <c r="H156" s="86"/>
      <c r="I156" s="86"/>
      <c r="J156" s="86"/>
      <c r="K156" s="117" t="str">
        <f aca="false">IF(AND(A156&lt;&gt;"",E156=CONSULTA_UNIDADE!$B$4),MAX($K$1:$K$155)+1,"")</f>
        <v/>
      </c>
      <c r="L156" s="86"/>
      <c r="M156" s="86"/>
      <c r="N156" s="86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customFormat="false" ht="16.5" hidden="false" customHeight="true" outlineLevel="0" collapsed="false">
      <c r="A157" s="86"/>
      <c r="B157" s="88"/>
      <c r="C157" s="86"/>
      <c r="D157" s="87" t="str">
        <f aca="false">IF(E157="","",IFERROR(INDEX(CADASTRO_VIVO_3CRE!$B$2:$B$150,MATCH(E157,CADASTRO_VIVO_3CRE!$E$2:$E$150,0)),""))</f>
        <v/>
      </c>
      <c r="E157" s="86"/>
      <c r="F157" s="86"/>
      <c r="G157" s="86"/>
      <c r="H157" s="86"/>
      <c r="I157" s="86"/>
      <c r="J157" s="86"/>
      <c r="K157" s="117" t="str">
        <f aca="false">IF(AND(A157&lt;&gt;"",E157=CONSULTA_UNIDADE!$B$4),MAX($K$1:$K$156)+1,"")</f>
        <v/>
      </c>
      <c r="L157" s="86"/>
      <c r="M157" s="86"/>
      <c r="N157" s="86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customFormat="false" ht="16.5" hidden="false" customHeight="true" outlineLevel="0" collapsed="false">
      <c r="A158" s="86"/>
      <c r="B158" s="88"/>
      <c r="C158" s="86"/>
      <c r="D158" s="87" t="str">
        <f aca="false">IF(E158="","",IFERROR(INDEX(CADASTRO_VIVO_3CRE!$B$2:$B$150,MATCH(E158,CADASTRO_VIVO_3CRE!$E$2:$E$150,0)),""))</f>
        <v/>
      </c>
      <c r="E158" s="86"/>
      <c r="F158" s="86"/>
      <c r="G158" s="86"/>
      <c r="H158" s="86"/>
      <c r="I158" s="86"/>
      <c r="J158" s="86"/>
      <c r="K158" s="117" t="str">
        <f aca="false">IF(AND(A158&lt;&gt;"",E158=CONSULTA_UNIDADE!$B$4),MAX($K$1:$K$157)+1,"")</f>
        <v/>
      </c>
      <c r="L158" s="86"/>
      <c r="M158" s="86"/>
      <c r="N158" s="86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customFormat="false" ht="16.5" hidden="false" customHeight="true" outlineLevel="0" collapsed="false">
      <c r="A159" s="86"/>
      <c r="B159" s="88"/>
      <c r="C159" s="86"/>
      <c r="D159" s="87" t="str">
        <f aca="false">IF(E159="","",IFERROR(INDEX(CADASTRO_VIVO_3CRE!$B$2:$B$150,MATCH(E159,CADASTRO_VIVO_3CRE!$E$2:$E$150,0)),""))</f>
        <v/>
      </c>
      <c r="E159" s="86"/>
      <c r="F159" s="86"/>
      <c r="G159" s="86"/>
      <c r="H159" s="86"/>
      <c r="I159" s="86"/>
      <c r="J159" s="86"/>
      <c r="K159" s="117" t="str">
        <f aca="false">IF(AND(A159&lt;&gt;"",E159=CONSULTA_UNIDADE!$B$4),MAX($K$1:$K$158)+1,"")</f>
        <v/>
      </c>
      <c r="L159" s="86"/>
      <c r="M159" s="86"/>
      <c r="N159" s="86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customFormat="false" ht="16.5" hidden="false" customHeight="true" outlineLevel="0" collapsed="false">
      <c r="A160" s="86"/>
      <c r="B160" s="88"/>
      <c r="C160" s="86"/>
      <c r="D160" s="87" t="str">
        <f aca="false">IF(E160="","",IFERROR(INDEX(CADASTRO_VIVO_3CRE!$B$2:$B$150,MATCH(E160,CADASTRO_VIVO_3CRE!$E$2:$E$150,0)),""))</f>
        <v/>
      </c>
      <c r="E160" s="86"/>
      <c r="F160" s="86"/>
      <c r="G160" s="86"/>
      <c r="H160" s="86"/>
      <c r="I160" s="86"/>
      <c r="J160" s="86"/>
      <c r="K160" s="117" t="str">
        <f aca="false">IF(AND(A160&lt;&gt;"",E160=CONSULTA_UNIDADE!$B$4),MAX($K$1:$K$159)+1,"")</f>
        <v/>
      </c>
      <c r="L160" s="86"/>
      <c r="M160" s="86"/>
      <c r="N160" s="86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customFormat="false" ht="16.5" hidden="false" customHeight="true" outlineLevel="0" collapsed="false">
      <c r="A161" s="86"/>
      <c r="B161" s="88"/>
      <c r="C161" s="86"/>
      <c r="D161" s="87" t="str">
        <f aca="false">IF(E161="","",IFERROR(INDEX(CADASTRO_VIVO_3CRE!$B$2:$B$150,MATCH(E161,CADASTRO_VIVO_3CRE!$E$2:$E$150,0)),""))</f>
        <v/>
      </c>
      <c r="E161" s="86"/>
      <c r="F161" s="86"/>
      <c r="G161" s="86"/>
      <c r="H161" s="86"/>
      <c r="I161" s="86"/>
      <c r="J161" s="86"/>
      <c r="K161" s="117" t="str">
        <f aca="false">IF(AND(A161&lt;&gt;"",E161=CONSULTA_UNIDADE!$B$4),MAX($K$1:$K$160)+1,"")</f>
        <v/>
      </c>
      <c r="L161" s="86"/>
      <c r="M161" s="86"/>
      <c r="N161" s="86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customFormat="false" ht="16.5" hidden="false" customHeight="true" outlineLevel="0" collapsed="false">
      <c r="A162" s="86"/>
      <c r="B162" s="88"/>
      <c r="C162" s="86"/>
      <c r="D162" s="87" t="str">
        <f aca="false">IF(E162="","",IFERROR(INDEX(CADASTRO_VIVO_3CRE!$B$2:$B$150,MATCH(E162,CADASTRO_VIVO_3CRE!$E$2:$E$150,0)),""))</f>
        <v/>
      </c>
      <c r="E162" s="86"/>
      <c r="F162" s="86"/>
      <c r="G162" s="86"/>
      <c r="H162" s="86"/>
      <c r="I162" s="86"/>
      <c r="J162" s="86"/>
      <c r="K162" s="117" t="str">
        <f aca="false">IF(AND(A162&lt;&gt;"",E162=CONSULTA_UNIDADE!$B$4),MAX($K$1:$K$161)+1,"")</f>
        <v/>
      </c>
      <c r="L162" s="86"/>
      <c r="M162" s="86"/>
      <c r="N162" s="86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customFormat="false" ht="16.5" hidden="false" customHeight="true" outlineLevel="0" collapsed="false">
      <c r="A163" s="86"/>
      <c r="B163" s="88"/>
      <c r="C163" s="86"/>
      <c r="D163" s="87" t="str">
        <f aca="false">IF(E163="","",IFERROR(INDEX(CADASTRO_VIVO_3CRE!$B$2:$B$150,MATCH(E163,CADASTRO_VIVO_3CRE!$E$2:$E$150,0)),""))</f>
        <v/>
      </c>
      <c r="E163" s="86"/>
      <c r="F163" s="86"/>
      <c r="G163" s="86"/>
      <c r="H163" s="86"/>
      <c r="I163" s="86"/>
      <c r="J163" s="86"/>
      <c r="K163" s="117" t="str">
        <f aca="false">IF(AND(A163&lt;&gt;"",E163=CONSULTA_UNIDADE!$B$4),MAX($K$1:$K$162)+1,"")</f>
        <v/>
      </c>
      <c r="L163" s="86"/>
      <c r="M163" s="86"/>
      <c r="N163" s="86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customFormat="false" ht="16.5" hidden="false" customHeight="true" outlineLevel="0" collapsed="false">
      <c r="A164" s="86"/>
      <c r="B164" s="88"/>
      <c r="C164" s="86"/>
      <c r="D164" s="87" t="str">
        <f aca="false">IF(E164="","",IFERROR(INDEX(CADASTRO_VIVO_3CRE!$B$2:$B$150,MATCH(E164,CADASTRO_VIVO_3CRE!$E$2:$E$150,0)),""))</f>
        <v/>
      </c>
      <c r="E164" s="86"/>
      <c r="F164" s="86"/>
      <c r="G164" s="86"/>
      <c r="H164" s="86"/>
      <c r="I164" s="86"/>
      <c r="J164" s="86"/>
      <c r="K164" s="117" t="str">
        <f aca="false">IF(AND(A164&lt;&gt;"",E164=CONSULTA_UNIDADE!$B$4),MAX($K$1:$K$163)+1,"")</f>
        <v/>
      </c>
      <c r="L164" s="86"/>
      <c r="M164" s="86"/>
      <c r="N164" s="86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customFormat="false" ht="16.5" hidden="false" customHeight="true" outlineLevel="0" collapsed="false">
      <c r="A165" s="86"/>
      <c r="B165" s="88"/>
      <c r="C165" s="86"/>
      <c r="D165" s="87" t="str">
        <f aca="false">IF(E165="","",IFERROR(INDEX(CADASTRO_VIVO_3CRE!$B$2:$B$150,MATCH(E165,CADASTRO_VIVO_3CRE!$E$2:$E$150,0)),""))</f>
        <v/>
      </c>
      <c r="E165" s="86"/>
      <c r="F165" s="86"/>
      <c r="G165" s="86"/>
      <c r="H165" s="86"/>
      <c r="I165" s="86"/>
      <c r="J165" s="86"/>
      <c r="K165" s="117" t="str">
        <f aca="false">IF(AND(A165&lt;&gt;"",E165=CONSULTA_UNIDADE!$B$4),MAX($K$1:$K$164)+1,"")</f>
        <v/>
      </c>
      <c r="L165" s="86"/>
      <c r="M165" s="86"/>
      <c r="N165" s="86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customFormat="false" ht="16.5" hidden="false" customHeight="true" outlineLevel="0" collapsed="false">
      <c r="A166" s="86"/>
      <c r="B166" s="88"/>
      <c r="C166" s="86"/>
      <c r="D166" s="87" t="str">
        <f aca="false">IF(E166="","",IFERROR(INDEX(CADASTRO_VIVO_3CRE!$B$2:$B$150,MATCH(E166,CADASTRO_VIVO_3CRE!$E$2:$E$150,0)),""))</f>
        <v/>
      </c>
      <c r="E166" s="86"/>
      <c r="F166" s="86"/>
      <c r="G166" s="86"/>
      <c r="H166" s="86"/>
      <c r="I166" s="86"/>
      <c r="J166" s="86"/>
      <c r="K166" s="117" t="str">
        <f aca="false">IF(AND(A166&lt;&gt;"",E166=CONSULTA_UNIDADE!$B$4),MAX($K$1:$K$165)+1,"")</f>
        <v/>
      </c>
      <c r="L166" s="86"/>
      <c r="M166" s="86"/>
      <c r="N166" s="86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customFormat="false" ht="16.5" hidden="false" customHeight="true" outlineLevel="0" collapsed="false">
      <c r="A167" s="86"/>
      <c r="B167" s="88"/>
      <c r="C167" s="86"/>
      <c r="D167" s="87" t="str">
        <f aca="false">IF(E167="","",IFERROR(INDEX(CADASTRO_VIVO_3CRE!$B$2:$B$150,MATCH(E167,CADASTRO_VIVO_3CRE!$E$2:$E$150,0)),""))</f>
        <v/>
      </c>
      <c r="E167" s="86"/>
      <c r="F167" s="86"/>
      <c r="G167" s="86"/>
      <c r="H167" s="86"/>
      <c r="I167" s="86"/>
      <c r="J167" s="86"/>
      <c r="K167" s="117" t="str">
        <f aca="false">IF(AND(A167&lt;&gt;"",E167=CONSULTA_UNIDADE!$B$4),MAX($K$1:$K$166)+1,"")</f>
        <v/>
      </c>
      <c r="L167" s="86"/>
      <c r="M167" s="86"/>
      <c r="N167" s="86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customFormat="false" ht="16.5" hidden="false" customHeight="true" outlineLevel="0" collapsed="false">
      <c r="A168" s="86"/>
      <c r="B168" s="88"/>
      <c r="C168" s="86"/>
      <c r="D168" s="87" t="str">
        <f aca="false">IF(E168="","",IFERROR(INDEX(CADASTRO_VIVO_3CRE!$B$2:$B$150,MATCH(E168,CADASTRO_VIVO_3CRE!$E$2:$E$150,0)),""))</f>
        <v/>
      </c>
      <c r="E168" s="86"/>
      <c r="F168" s="86"/>
      <c r="G168" s="86"/>
      <c r="H168" s="86"/>
      <c r="I168" s="86"/>
      <c r="J168" s="86"/>
      <c r="K168" s="117" t="str">
        <f aca="false">IF(AND(A168&lt;&gt;"",E168=CONSULTA_UNIDADE!$B$4),MAX($K$1:$K$167)+1,"")</f>
        <v/>
      </c>
      <c r="L168" s="86"/>
      <c r="M168" s="86"/>
      <c r="N168" s="86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customFormat="false" ht="16.5" hidden="false" customHeight="true" outlineLevel="0" collapsed="false">
      <c r="A169" s="86"/>
      <c r="B169" s="88"/>
      <c r="C169" s="86"/>
      <c r="D169" s="87" t="str">
        <f aca="false">IF(E169="","",IFERROR(INDEX(CADASTRO_VIVO_3CRE!$B$2:$B$150,MATCH(E169,CADASTRO_VIVO_3CRE!$E$2:$E$150,0)),""))</f>
        <v/>
      </c>
      <c r="E169" s="86"/>
      <c r="F169" s="86"/>
      <c r="G169" s="86"/>
      <c r="H169" s="86"/>
      <c r="I169" s="86"/>
      <c r="J169" s="86"/>
      <c r="K169" s="117" t="str">
        <f aca="false">IF(AND(A169&lt;&gt;"",E169=CONSULTA_UNIDADE!$B$4),MAX($K$1:$K$168)+1,"")</f>
        <v/>
      </c>
      <c r="L169" s="86"/>
      <c r="M169" s="86"/>
      <c r="N169" s="86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customFormat="false" ht="16.5" hidden="false" customHeight="true" outlineLevel="0" collapsed="false">
      <c r="A170" s="86"/>
      <c r="B170" s="88"/>
      <c r="C170" s="86"/>
      <c r="D170" s="87" t="str">
        <f aca="false">IF(E170="","",IFERROR(INDEX(CADASTRO_VIVO_3CRE!$B$2:$B$150,MATCH(E170,CADASTRO_VIVO_3CRE!$E$2:$E$150,0)),""))</f>
        <v/>
      </c>
      <c r="E170" s="86"/>
      <c r="F170" s="86"/>
      <c r="G170" s="86"/>
      <c r="H170" s="86"/>
      <c r="I170" s="86"/>
      <c r="J170" s="86"/>
      <c r="K170" s="117" t="str">
        <f aca="false">IF(AND(A170&lt;&gt;"",E170=CONSULTA_UNIDADE!$B$4),MAX($K$1:$K$169)+1,"")</f>
        <v/>
      </c>
      <c r="L170" s="86"/>
      <c r="M170" s="86"/>
      <c r="N170" s="86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customFormat="false" ht="16.5" hidden="false" customHeight="true" outlineLevel="0" collapsed="false">
      <c r="A171" s="86"/>
      <c r="B171" s="88"/>
      <c r="C171" s="86"/>
      <c r="D171" s="87" t="str">
        <f aca="false">IF(E171="","",IFERROR(INDEX(CADASTRO_VIVO_3CRE!$B$2:$B$150,MATCH(E171,CADASTRO_VIVO_3CRE!$E$2:$E$150,0)),""))</f>
        <v/>
      </c>
      <c r="E171" s="86"/>
      <c r="F171" s="86"/>
      <c r="G171" s="86"/>
      <c r="H171" s="86"/>
      <c r="I171" s="86"/>
      <c r="J171" s="86"/>
      <c r="K171" s="117" t="str">
        <f aca="false">IF(AND(A171&lt;&gt;"",E171=CONSULTA_UNIDADE!$B$4),MAX($K$1:$K$170)+1,"")</f>
        <v/>
      </c>
      <c r="L171" s="86"/>
      <c r="M171" s="86"/>
      <c r="N171" s="86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customFormat="false" ht="16.5" hidden="false" customHeight="true" outlineLevel="0" collapsed="false">
      <c r="A172" s="86"/>
      <c r="B172" s="88"/>
      <c r="C172" s="86"/>
      <c r="D172" s="87" t="str">
        <f aca="false">IF(E172="","",IFERROR(INDEX(CADASTRO_VIVO_3CRE!$B$2:$B$150,MATCH(E172,CADASTRO_VIVO_3CRE!$E$2:$E$150,0)),""))</f>
        <v/>
      </c>
      <c r="E172" s="86"/>
      <c r="F172" s="86"/>
      <c r="G172" s="86"/>
      <c r="H172" s="86"/>
      <c r="I172" s="86"/>
      <c r="J172" s="86"/>
      <c r="K172" s="117" t="str">
        <f aca="false">IF(AND(A172&lt;&gt;"",E172=CONSULTA_UNIDADE!$B$4),MAX($K$1:$K$171)+1,"")</f>
        <v/>
      </c>
      <c r="L172" s="86"/>
      <c r="M172" s="86"/>
      <c r="N172" s="86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customFormat="false" ht="16.5" hidden="false" customHeight="true" outlineLevel="0" collapsed="false">
      <c r="A173" s="86"/>
      <c r="B173" s="88"/>
      <c r="C173" s="86"/>
      <c r="D173" s="87" t="str">
        <f aca="false">IF(E173="","",IFERROR(INDEX(CADASTRO_VIVO_3CRE!$B$2:$B$150,MATCH(E173,CADASTRO_VIVO_3CRE!$E$2:$E$150,0)),""))</f>
        <v/>
      </c>
      <c r="E173" s="86"/>
      <c r="F173" s="86"/>
      <c r="G173" s="86"/>
      <c r="H173" s="86"/>
      <c r="I173" s="86"/>
      <c r="J173" s="86"/>
      <c r="K173" s="117" t="str">
        <f aca="false">IF(AND(A173&lt;&gt;"",E173=CONSULTA_UNIDADE!$B$4),MAX($K$1:$K$172)+1,"")</f>
        <v/>
      </c>
      <c r="L173" s="86"/>
      <c r="M173" s="86"/>
      <c r="N173" s="86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customFormat="false" ht="16.5" hidden="false" customHeight="true" outlineLevel="0" collapsed="false">
      <c r="A174" s="86"/>
      <c r="B174" s="88"/>
      <c r="C174" s="86"/>
      <c r="D174" s="87" t="str">
        <f aca="false">IF(E174="","",IFERROR(INDEX(CADASTRO_VIVO_3CRE!$B$2:$B$150,MATCH(E174,CADASTRO_VIVO_3CRE!$E$2:$E$150,0)),""))</f>
        <v/>
      </c>
      <c r="E174" s="86"/>
      <c r="F174" s="86"/>
      <c r="G174" s="86"/>
      <c r="H174" s="86"/>
      <c r="I174" s="86"/>
      <c r="J174" s="86"/>
      <c r="K174" s="117" t="str">
        <f aca="false">IF(AND(A174&lt;&gt;"",E174=CONSULTA_UNIDADE!$B$4),MAX($K$1:$K$173)+1,"")</f>
        <v/>
      </c>
      <c r="L174" s="86"/>
      <c r="M174" s="86"/>
      <c r="N174" s="86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customFormat="false" ht="16.5" hidden="false" customHeight="true" outlineLevel="0" collapsed="false">
      <c r="A175" s="86"/>
      <c r="B175" s="88"/>
      <c r="C175" s="86"/>
      <c r="D175" s="87" t="str">
        <f aca="false">IF(E175="","",IFERROR(INDEX(CADASTRO_VIVO_3CRE!$B$2:$B$150,MATCH(E175,CADASTRO_VIVO_3CRE!$E$2:$E$150,0)),""))</f>
        <v/>
      </c>
      <c r="E175" s="86"/>
      <c r="F175" s="86"/>
      <c r="G175" s="86"/>
      <c r="H175" s="86"/>
      <c r="I175" s="86"/>
      <c r="J175" s="86"/>
      <c r="K175" s="117" t="str">
        <f aca="false">IF(AND(A175&lt;&gt;"",E175=CONSULTA_UNIDADE!$B$4),MAX($K$1:$K$174)+1,"")</f>
        <v/>
      </c>
      <c r="L175" s="86"/>
      <c r="M175" s="86"/>
      <c r="N175" s="86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customFormat="false" ht="16.5" hidden="false" customHeight="true" outlineLevel="0" collapsed="false">
      <c r="A176" s="86"/>
      <c r="B176" s="88"/>
      <c r="C176" s="86"/>
      <c r="D176" s="87" t="str">
        <f aca="false">IF(E176="","",IFERROR(INDEX(CADASTRO_VIVO_3CRE!$B$2:$B$150,MATCH(E176,CADASTRO_VIVO_3CRE!$E$2:$E$150,0)),""))</f>
        <v/>
      </c>
      <c r="E176" s="86"/>
      <c r="F176" s="86"/>
      <c r="G176" s="86"/>
      <c r="H176" s="86"/>
      <c r="I176" s="86"/>
      <c r="J176" s="86"/>
      <c r="K176" s="117" t="str">
        <f aca="false">IF(AND(A176&lt;&gt;"",E176=CONSULTA_UNIDADE!$B$4),MAX($K$1:$K$175)+1,"")</f>
        <v/>
      </c>
      <c r="L176" s="86"/>
      <c r="M176" s="86"/>
      <c r="N176" s="86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customFormat="false" ht="16.5" hidden="false" customHeight="true" outlineLevel="0" collapsed="false">
      <c r="A177" s="86"/>
      <c r="B177" s="88"/>
      <c r="C177" s="86"/>
      <c r="D177" s="87" t="str">
        <f aca="false">IF(E177="","",IFERROR(INDEX(CADASTRO_VIVO_3CRE!$B$2:$B$150,MATCH(E177,CADASTRO_VIVO_3CRE!$E$2:$E$150,0)),""))</f>
        <v/>
      </c>
      <c r="E177" s="86"/>
      <c r="F177" s="86"/>
      <c r="G177" s="86"/>
      <c r="H177" s="86"/>
      <c r="I177" s="86"/>
      <c r="J177" s="86"/>
      <c r="K177" s="117" t="str">
        <f aca="false">IF(AND(A177&lt;&gt;"",E177=CONSULTA_UNIDADE!$B$4),MAX($K$1:$K$176)+1,"")</f>
        <v/>
      </c>
      <c r="L177" s="86"/>
      <c r="M177" s="86"/>
      <c r="N177" s="86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customFormat="false" ht="16.5" hidden="false" customHeight="true" outlineLevel="0" collapsed="false">
      <c r="A178" s="86"/>
      <c r="B178" s="88"/>
      <c r="C178" s="86"/>
      <c r="D178" s="87" t="str">
        <f aca="false">IF(E178="","",IFERROR(INDEX(CADASTRO_VIVO_3CRE!$B$2:$B$150,MATCH(E178,CADASTRO_VIVO_3CRE!$E$2:$E$150,0)),""))</f>
        <v/>
      </c>
      <c r="E178" s="86"/>
      <c r="F178" s="86"/>
      <c r="G178" s="86"/>
      <c r="H178" s="86"/>
      <c r="I178" s="86"/>
      <c r="J178" s="86"/>
      <c r="K178" s="117" t="str">
        <f aca="false">IF(AND(A178&lt;&gt;"",E178=CONSULTA_UNIDADE!$B$4),MAX($K$1:$K$177)+1,"")</f>
        <v/>
      </c>
      <c r="L178" s="86"/>
      <c r="M178" s="86"/>
      <c r="N178" s="86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customFormat="false" ht="16.5" hidden="false" customHeight="true" outlineLevel="0" collapsed="false">
      <c r="A179" s="86"/>
      <c r="B179" s="88"/>
      <c r="C179" s="86"/>
      <c r="D179" s="87" t="str">
        <f aca="false">IF(E179="","",IFERROR(INDEX(CADASTRO_VIVO_3CRE!$B$2:$B$150,MATCH(E179,CADASTRO_VIVO_3CRE!$E$2:$E$150,0)),""))</f>
        <v/>
      </c>
      <c r="E179" s="86"/>
      <c r="F179" s="86"/>
      <c r="G179" s="86"/>
      <c r="H179" s="86"/>
      <c r="I179" s="86"/>
      <c r="J179" s="86"/>
      <c r="K179" s="117" t="str">
        <f aca="false">IF(AND(A179&lt;&gt;"",E179=CONSULTA_UNIDADE!$B$4),MAX($K$1:$K$178)+1,"")</f>
        <v/>
      </c>
      <c r="L179" s="86"/>
      <c r="M179" s="86"/>
      <c r="N179" s="86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customFormat="false" ht="16.5" hidden="false" customHeight="true" outlineLevel="0" collapsed="false">
      <c r="A180" s="86"/>
      <c r="B180" s="88"/>
      <c r="C180" s="86"/>
      <c r="D180" s="87" t="str">
        <f aca="false">IF(E180="","",IFERROR(INDEX(CADASTRO_VIVO_3CRE!$B$2:$B$150,MATCH(E180,CADASTRO_VIVO_3CRE!$E$2:$E$150,0)),""))</f>
        <v/>
      </c>
      <c r="E180" s="86"/>
      <c r="F180" s="86"/>
      <c r="G180" s="86"/>
      <c r="H180" s="86"/>
      <c r="I180" s="86"/>
      <c r="J180" s="86"/>
      <c r="K180" s="117" t="str">
        <f aca="false">IF(AND(A180&lt;&gt;"",E180=CONSULTA_UNIDADE!$B$4),MAX($K$1:$K$179)+1,"")</f>
        <v/>
      </c>
      <c r="L180" s="86"/>
      <c r="M180" s="86"/>
      <c r="N180" s="86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customFormat="false" ht="16.5" hidden="false" customHeight="true" outlineLevel="0" collapsed="false">
      <c r="A181" s="86"/>
      <c r="B181" s="88"/>
      <c r="C181" s="86"/>
      <c r="D181" s="87" t="str">
        <f aca="false">IF(E181="","",IFERROR(INDEX(CADASTRO_VIVO_3CRE!$B$2:$B$150,MATCH(E181,CADASTRO_VIVO_3CRE!$E$2:$E$150,0)),""))</f>
        <v/>
      </c>
      <c r="E181" s="86"/>
      <c r="F181" s="86"/>
      <c r="G181" s="86"/>
      <c r="H181" s="86"/>
      <c r="I181" s="86"/>
      <c r="J181" s="86"/>
      <c r="K181" s="117" t="str">
        <f aca="false">IF(AND(A181&lt;&gt;"",E181=CONSULTA_UNIDADE!$B$4),MAX($K$1:$K$180)+1,"")</f>
        <v/>
      </c>
      <c r="L181" s="86"/>
      <c r="M181" s="86"/>
      <c r="N181" s="86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customFormat="false" ht="16.5" hidden="false" customHeight="true" outlineLevel="0" collapsed="false">
      <c r="A182" s="86"/>
      <c r="B182" s="88"/>
      <c r="C182" s="86"/>
      <c r="D182" s="87" t="str">
        <f aca="false">IF(E182="","",IFERROR(INDEX(CADASTRO_VIVO_3CRE!$B$2:$B$150,MATCH(E182,CADASTRO_VIVO_3CRE!$E$2:$E$150,0)),""))</f>
        <v/>
      </c>
      <c r="E182" s="86"/>
      <c r="F182" s="86"/>
      <c r="G182" s="86"/>
      <c r="H182" s="86"/>
      <c r="I182" s="86"/>
      <c r="J182" s="86"/>
      <c r="K182" s="117" t="str">
        <f aca="false">IF(AND(A182&lt;&gt;"",E182=CONSULTA_UNIDADE!$B$4),MAX($K$1:$K$181)+1,"")</f>
        <v/>
      </c>
      <c r="L182" s="86"/>
      <c r="M182" s="86"/>
      <c r="N182" s="86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customFormat="false" ht="16.5" hidden="false" customHeight="true" outlineLevel="0" collapsed="false">
      <c r="A183" s="86"/>
      <c r="B183" s="88"/>
      <c r="C183" s="86"/>
      <c r="D183" s="87" t="str">
        <f aca="false">IF(E183="","",IFERROR(INDEX(CADASTRO_VIVO_3CRE!$B$2:$B$150,MATCH(E183,CADASTRO_VIVO_3CRE!$E$2:$E$150,0)),""))</f>
        <v/>
      </c>
      <c r="E183" s="86"/>
      <c r="F183" s="86"/>
      <c r="G183" s="86"/>
      <c r="H183" s="86"/>
      <c r="I183" s="86"/>
      <c r="J183" s="86"/>
      <c r="K183" s="117" t="str">
        <f aca="false">IF(AND(A183&lt;&gt;"",E183=CONSULTA_UNIDADE!$B$4),MAX($K$1:$K$182)+1,"")</f>
        <v/>
      </c>
      <c r="L183" s="86"/>
      <c r="M183" s="86"/>
      <c r="N183" s="86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customFormat="false" ht="16.5" hidden="false" customHeight="true" outlineLevel="0" collapsed="false">
      <c r="A184" s="86"/>
      <c r="B184" s="88"/>
      <c r="C184" s="86"/>
      <c r="D184" s="87" t="str">
        <f aca="false">IF(E184="","",IFERROR(INDEX(CADASTRO_VIVO_3CRE!$B$2:$B$150,MATCH(E184,CADASTRO_VIVO_3CRE!$E$2:$E$150,0)),""))</f>
        <v/>
      </c>
      <c r="E184" s="86"/>
      <c r="F184" s="86"/>
      <c r="G184" s="86"/>
      <c r="H184" s="86"/>
      <c r="I184" s="86"/>
      <c r="J184" s="86"/>
      <c r="K184" s="117" t="str">
        <f aca="false">IF(AND(A184&lt;&gt;"",E184=CONSULTA_UNIDADE!$B$4),MAX($K$1:$K$183)+1,"")</f>
        <v/>
      </c>
      <c r="L184" s="86"/>
      <c r="M184" s="86"/>
      <c r="N184" s="86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customFormat="false" ht="16.5" hidden="false" customHeight="true" outlineLevel="0" collapsed="false">
      <c r="A185" s="86"/>
      <c r="B185" s="88"/>
      <c r="C185" s="86"/>
      <c r="D185" s="87" t="str">
        <f aca="false">IF(E185="","",IFERROR(INDEX(CADASTRO_VIVO_3CRE!$B$2:$B$150,MATCH(E185,CADASTRO_VIVO_3CRE!$E$2:$E$150,0)),""))</f>
        <v/>
      </c>
      <c r="E185" s="86"/>
      <c r="F185" s="86"/>
      <c r="G185" s="86"/>
      <c r="H185" s="86"/>
      <c r="I185" s="86"/>
      <c r="J185" s="86"/>
      <c r="K185" s="117" t="str">
        <f aca="false">IF(AND(A185&lt;&gt;"",E185=CONSULTA_UNIDADE!$B$4),MAX($K$1:$K$184)+1,"")</f>
        <v/>
      </c>
      <c r="L185" s="86"/>
      <c r="M185" s="86"/>
      <c r="N185" s="86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customFormat="false" ht="16.5" hidden="false" customHeight="true" outlineLevel="0" collapsed="false">
      <c r="A186" s="86"/>
      <c r="B186" s="88"/>
      <c r="C186" s="86"/>
      <c r="D186" s="87" t="str">
        <f aca="false">IF(E186="","",IFERROR(INDEX(CADASTRO_VIVO_3CRE!$B$2:$B$150,MATCH(E186,CADASTRO_VIVO_3CRE!$E$2:$E$150,0)),""))</f>
        <v/>
      </c>
      <c r="E186" s="86"/>
      <c r="F186" s="86"/>
      <c r="G186" s="86"/>
      <c r="H186" s="86"/>
      <c r="I186" s="86"/>
      <c r="J186" s="86"/>
      <c r="K186" s="117" t="str">
        <f aca="false">IF(AND(A186&lt;&gt;"",E186=CONSULTA_UNIDADE!$B$4),MAX($K$1:$K$185)+1,"")</f>
        <v/>
      </c>
      <c r="L186" s="86"/>
      <c r="M186" s="86"/>
      <c r="N186" s="86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customFormat="false" ht="16.5" hidden="false" customHeight="true" outlineLevel="0" collapsed="false">
      <c r="A187" s="86"/>
      <c r="B187" s="88"/>
      <c r="C187" s="86"/>
      <c r="D187" s="87" t="str">
        <f aca="false">IF(E187="","",IFERROR(INDEX(CADASTRO_VIVO_3CRE!$B$2:$B$150,MATCH(E187,CADASTRO_VIVO_3CRE!$E$2:$E$150,0)),""))</f>
        <v/>
      </c>
      <c r="E187" s="86"/>
      <c r="F187" s="86"/>
      <c r="G187" s="86"/>
      <c r="H187" s="86"/>
      <c r="I187" s="86"/>
      <c r="J187" s="86"/>
      <c r="K187" s="117" t="str">
        <f aca="false">IF(AND(A187&lt;&gt;"",E187=CONSULTA_UNIDADE!$B$4),MAX($K$1:$K$186)+1,"")</f>
        <v/>
      </c>
      <c r="L187" s="86"/>
      <c r="M187" s="86"/>
      <c r="N187" s="86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customFormat="false" ht="16.5" hidden="false" customHeight="true" outlineLevel="0" collapsed="false">
      <c r="A188" s="86"/>
      <c r="B188" s="88"/>
      <c r="C188" s="86"/>
      <c r="D188" s="87" t="str">
        <f aca="false">IF(E188="","",IFERROR(INDEX(CADASTRO_VIVO_3CRE!$B$2:$B$150,MATCH(E188,CADASTRO_VIVO_3CRE!$E$2:$E$150,0)),""))</f>
        <v/>
      </c>
      <c r="E188" s="86"/>
      <c r="F188" s="86"/>
      <c r="G188" s="86"/>
      <c r="H188" s="86"/>
      <c r="I188" s="86"/>
      <c r="J188" s="86"/>
      <c r="K188" s="117" t="str">
        <f aca="false">IF(AND(A188&lt;&gt;"",E188=CONSULTA_UNIDADE!$B$4),MAX($K$1:$K$187)+1,"")</f>
        <v/>
      </c>
      <c r="L188" s="86"/>
      <c r="M188" s="86"/>
      <c r="N188" s="86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customFormat="false" ht="16.5" hidden="false" customHeight="true" outlineLevel="0" collapsed="false">
      <c r="A189" s="86"/>
      <c r="B189" s="88"/>
      <c r="C189" s="86"/>
      <c r="D189" s="87" t="str">
        <f aca="false">IF(E189="","",IFERROR(INDEX(CADASTRO_VIVO_3CRE!$B$2:$B$150,MATCH(E189,CADASTRO_VIVO_3CRE!$E$2:$E$150,0)),""))</f>
        <v/>
      </c>
      <c r="E189" s="86"/>
      <c r="F189" s="86"/>
      <c r="G189" s="86"/>
      <c r="H189" s="86"/>
      <c r="I189" s="86"/>
      <c r="J189" s="86"/>
      <c r="K189" s="117" t="str">
        <f aca="false">IF(AND(A189&lt;&gt;"",E189=CONSULTA_UNIDADE!$B$4),MAX($K$1:$K$188)+1,"")</f>
        <v/>
      </c>
      <c r="L189" s="86"/>
      <c r="M189" s="86"/>
      <c r="N189" s="86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customFormat="false" ht="16.5" hidden="false" customHeight="true" outlineLevel="0" collapsed="false">
      <c r="A190" s="86"/>
      <c r="B190" s="88"/>
      <c r="C190" s="86"/>
      <c r="D190" s="87" t="str">
        <f aca="false">IF(E190="","",IFERROR(INDEX(CADASTRO_VIVO_3CRE!$B$2:$B$150,MATCH(E190,CADASTRO_VIVO_3CRE!$E$2:$E$150,0)),""))</f>
        <v/>
      </c>
      <c r="E190" s="86"/>
      <c r="F190" s="86"/>
      <c r="G190" s="86"/>
      <c r="H190" s="86"/>
      <c r="I190" s="86"/>
      <c r="J190" s="86"/>
      <c r="K190" s="117" t="str">
        <f aca="false">IF(AND(A190&lt;&gt;"",E190=CONSULTA_UNIDADE!$B$4),MAX($K$1:$K$189)+1,"")</f>
        <v/>
      </c>
      <c r="L190" s="86"/>
      <c r="M190" s="86"/>
      <c r="N190" s="86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customFormat="false" ht="16.5" hidden="false" customHeight="true" outlineLevel="0" collapsed="false">
      <c r="A191" s="86"/>
      <c r="B191" s="88"/>
      <c r="C191" s="86"/>
      <c r="D191" s="87" t="str">
        <f aca="false">IF(E191="","",IFERROR(INDEX(CADASTRO_VIVO_3CRE!$B$2:$B$150,MATCH(E191,CADASTRO_VIVO_3CRE!$E$2:$E$150,0)),""))</f>
        <v/>
      </c>
      <c r="E191" s="86"/>
      <c r="F191" s="86"/>
      <c r="G191" s="86"/>
      <c r="H191" s="86"/>
      <c r="I191" s="86"/>
      <c r="J191" s="86"/>
      <c r="K191" s="117" t="str">
        <f aca="false">IF(AND(A191&lt;&gt;"",E191=CONSULTA_UNIDADE!$B$4),MAX($K$1:$K$190)+1,"")</f>
        <v/>
      </c>
      <c r="L191" s="86"/>
      <c r="M191" s="86"/>
      <c r="N191" s="86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customFormat="false" ht="16.5" hidden="false" customHeight="true" outlineLevel="0" collapsed="false">
      <c r="A192" s="86"/>
      <c r="B192" s="88"/>
      <c r="C192" s="86"/>
      <c r="D192" s="87" t="str">
        <f aca="false">IF(E192="","",IFERROR(INDEX(CADASTRO_VIVO_3CRE!$B$2:$B$150,MATCH(E192,CADASTRO_VIVO_3CRE!$E$2:$E$150,0)),""))</f>
        <v/>
      </c>
      <c r="E192" s="86"/>
      <c r="F192" s="86"/>
      <c r="G192" s="86"/>
      <c r="H192" s="86"/>
      <c r="I192" s="86"/>
      <c r="J192" s="86"/>
      <c r="K192" s="117" t="str">
        <f aca="false">IF(AND(A192&lt;&gt;"",E192=CONSULTA_UNIDADE!$B$4),MAX($K$1:$K$191)+1,"")</f>
        <v/>
      </c>
      <c r="L192" s="86"/>
      <c r="M192" s="86"/>
      <c r="N192" s="86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customFormat="false" ht="16.5" hidden="false" customHeight="true" outlineLevel="0" collapsed="false">
      <c r="A193" s="86"/>
      <c r="B193" s="88"/>
      <c r="C193" s="86"/>
      <c r="D193" s="87" t="str">
        <f aca="false">IF(E193="","",IFERROR(INDEX(CADASTRO_VIVO_3CRE!$B$2:$B$150,MATCH(E193,CADASTRO_VIVO_3CRE!$E$2:$E$150,0)),""))</f>
        <v/>
      </c>
      <c r="E193" s="86"/>
      <c r="F193" s="86"/>
      <c r="G193" s="86"/>
      <c r="H193" s="86"/>
      <c r="I193" s="86"/>
      <c r="J193" s="86"/>
      <c r="K193" s="117" t="str">
        <f aca="false">IF(AND(A193&lt;&gt;"",E193=CONSULTA_UNIDADE!$B$4),MAX($K$1:$K$192)+1,"")</f>
        <v/>
      </c>
      <c r="L193" s="86"/>
      <c r="M193" s="86"/>
      <c r="N193" s="86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customFormat="false" ht="16.5" hidden="false" customHeight="true" outlineLevel="0" collapsed="false">
      <c r="A194" s="86"/>
      <c r="B194" s="88"/>
      <c r="C194" s="86"/>
      <c r="D194" s="87" t="str">
        <f aca="false">IF(E194="","",IFERROR(INDEX(CADASTRO_VIVO_3CRE!$B$2:$B$150,MATCH(E194,CADASTRO_VIVO_3CRE!$E$2:$E$150,0)),""))</f>
        <v/>
      </c>
      <c r="E194" s="86"/>
      <c r="F194" s="86"/>
      <c r="G194" s="86"/>
      <c r="H194" s="86"/>
      <c r="I194" s="86"/>
      <c r="J194" s="86"/>
      <c r="K194" s="117" t="str">
        <f aca="false">IF(AND(A194&lt;&gt;"",E194=CONSULTA_UNIDADE!$B$4),MAX($K$1:$K$193)+1,"")</f>
        <v/>
      </c>
      <c r="L194" s="86"/>
      <c r="M194" s="86"/>
      <c r="N194" s="86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customFormat="false" ht="16.5" hidden="false" customHeight="true" outlineLevel="0" collapsed="false">
      <c r="A195" s="86"/>
      <c r="B195" s="88"/>
      <c r="C195" s="86"/>
      <c r="D195" s="87" t="str">
        <f aca="false">IF(E195="","",IFERROR(INDEX(CADASTRO_VIVO_3CRE!$B$2:$B$150,MATCH(E195,CADASTRO_VIVO_3CRE!$E$2:$E$150,0)),""))</f>
        <v/>
      </c>
      <c r="E195" s="86"/>
      <c r="F195" s="86"/>
      <c r="G195" s="86"/>
      <c r="H195" s="86"/>
      <c r="I195" s="86"/>
      <c r="J195" s="86"/>
      <c r="K195" s="117" t="str">
        <f aca="false">IF(AND(A195&lt;&gt;"",E195=CONSULTA_UNIDADE!$B$4),MAX($K$1:$K$194)+1,"")</f>
        <v/>
      </c>
      <c r="L195" s="86"/>
      <c r="M195" s="86"/>
      <c r="N195" s="86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customFormat="false" ht="16.5" hidden="false" customHeight="true" outlineLevel="0" collapsed="false">
      <c r="A196" s="86"/>
      <c r="B196" s="88"/>
      <c r="C196" s="86"/>
      <c r="D196" s="87" t="str">
        <f aca="false">IF(E196="","",IFERROR(INDEX(CADASTRO_VIVO_3CRE!$B$2:$B$150,MATCH(E196,CADASTRO_VIVO_3CRE!$E$2:$E$150,0)),""))</f>
        <v/>
      </c>
      <c r="E196" s="86"/>
      <c r="F196" s="86"/>
      <c r="G196" s="86"/>
      <c r="H196" s="86"/>
      <c r="I196" s="86"/>
      <c r="J196" s="86"/>
      <c r="K196" s="117" t="str">
        <f aca="false">IF(AND(A196&lt;&gt;"",E196=CONSULTA_UNIDADE!$B$4),MAX($K$1:$K$195)+1,"")</f>
        <v/>
      </c>
      <c r="L196" s="86"/>
      <c r="M196" s="86"/>
      <c r="N196" s="86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customFormat="false" ht="16.5" hidden="false" customHeight="true" outlineLevel="0" collapsed="false">
      <c r="A197" s="86"/>
      <c r="B197" s="88"/>
      <c r="C197" s="86"/>
      <c r="D197" s="87" t="str">
        <f aca="false">IF(E197="","",IFERROR(INDEX(CADASTRO_VIVO_3CRE!$B$2:$B$150,MATCH(E197,CADASTRO_VIVO_3CRE!$E$2:$E$150,0)),""))</f>
        <v/>
      </c>
      <c r="E197" s="86"/>
      <c r="F197" s="86"/>
      <c r="G197" s="86"/>
      <c r="H197" s="86"/>
      <c r="I197" s="86"/>
      <c r="J197" s="86"/>
      <c r="K197" s="117" t="str">
        <f aca="false">IF(AND(A197&lt;&gt;"",E197=CONSULTA_UNIDADE!$B$4),MAX($K$1:$K$196)+1,"")</f>
        <v/>
      </c>
      <c r="L197" s="86"/>
      <c r="M197" s="86"/>
      <c r="N197" s="86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customFormat="false" ht="16.5" hidden="false" customHeight="true" outlineLevel="0" collapsed="false">
      <c r="A198" s="86"/>
      <c r="B198" s="88"/>
      <c r="C198" s="86"/>
      <c r="D198" s="87" t="str">
        <f aca="false">IF(E198="","",IFERROR(INDEX(CADASTRO_VIVO_3CRE!$B$2:$B$150,MATCH(E198,CADASTRO_VIVO_3CRE!$E$2:$E$150,0)),""))</f>
        <v/>
      </c>
      <c r="E198" s="86"/>
      <c r="F198" s="86"/>
      <c r="G198" s="86"/>
      <c r="H198" s="86"/>
      <c r="I198" s="86"/>
      <c r="J198" s="86"/>
      <c r="K198" s="117" t="str">
        <f aca="false">IF(AND(A198&lt;&gt;"",E198=CONSULTA_UNIDADE!$B$4),MAX($K$1:$K$197)+1,"")</f>
        <v/>
      </c>
      <c r="L198" s="86"/>
      <c r="M198" s="86"/>
      <c r="N198" s="86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customFormat="false" ht="16.5" hidden="false" customHeight="true" outlineLevel="0" collapsed="false">
      <c r="A199" s="86"/>
      <c r="B199" s="88"/>
      <c r="C199" s="86"/>
      <c r="D199" s="87" t="str">
        <f aca="false">IF(E199="","",IFERROR(INDEX(CADASTRO_VIVO_3CRE!$B$2:$B$150,MATCH(E199,CADASTRO_VIVO_3CRE!$E$2:$E$150,0)),""))</f>
        <v/>
      </c>
      <c r="E199" s="86"/>
      <c r="F199" s="86"/>
      <c r="G199" s="86"/>
      <c r="H199" s="86"/>
      <c r="I199" s="86"/>
      <c r="J199" s="86"/>
      <c r="K199" s="117" t="str">
        <f aca="false">IF(AND(A199&lt;&gt;"",E199=CONSULTA_UNIDADE!$B$4),MAX($K$1:$K$198)+1,"")</f>
        <v/>
      </c>
      <c r="L199" s="86"/>
      <c r="M199" s="86"/>
      <c r="N199" s="86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customFormat="false" ht="16.5" hidden="false" customHeight="true" outlineLevel="0" collapsed="false">
      <c r="A200" s="86"/>
      <c r="B200" s="88"/>
      <c r="C200" s="86"/>
      <c r="D200" s="87" t="str">
        <f aca="false">IF(E200="","",IFERROR(INDEX(CADASTRO_VIVO_3CRE!$B$2:$B$150,MATCH(E200,CADASTRO_VIVO_3CRE!$E$2:$E$150,0)),""))</f>
        <v/>
      </c>
      <c r="E200" s="86"/>
      <c r="F200" s="86"/>
      <c r="G200" s="86"/>
      <c r="H200" s="86"/>
      <c r="I200" s="86"/>
      <c r="J200" s="86"/>
      <c r="K200" s="117" t="str">
        <f aca="false">IF(AND(A200&lt;&gt;"",E200=CONSULTA_UNIDADE!$B$4),MAX($K$1:$K$199)+1,"")</f>
        <v/>
      </c>
      <c r="L200" s="86"/>
      <c r="M200" s="86"/>
      <c r="N200" s="86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customFormat="false" ht="16.5" hidden="false" customHeight="true" outlineLevel="0" collapsed="false">
      <c r="A201" s="86"/>
      <c r="B201" s="88"/>
      <c r="C201" s="86"/>
      <c r="D201" s="87" t="str">
        <f aca="false">IF(E201="","",IFERROR(INDEX(CADASTRO_VIVO_3CRE!$B$2:$B$150,MATCH(E201,CADASTRO_VIVO_3CRE!$E$2:$E$150,0)),""))</f>
        <v/>
      </c>
      <c r="E201" s="86"/>
      <c r="F201" s="86"/>
      <c r="G201" s="86"/>
      <c r="H201" s="86"/>
      <c r="I201" s="86"/>
      <c r="J201" s="86"/>
      <c r="K201" s="117" t="str">
        <f aca="false">IF(AND(A201&lt;&gt;"",E201=CONSULTA_UNIDADE!$B$4),MAX($K$1:$K$200)+1,"")</f>
        <v/>
      </c>
      <c r="L201" s="86"/>
      <c r="M201" s="86"/>
      <c r="N201" s="86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customFormat="false" ht="16.5" hidden="false" customHeight="true" outlineLevel="0" collapsed="false">
      <c r="A202" s="86"/>
      <c r="B202" s="88"/>
      <c r="C202" s="86"/>
      <c r="D202" s="87" t="str">
        <f aca="false">IF(E202="","",IFERROR(INDEX(CADASTRO_VIVO_3CRE!$B$2:$B$150,MATCH(E202,CADASTRO_VIVO_3CRE!$E$2:$E$150,0)),""))</f>
        <v/>
      </c>
      <c r="E202" s="86"/>
      <c r="F202" s="86"/>
      <c r="G202" s="86"/>
      <c r="H202" s="86"/>
      <c r="I202" s="86"/>
      <c r="J202" s="86"/>
      <c r="K202" s="117" t="str">
        <f aca="false">IF(AND(A202&lt;&gt;"",E202=CONSULTA_UNIDADE!$B$4),MAX($K$1:$K$201)+1,"")</f>
        <v/>
      </c>
      <c r="L202" s="86"/>
      <c r="M202" s="86"/>
      <c r="N202" s="86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customFormat="false" ht="16.5" hidden="false" customHeight="true" outlineLevel="0" collapsed="false">
      <c r="A203" s="86"/>
      <c r="B203" s="88"/>
      <c r="C203" s="86"/>
      <c r="D203" s="87" t="str">
        <f aca="false">IF(E203="","",IFERROR(INDEX(CADASTRO_VIVO_3CRE!$B$2:$B$150,MATCH(E203,CADASTRO_VIVO_3CRE!$E$2:$E$150,0)),""))</f>
        <v/>
      </c>
      <c r="E203" s="86"/>
      <c r="F203" s="86"/>
      <c r="G203" s="86"/>
      <c r="H203" s="86"/>
      <c r="I203" s="86"/>
      <c r="J203" s="86"/>
      <c r="K203" s="117" t="str">
        <f aca="false">IF(AND(A203&lt;&gt;"",E203=CONSULTA_UNIDADE!$B$4),MAX($K$1:$K$202)+1,"")</f>
        <v/>
      </c>
      <c r="L203" s="86"/>
      <c r="M203" s="86"/>
      <c r="N203" s="86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customFormat="false" ht="16.5" hidden="false" customHeight="true" outlineLevel="0" collapsed="false">
      <c r="A204" s="86"/>
      <c r="B204" s="88"/>
      <c r="C204" s="86"/>
      <c r="D204" s="87" t="str">
        <f aca="false">IF(E204="","",IFERROR(INDEX(CADASTRO_VIVO_3CRE!$B$2:$B$150,MATCH(E204,CADASTRO_VIVO_3CRE!$E$2:$E$150,0)),""))</f>
        <v/>
      </c>
      <c r="E204" s="86"/>
      <c r="F204" s="86"/>
      <c r="G204" s="86"/>
      <c r="H204" s="86"/>
      <c r="I204" s="86"/>
      <c r="J204" s="86"/>
      <c r="K204" s="117" t="str">
        <f aca="false">IF(AND(A204&lt;&gt;"",E204=CONSULTA_UNIDADE!$B$4),MAX($K$1:$K$203)+1,"")</f>
        <v/>
      </c>
      <c r="L204" s="86"/>
      <c r="M204" s="86"/>
      <c r="N204" s="86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customFormat="false" ht="16.5" hidden="false" customHeight="true" outlineLevel="0" collapsed="false">
      <c r="A205" s="86"/>
      <c r="B205" s="88"/>
      <c r="C205" s="86"/>
      <c r="D205" s="87" t="str">
        <f aca="false">IF(E205="","",IFERROR(INDEX(CADASTRO_VIVO_3CRE!$B$2:$B$150,MATCH(E205,CADASTRO_VIVO_3CRE!$E$2:$E$150,0)),""))</f>
        <v/>
      </c>
      <c r="E205" s="86"/>
      <c r="F205" s="86"/>
      <c r="G205" s="86"/>
      <c r="H205" s="86"/>
      <c r="I205" s="86"/>
      <c r="J205" s="86"/>
      <c r="K205" s="117" t="str">
        <f aca="false">IF(AND(A205&lt;&gt;"",E205=CONSULTA_UNIDADE!$B$4),MAX($K$1:$K$204)+1,"")</f>
        <v/>
      </c>
      <c r="L205" s="86"/>
      <c r="M205" s="86"/>
      <c r="N205" s="86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customFormat="false" ht="16.5" hidden="false" customHeight="true" outlineLevel="0" collapsed="false">
      <c r="A206" s="86"/>
      <c r="B206" s="88"/>
      <c r="C206" s="86"/>
      <c r="D206" s="87" t="str">
        <f aca="false">IF(E206="","",IFERROR(INDEX(CADASTRO_VIVO_3CRE!$B$2:$B$150,MATCH(E206,CADASTRO_VIVO_3CRE!$E$2:$E$150,0)),""))</f>
        <v/>
      </c>
      <c r="E206" s="86"/>
      <c r="F206" s="86"/>
      <c r="G206" s="86"/>
      <c r="H206" s="86"/>
      <c r="I206" s="86"/>
      <c r="J206" s="86"/>
      <c r="K206" s="117" t="str">
        <f aca="false">IF(AND(A206&lt;&gt;"",E206=CONSULTA_UNIDADE!$B$4),MAX($K$1:$K$205)+1,"")</f>
        <v/>
      </c>
      <c r="L206" s="86"/>
      <c r="M206" s="86"/>
      <c r="N206" s="86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customFormat="false" ht="16.5" hidden="false" customHeight="true" outlineLevel="0" collapsed="false">
      <c r="A207" s="86"/>
      <c r="B207" s="88"/>
      <c r="C207" s="86"/>
      <c r="D207" s="87" t="str">
        <f aca="false">IF(E207="","",IFERROR(INDEX(CADASTRO_VIVO_3CRE!$B$2:$B$150,MATCH(E207,CADASTRO_VIVO_3CRE!$E$2:$E$150,0)),""))</f>
        <v/>
      </c>
      <c r="E207" s="86"/>
      <c r="F207" s="86"/>
      <c r="G207" s="86"/>
      <c r="H207" s="86"/>
      <c r="I207" s="86"/>
      <c r="J207" s="86"/>
      <c r="K207" s="117" t="str">
        <f aca="false">IF(AND(A207&lt;&gt;"",E207=CONSULTA_UNIDADE!$B$4),MAX($K$1:$K$206)+1,"")</f>
        <v/>
      </c>
      <c r="L207" s="86"/>
      <c r="M207" s="86"/>
      <c r="N207" s="86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customFormat="false" ht="16.5" hidden="false" customHeight="true" outlineLevel="0" collapsed="false">
      <c r="A208" s="86"/>
      <c r="B208" s="88"/>
      <c r="C208" s="86"/>
      <c r="D208" s="87" t="str">
        <f aca="false">IF(E208="","",IFERROR(INDEX(CADASTRO_VIVO_3CRE!$B$2:$B$150,MATCH(E208,CADASTRO_VIVO_3CRE!$E$2:$E$150,0)),""))</f>
        <v/>
      </c>
      <c r="E208" s="86"/>
      <c r="F208" s="86"/>
      <c r="G208" s="86"/>
      <c r="H208" s="86"/>
      <c r="I208" s="86"/>
      <c r="J208" s="86"/>
      <c r="K208" s="117" t="str">
        <f aca="false">IF(AND(A208&lt;&gt;"",E208=CONSULTA_UNIDADE!$B$4),MAX($K$1:$K$207)+1,"")</f>
        <v/>
      </c>
      <c r="L208" s="86"/>
      <c r="M208" s="86"/>
      <c r="N208" s="86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customFormat="false" ht="16.5" hidden="false" customHeight="true" outlineLevel="0" collapsed="false">
      <c r="A209" s="86"/>
      <c r="B209" s="88"/>
      <c r="C209" s="86"/>
      <c r="D209" s="87" t="str">
        <f aca="false">IF(E209="","",IFERROR(INDEX(CADASTRO_VIVO_3CRE!$B$2:$B$150,MATCH(E209,CADASTRO_VIVO_3CRE!$E$2:$E$150,0)),""))</f>
        <v/>
      </c>
      <c r="E209" s="86"/>
      <c r="F209" s="86"/>
      <c r="G209" s="86"/>
      <c r="H209" s="86"/>
      <c r="I209" s="86"/>
      <c r="J209" s="86"/>
      <c r="K209" s="117" t="str">
        <f aca="false">IF(AND(A209&lt;&gt;"",E209=CONSULTA_UNIDADE!$B$4),MAX($K$1:$K$208)+1,"")</f>
        <v/>
      </c>
      <c r="L209" s="86"/>
      <c r="M209" s="86"/>
      <c r="N209" s="86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customFormat="false" ht="16.5" hidden="false" customHeight="true" outlineLevel="0" collapsed="false">
      <c r="A210" s="86"/>
      <c r="B210" s="88"/>
      <c r="C210" s="86"/>
      <c r="D210" s="87" t="str">
        <f aca="false">IF(E210="","",IFERROR(INDEX(CADASTRO_VIVO_3CRE!$B$2:$B$150,MATCH(E210,CADASTRO_VIVO_3CRE!$E$2:$E$150,0)),""))</f>
        <v/>
      </c>
      <c r="E210" s="86"/>
      <c r="F210" s="86"/>
      <c r="G210" s="86"/>
      <c r="H210" s="86"/>
      <c r="I210" s="86"/>
      <c r="J210" s="86"/>
      <c r="K210" s="117" t="str">
        <f aca="false">IF(AND(A210&lt;&gt;"",E210=CONSULTA_UNIDADE!$B$4),MAX($K$1:$K$209)+1,"")</f>
        <v/>
      </c>
      <c r="L210" s="86"/>
      <c r="M210" s="86"/>
      <c r="N210" s="86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customFormat="false" ht="16.5" hidden="false" customHeight="true" outlineLevel="0" collapsed="false">
      <c r="A211" s="86"/>
      <c r="B211" s="88"/>
      <c r="C211" s="86"/>
      <c r="D211" s="87" t="str">
        <f aca="false">IF(E211="","",IFERROR(INDEX(CADASTRO_VIVO_3CRE!$B$2:$B$150,MATCH(E211,CADASTRO_VIVO_3CRE!$E$2:$E$150,0)),""))</f>
        <v/>
      </c>
      <c r="E211" s="86"/>
      <c r="F211" s="86"/>
      <c r="G211" s="86"/>
      <c r="H211" s="86"/>
      <c r="I211" s="86"/>
      <c r="J211" s="86"/>
      <c r="K211" s="117" t="str">
        <f aca="false">IF(AND(A211&lt;&gt;"",E211=CONSULTA_UNIDADE!$B$4),MAX($K$1:$K$210)+1,"")</f>
        <v/>
      </c>
      <c r="L211" s="86"/>
      <c r="M211" s="86"/>
      <c r="N211" s="86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customFormat="false" ht="16.5" hidden="false" customHeight="true" outlineLevel="0" collapsed="false">
      <c r="A212" s="86"/>
      <c r="B212" s="88"/>
      <c r="C212" s="86"/>
      <c r="D212" s="87" t="str">
        <f aca="false">IF(E212="","",IFERROR(INDEX(CADASTRO_VIVO_3CRE!$B$2:$B$150,MATCH(E212,CADASTRO_VIVO_3CRE!$E$2:$E$150,0)),""))</f>
        <v/>
      </c>
      <c r="E212" s="86"/>
      <c r="F212" s="86"/>
      <c r="G212" s="86"/>
      <c r="H212" s="86"/>
      <c r="I212" s="86"/>
      <c r="J212" s="86"/>
      <c r="K212" s="117" t="str">
        <f aca="false">IF(AND(A212&lt;&gt;"",E212=CONSULTA_UNIDADE!$B$4),MAX($K$1:$K$211)+1,"")</f>
        <v/>
      </c>
      <c r="L212" s="86"/>
      <c r="M212" s="86"/>
      <c r="N212" s="86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customFormat="false" ht="16.5" hidden="false" customHeight="true" outlineLevel="0" collapsed="false">
      <c r="A213" s="86"/>
      <c r="B213" s="88"/>
      <c r="C213" s="86"/>
      <c r="D213" s="87" t="str">
        <f aca="false">IF(E213="","",IFERROR(INDEX(CADASTRO_VIVO_3CRE!$B$2:$B$150,MATCH(E213,CADASTRO_VIVO_3CRE!$E$2:$E$150,0)),""))</f>
        <v/>
      </c>
      <c r="E213" s="86"/>
      <c r="F213" s="86"/>
      <c r="G213" s="86"/>
      <c r="H213" s="86"/>
      <c r="I213" s="86"/>
      <c r="J213" s="86"/>
      <c r="K213" s="117" t="str">
        <f aca="false">IF(AND(A213&lt;&gt;"",E213=CONSULTA_UNIDADE!$B$4),MAX($K$1:$K$212)+1,"")</f>
        <v/>
      </c>
      <c r="L213" s="86"/>
      <c r="M213" s="86"/>
      <c r="N213" s="86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customFormat="false" ht="16.5" hidden="false" customHeight="true" outlineLevel="0" collapsed="false">
      <c r="A214" s="86"/>
      <c r="B214" s="88"/>
      <c r="C214" s="86"/>
      <c r="D214" s="87" t="str">
        <f aca="false">IF(E214="","",IFERROR(INDEX(CADASTRO_VIVO_3CRE!$B$2:$B$150,MATCH(E214,CADASTRO_VIVO_3CRE!$E$2:$E$150,0)),""))</f>
        <v/>
      </c>
      <c r="E214" s="86"/>
      <c r="F214" s="86"/>
      <c r="G214" s="86"/>
      <c r="H214" s="86"/>
      <c r="I214" s="86"/>
      <c r="J214" s="86"/>
      <c r="K214" s="117" t="str">
        <f aca="false">IF(AND(A214&lt;&gt;"",E214=CONSULTA_UNIDADE!$B$4),MAX($K$1:$K$213)+1,"")</f>
        <v/>
      </c>
      <c r="L214" s="86"/>
      <c r="M214" s="86"/>
      <c r="N214" s="86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customFormat="false" ht="16.5" hidden="false" customHeight="true" outlineLevel="0" collapsed="false">
      <c r="A215" s="86"/>
      <c r="B215" s="88"/>
      <c r="C215" s="86"/>
      <c r="D215" s="87" t="str">
        <f aca="false">IF(E215="","",IFERROR(INDEX(CADASTRO_VIVO_3CRE!$B$2:$B$150,MATCH(E215,CADASTRO_VIVO_3CRE!$E$2:$E$150,0)),""))</f>
        <v/>
      </c>
      <c r="E215" s="86"/>
      <c r="F215" s="86"/>
      <c r="G215" s="86"/>
      <c r="H215" s="86"/>
      <c r="I215" s="86"/>
      <c r="J215" s="86"/>
      <c r="K215" s="117" t="str">
        <f aca="false">IF(AND(A215&lt;&gt;"",E215=CONSULTA_UNIDADE!$B$4),MAX($K$1:$K$214)+1,"")</f>
        <v/>
      </c>
      <c r="L215" s="86"/>
      <c r="M215" s="86"/>
      <c r="N215" s="86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customFormat="false" ht="16.5" hidden="false" customHeight="true" outlineLevel="0" collapsed="false">
      <c r="A216" s="86"/>
      <c r="B216" s="88"/>
      <c r="C216" s="86"/>
      <c r="D216" s="87" t="str">
        <f aca="false">IF(E216="","",IFERROR(INDEX(CADASTRO_VIVO_3CRE!$B$2:$B$150,MATCH(E216,CADASTRO_VIVO_3CRE!$E$2:$E$150,0)),""))</f>
        <v/>
      </c>
      <c r="E216" s="86"/>
      <c r="F216" s="86"/>
      <c r="G216" s="86"/>
      <c r="H216" s="86"/>
      <c r="I216" s="86"/>
      <c r="J216" s="86"/>
      <c r="K216" s="117" t="str">
        <f aca="false">IF(AND(A216&lt;&gt;"",E216=CONSULTA_UNIDADE!$B$4),MAX($K$1:$K$215)+1,"")</f>
        <v/>
      </c>
      <c r="L216" s="86"/>
      <c r="M216" s="86"/>
      <c r="N216" s="86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customFormat="false" ht="16.5" hidden="false" customHeight="true" outlineLevel="0" collapsed="false">
      <c r="A217" s="86"/>
      <c r="B217" s="88"/>
      <c r="C217" s="86"/>
      <c r="D217" s="87" t="str">
        <f aca="false">IF(E217="","",IFERROR(INDEX(CADASTRO_VIVO_3CRE!$B$2:$B$150,MATCH(E217,CADASTRO_VIVO_3CRE!$E$2:$E$150,0)),""))</f>
        <v/>
      </c>
      <c r="E217" s="86"/>
      <c r="F217" s="86"/>
      <c r="G217" s="86"/>
      <c r="H217" s="86"/>
      <c r="I217" s="86"/>
      <c r="J217" s="86"/>
      <c r="K217" s="117" t="str">
        <f aca="false">IF(AND(A217&lt;&gt;"",E217=CONSULTA_UNIDADE!$B$4),MAX($K$1:$K$216)+1,"")</f>
        <v/>
      </c>
      <c r="L217" s="86"/>
      <c r="M217" s="86"/>
      <c r="N217" s="86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customFormat="false" ht="16.5" hidden="false" customHeight="true" outlineLevel="0" collapsed="false">
      <c r="A218" s="86"/>
      <c r="B218" s="88"/>
      <c r="C218" s="86"/>
      <c r="D218" s="87" t="str">
        <f aca="false">IF(E218="","",IFERROR(INDEX(CADASTRO_VIVO_3CRE!$B$2:$B$150,MATCH(E218,CADASTRO_VIVO_3CRE!$E$2:$E$150,0)),""))</f>
        <v/>
      </c>
      <c r="E218" s="86"/>
      <c r="F218" s="86"/>
      <c r="G218" s="86"/>
      <c r="H218" s="86"/>
      <c r="I218" s="86"/>
      <c r="J218" s="86"/>
      <c r="K218" s="117" t="str">
        <f aca="false">IF(AND(A218&lt;&gt;"",E218=CONSULTA_UNIDADE!$B$4),MAX($K$1:$K$217)+1,"")</f>
        <v/>
      </c>
      <c r="L218" s="86"/>
      <c r="M218" s="86"/>
      <c r="N218" s="86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customFormat="false" ht="16.5" hidden="false" customHeight="true" outlineLevel="0" collapsed="false">
      <c r="A219" s="86"/>
      <c r="B219" s="88"/>
      <c r="C219" s="86"/>
      <c r="D219" s="87" t="str">
        <f aca="false">IF(E219="","",IFERROR(INDEX(CADASTRO_VIVO_3CRE!$B$2:$B$150,MATCH(E219,CADASTRO_VIVO_3CRE!$E$2:$E$150,0)),""))</f>
        <v/>
      </c>
      <c r="E219" s="86"/>
      <c r="F219" s="86"/>
      <c r="G219" s="86"/>
      <c r="H219" s="86"/>
      <c r="I219" s="86"/>
      <c r="J219" s="86"/>
      <c r="K219" s="117" t="str">
        <f aca="false">IF(AND(A219&lt;&gt;"",E219=CONSULTA_UNIDADE!$B$4),MAX($K$1:$K$218)+1,"")</f>
        <v/>
      </c>
      <c r="L219" s="86"/>
      <c r="M219" s="86"/>
      <c r="N219" s="86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customFormat="false" ht="16.5" hidden="false" customHeight="true" outlineLevel="0" collapsed="false">
      <c r="A220" s="86"/>
      <c r="B220" s="88"/>
      <c r="C220" s="86"/>
      <c r="D220" s="87" t="str">
        <f aca="false">IF(E220="","",IFERROR(INDEX(CADASTRO_VIVO_3CRE!$B$2:$B$150,MATCH(E220,CADASTRO_VIVO_3CRE!$E$2:$E$150,0)),""))</f>
        <v/>
      </c>
      <c r="E220" s="86"/>
      <c r="F220" s="86"/>
      <c r="G220" s="86"/>
      <c r="H220" s="86"/>
      <c r="I220" s="86"/>
      <c r="J220" s="86"/>
      <c r="K220" s="117" t="str">
        <f aca="false">IF(AND(A220&lt;&gt;"",E220=CONSULTA_UNIDADE!$B$4),MAX($K$1:$K$219)+1,"")</f>
        <v/>
      </c>
      <c r="L220" s="86"/>
      <c r="M220" s="86"/>
      <c r="N220" s="86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customFormat="false" ht="16.5" hidden="false" customHeight="true" outlineLevel="0" collapsed="false">
      <c r="A221" s="86"/>
      <c r="B221" s="88"/>
      <c r="C221" s="86"/>
      <c r="D221" s="87" t="str">
        <f aca="false">IF(E221="","",IFERROR(INDEX(CADASTRO_VIVO_3CRE!$B$2:$B$150,MATCH(E221,CADASTRO_VIVO_3CRE!$E$2:$E$150,0)),""))</f>
        <v/>
      </c>
      <c r="E221" s="86"/>
      <c r="F221" s="86"/>
      <c r="G221" s="86"/>
      <c r="H221" s="86"/>
      <c r="I221" s="86"/>
      <c r="J221" s="86"/>
      <c r="K221" s="117" t="str">
        <f aca="false">IF(AND(A221&lt;&gt;"",E221=CONSULTA_UNIDADE!$B$4),MAX($K$1:$K$220)+1,"")</f>
        <v/>
      </c>
      <c r="L221" s="86"/>
      <c r="M221" s="86"/>
      <c r="N221" s="86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customFormat="false" ht="16.5" hidden="false" customHeight="true" outlineLevel="0" collapsed="false">
      <c r="A222" s="86"/>
      <c r="B222" s="88"/>
      <c r="C222" s="86"/>
      <c r="D222" s="87" t="str">
        <f aca="false">IF(E222="","",IFERROR(INDEX(CADASTRO_VIVO_3CRE!$B$2:$B$150,MATCH(E222,CADASTRO_VIVO_3CRE!$E$2:$E$150,0)),""))</f>
        <v/>
      </c>
      <c r="E222" s="86"/>
      <c r="F222" s="86"/>
      <c r="G222" s="86"/>
      <c r="H222" s="86"/>
      <c r="I222" s="86"/>
      <c r="J222" s="86"/>
      <c r="K222" s="117" t="str">
        <f aca="false">IF(AND(A222&lt;&gt;"",E222=CONSULTA_UNIDADE!$B$4),MAX($K$1:$K$221)+1,"")</f>
        <v/>
      </c>
      <c r="L222" s="86"/>
      <c r="M222" s="86"/>
      <c r="N222" s="86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customFormat="false" ht="16.5" hidden="false" customHeight="true" outlineLevel="0" collapsed="false">
      <c r="A223" s="86"/>
      <c r="B223" s="88"/>
      <c r="C223" s="86"/>
      <c r="D223" s="87" t="str">
        <f aca="false">IF(E223="","",IFERROR(INDEX(CADASTRO_VIVO_3CRE!$B$2:$B$150,MATCH(E223,CADASTRO_VIVO_3CRE!$E$2:$E$150,0)),""))</f>
        <v/>
      </c>
      <c r="E223" s="86"/>
      <c r="F223" s="86"/>
      <c r="G223" s="86"/>
      <c r="H223" s="86"/>
      <c r="I223" s="86"/>
      <c r="J223" s="86"/>
      <c r="K223" s="117" t="str">
        <f aca="false">IF(AND(A223&lt;&gt;"",E223=CONSULTA_UNIDADE!$B$4),MAX($K$1:$K$222)+1,"")</f>
        <v/>
      </c>
      <c r="L223" s="86"/>
      <c r="M223" s="86"/>
      <c r="N223" s="86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customFormat="false" ht="16.5" hidden="false" customHeight="true" outlineLevel="0" collapsed="false">
      <c r="A224" s="86"/>
      <c r="B224" s="88"/>
      <c r="C224" s="86"/>
      <c r="D224" s="87" t="str">
        <f aca="false">IF(E224="","",IFERROR(INDEX(CADASTRO_VIVO_3CRE!$B$2:$B$150,MATCH(E224,CADASTRO_VIVO_3CRE!$E$2:$E$150,0)),""))</f>
        <v/>
      </c>
      <c r="E224" s="86"/>
      <c r="F224" s="86"/>
      <c r="G224" s="86"/>
      <c r="H224" s="86"/>
      <c r="I224" s="86"/>
      <c r="J224" s="86"/>
      <c r="K224" s="117" t="str">
        <f aca="false">IF(AND(A224&lt;&gt;"",E224=CONSULTA_UNIDADE!$B$4),MAX($K$1:$K$223)+1,"")</f>
        <v/>
      </c>
      <c r="L224" s="86"/>
      <c r="M224" s="86"/>
      <c r="N224" s="86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customFormat="false" ht="16.5" hidden="false" customHeight="true" outlineLevel="0" collapsed="false">
      <c r="A225" s="86"/>
      <c r="B225" s="88"/>
      <c r="C225" s="86"/>
      <c r="D225" s="87" t="str">
        <f aca="false">IF(E225="","",IFERROR(INDEX(CADASTRO_VIVO_3CRE!$B$2:$B$150,MATCH(E225,CADASTRO_VIVO_3CRE!$E$2:$E$150,0)),""))</f>
        <v/>
      </c>
      <c r="E225" s="86"/>
      <c r="F225" s="86"/>
      <c r="G225" s="86"/>
      <c r="H225" s="86"/>
      <c r="I225" s="86"/>
      <c r="J225" s="86"/>
      <c r="K225" s="117" t="str">
        <f aca="false">IF(AND(A225&lt;&gt;"",E225=CONSULTA_UNIDADE!$B$4),MAX($K$1:$K$224)+1,"")</f>
        <v/>
      </c>
      <c r="L225" s="86"/>
      <c r="M225" s="86"/>
      <c r="N225" s="86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customFormat="false" ht="16.5" hidden="false" customHeight="true" outlineLevel="0" collapsed="false">
      <c r="A226" s="86"/>
      <c r="B226" s="88"/>
      <c r="C226" s="86"/>
      <c r="D226" s="87" t="str">
        <f aca="false">IF(E226="","",IFERROR(INDEX(CADASTRO_VIVO_3CRE!$B$2:$B$150,MATCH(E226,CADASTRO_VIVO_3CRE!$E$2:$E$150,0)),""))</f>
        <v/>
      </c>
      <c r="E226" s="86"/>
      <c r="F226" s="86"/>
      <c r="G226" s="86"/>
      <c r="H226" s="86"/>
      <c r="I226" s="86"/>
      <c r="J226" s="86"/>
      <c r="K226" s="117" t="str">
        <f aca="false">IF(AND(A226&lt;&gt;"",E226=CONSULTA_UNIDADE!$B$4),MAX($K$1:$K$225)+1,"")</f>
        <v/>
      </c>
      <c r="L226" s="86"/>
      <c r="M226" s="86"/>
      <c r="N226" s="86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customFormat="false" ht="16.5" hidden="false" customHeight="true" outlineLevel="0" collapsed="false">
      <c r="A227" s="86"/>
      <c r="B227" s="88"/>
      <c r="C227" s="86"/>
      <c r="D227" s="87" t="str">
        <f aca="false">IF(E227="","",IFERROR(INDEX(CADASTRO_VIVO_3CRE!$B$2:$B$150,MATCH(E227,CADASTRO_VIVO_3CRE!$E$2:$E$150,0)),""))</f>
        <v/>
      </c>
      <c r="E227" s="86"/>
      <c r="F227" s="86"/>
      <c r="G227" s="86"/>
      <c r="H227" s="86"/>
      <c r="I227" s="86"/>
      <c r="J227" s="86"/>
      <c r="K227" s="117" t="str">
        <f aca="false">IF(AND(A227&lt;&gt;"",E227=CONSULTA_UNIDADE!$B$4),MAX($K$1:$K$226)+1,"")</f>
        <v/>
      </c>
      <c r="L227" s="86"/>
      <c r="M227" s="86"/>
      <c r="N227" s="86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customFormat="false" ht="16.5" hidden="false" customHeight="true" outlineLevel="0" collapsed="false">
      <c r="A228" s="86"/>
      <c r="B228" s="88"/>
      <c r="C228" s="86"/>
      <c r="D228" s="87" t="str">
        <f aca="false">IF(E228="","",IFERROR(INDEX(CADASTRO_VIVO_3CRE!$B$2:$B$150,MATCH(E228,CADASTRO_VIVO_3CRE!$E$2:$E$150,0)),""))</f>
        <v/>
      </c>
      <c r="E228" s="86"/>
      <c r="F228" s="86"/>
      <c r="G228" s="86"/>
      <c r="H228" s="86"/>
      <c r="I228" s="86"/>
      <c r="J228" s="86"/>
      <c r="K228" s="117" t="str">
        <f aca="false">IF(AND(A228&lt;&gt;"",E228=CONSULTA_UNIDADE!$B$4),MAX($K$1:$K$227)+1,"")</f>
        <v/>
      </c>
      <c r="L228" s="86"/>
      <c r="M228" s="86"/>
      <c r="N228" s="86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customFormat="false" ht="16.5" hidden="false" customHeight="true" outlineLevel="0" collapsed="false">
      <c r="A229" s="86"/>
      <c r="B229" s="88"/>
      <c r="C229" s="86"/>
      <c r="D229" s="87" t="str">
        <f aca="false">IF(E229="","",IFERROR(INDEX(CADASTRO_VIVO_3CRE!$B$2:$B$150,MATCH(E229,CADASTRO_VIVO_3CRE!$E$2:$E$150,0)),""))</f>
        <v/>
      </c>
      <c r="E229" s="86"/>
      <c r="F229" s="86"/>
      <c r="G229" s="86"/>
      <c r="H229" s="86"/>
      <c r="I229" s="86"/>
      <c r="J229" s="86"/>
      <c r="K229" s="117" t="str">
        <f aca="false">IF(AND(A229&lt;&gt;"",E229=CONSULTA_UNIDADE!$B$4),MAX($K$1:$K$228)+1,"")</f>
        <v/>
      </c>
      <c r="L229" s="86"/>
      <c r="M229" s="86"/>
      <c r="N229" s="86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customFormat="false" ht="16.5" hidden="false" customHeight="true" outlineLevel="0" collapsed="false">
      <c r="A230" s="86"/>
      <c r="B230" s="88"/>
      <c r="C230" s="86"/>
      <c r="D230" s="87" t="str">
        <f aca="false">IF(E230="","",IFERROR(INDEX(CADASTRO_VIVO_3CRE!$B$2:$B$150,MATCH(E230,CADASTRO_VIVO_3CRE!$E$2:$E$150,0)),""))</f>
        <v/>
      </c>
      <c r="E230" s="86"/>
      <c r="F230" s="86"/>
      <c r="G230" s="86"/>
      <c r="H230" s="86"/>
      <c r="I230" s="86"/>
      <c r="J230" s="86"/>
      <c r="K230" s="117" t="str">
        <f aca="false">IF(AND(A230&lt;&gt;"",E230=CONSULTA_UNIDADE!$B$4),MAX($K$1:$K$229)+1,"")</f>
        <v/>
      </c>
      <c r="L230" s="86"/>
      <c r="M230" s="86"/>
      <c r="N230" s="86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customFormat="false" ht="16.5" hidden="false" customHeight="true" outlineLevel="0" collapsed="false">
      <c r="A231" s="86"/>
      <c r="B231" s="88"/>
      <c r="C231" s="86"/>
      <c r="D231" s="87" t="str">
        <f aca="false">IF(E231="","",IFERROR(INDEX(CADASTRO_VIVO_3CRE!$B$2:$B$150,MATCH(E231,CADASTRO_VIVO_3CRE!$E$2:$E$150,0)),""))</f>
        <v/>
      </c>
      <c r="E231" s="86"/>
      <c r="F231" s="86"/>
      <c r="G231" s="86"/>
      <c r="H231" s="86"/>
      <c r="I231" s="86"/>
      <c r="J231" s="86"/>
      <c r="K231" s="117" t="str">
        <f aca="false">IF(AND(A231&lt;&gt;"",E231=CONSULTA_UNIDADE!$B$4),MAX($K$1:$K$230)+1,"")</f>
        <v/>
      </c>
      <c r="L231" s="86"/>
      <c r="M231" s="86"/>
      <c r="N231" s="86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customFormat="false" ht="16.5" hidden="false" customHeight="true" outlineLevel="0" collapsed="false">
      <c r="A232" s="86"/>
      <c r="B232" s="88"/>
      <c r="C232" s="86"/>
      <c r="D232" s="87" t="str">
        <f aca="false">IF(E232="","",IFERROR(INDEX(CADASTRO_VIVO_3CRE!$B$2:$B$150,MATCH(E232,CADASTRO_VIVO_3CRE!$E$2:$E$150,0)),""))</f>
        <v/>
      </c>
      <c r="E232" s="86"/>
      <c r="F232" s="86"/>
      <c r="G232" s="86"/>
      <c r="H232" s="86"/>
      <c r="I232" s="86"/>
      <c r="J232" s="86"/>
      <c r="K232" s="117" t="str">
        <f aca="false">IF(AND(A232&lt;&gt;"",E232=CONSULTA_UNIDADE!$B$4),MAX($K$1:$K$231)+1,"")</f>
        <v/>
      </c>
      <c r="L232" s="86"/>
      <c r="M232" s="86"/>
      <c r="N232" s="86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customFormat="false" ht="16.5" hidden="false" customHeight="true" outlineLevel="0" collapsed="false">
      <c r="A233" s="86"/>
      <c r="B233" s="88"/>
      <c r="C233" s="86"/>
      <c r="D233" s="87" t="str">
        <f aca="false">IF(E233="","",IFERROR(INDEX(CADASTRO_VIVO_3CRE!$B$2:$B$150,MATCH(E233,CADASTRO_VIVO_3CRE!$E$2:$E$150,0)),""))</f>
        <v/>
      </c>
      <c r="E233" s="86"/>
      <c r="F233" s="86"/>
      <c r="G233" s="86"/>
      <c r="H233" s="86"/>
      <c r="I233" s="86"/>
      <c r="J233" s="86"/>
      <c r="K233" s="117" t="str">
        <f aca="false">IF(AND(A233&lt;&gt;"",E233=CONSULTA_UNIDADE!$B$4),MAX($K$1:$K$232)+1,"")</f>
        <v/>
      </c>
      <c r="L233" s="86"/>
      <c r="M233" s="86"/>
      <c r="N233" s="86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customFormat="false" ht="16.5" hidden="false" customHeight="true" outlineLevel="0" collapsed="false">
      <c r="A234" s="86"/>
      <c r="B234" s="88"/>
      <c r="C234" s="86"/>
      <c r="D234" s="87" t="str">
        <f aca="false">IF(E234="","",IFERROR(INDEX(CADASTRO_VIVO_3CRE!$B$2:$B$150,MATCH(E234,CADASTRO_VIVO_3CRE!$E$2:$E$150,0)),""))</f>
        <v/>
      </c>
      <c r="E234" s="86"/>
      <c r="F234" s="86"/>
      <c r="G234" s="86"/>
      <c r="H234" s="86"/>
      <c r="I234" s="86"/>
      <c r="J234" s="86"/>
      <c r="K234" s="117" t="str">
        <f aca="false">IF(AND(A234&lt;&gt;"",E234=CONSULTA_UNIDADE!$B$4),MAX($K$1:$K$233)+1,"")</f>
        <v/>
      </c>
      <c r="L234" s="86"/>
      <c r="M234" s="86"/>
      <c r="N234" s="86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customFormat="false" ht="16.5" hidden="false" customHeight="true" outlineLevel="0" collapsed="false">
      <c r="A235" s="86"/>
      <c r="B235" s="88"/>
      <c r="C235" s="86"/>
      <c r="D235" s="87" t="str">
        <f aca="false">IF(E235="","",IFERROR(INDEX(CADASTRO_VIVO_3CRE!$B$2:$B$150,MATCH(E235,CADASTRO_VIVO_3CRE!$E$2:$E$150,0)),""))</f>
        <v/>
      </c>
      <c r="E235" s="86"/>
      <c r="F235" s="86"/>
      <c r="G235" s="86"/>
      <c r="H235" s="86"/>
      <c r="I235" s="86"/>
      <c r="J235" s="86"/>
      <c r="K235" s="117" t="str">
        <f aca="false">IF(AND(A235&lt;&gt;"",E235=CONSULTA_UNIDADE!$B$4),MAX($K$1:$K$234)+1,"")</f>
        <v/>
      </c>
      <c r="L235" s="86"/>
      <c r="M235" s="86"/>
      <c r="N235" s="86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customFormat="false" ht="16.5" hidden="false" customHeight="true" outlineLevel="0" collapsed="false">
      <c r="A236" s="86"/>
      <c r="B236" s="88"/>
      <c r="C236" s="86"/>
      <c r="D236" s="87" t="str">
        <f aca="false">IF(E236="","",IFERROR(INDEX(CADASTRO_VIVO_3CRE!$B$2:$B$150,MATCH(E236,CADASTRO_VIVO_3CRE!$E$2:$E$150,0)),""))</f>
        <v/>
      </c>
      <c r="E236" s="86"/>
      <c r="F236" s="86"/>
      <c r="G236" s="86"/>
      <c r="H236" s="86"/>
      <c r="I236" s="86"/>
      <c r="J236" s="86"/>
      <c r="K236" s="117" t="str">
        <f aca="false">IF(AND(A236&lt;&gt;"",E236=CONSULTA_UNIDADE!$B$4),MAX($K$1:$K$235)+1,"")</f>
        <v/>
      </c>
      <c r="L236" s="86"/>
      <c r="M236" s="86"/>
      <c r="N236" s="86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customFormat="false" ht="16.5" hidden="false" customHeight="true" outlineLevel="0" collapsed="false">
      <c r="A237" s="86"/>
      <c r="B237" s="88"/>
      <c r="C237" s="86"/>
      <c r="D237" s="87" t="str">
        <f aca="false">IF(E237="","",IFERROR(INDEX(CADASTRO_VIVO_3CRE!$B$2:$B$150,MATCH(E237,CADASTRO_VIVO_3CRE!$E$2:$E$150,0)),""))</f>
        <v/>
      </c>
      <c r="E237" s="86"/>
      <c r="F237" s="86"/>
      <c r="G237" s="86"/>
      <c r="H237" s="86"/>
      <c r="I237" s="86"/>
      <c r="J237" s="86"/>
      <c r="K237" s="117" t="str">
        <f aca="false">IF(AND(A237&lt;&gt;"",E237=CONSULTA_UNIDADE!$B$4),MAX($K$1:$K$236)+1,"")</f>
        <v/>
      </c>
      <c r="L237" s="86"/>
      <c r="M237" s="86"/>
      <c r="N237" s="86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customFormat="false" ht="16.5" hidden="false" customHeight="true" outlineLevel="0" collapsed="false">
      <c r="A238" s="86"/>
      <c r="B238" s="88"/>
      <c r="C238" s="86"/>
      <c r="D238" s="87" t="str">
        <f aca="false">IF(E238="","",IFERROR(INDEX(CADASTRO_VIVO_3CRE!$B$2:$B$150,MATCH(E238,CADASTRO_VIVO_3CRE!$E$2:$E$150,0)),""))</f>
        <v/>
      </c>
      <c r="E238" s="86"/>
      <c r="F238" s="86"/>
      <c r="G238" s="86"/>
      <c r="H238" s="86"/>
      <c r="I238" s="86"/>
      <c r="J238" s="86"/>
      <c r="K238" s="117" t="str">
        <f aca="false">IF(AND(A238&lt;&gt;"",E238=CONSULTA_UNIDADE!$B$4),MAX($K$1:$K$237)+1,"")</f>
        <v/>
      </c>
      <c r="L238" s="86"/>
      <c r="M238" s="86"/>
      <c r="N238" s="86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customFormat="false" ht="16.5" hidden="false" customHeight="true" outlineLevel="0" collapsed="false">
      <c r="A239" s="86"/>
      <c r="B239" s="88"/>
      <c r="C239" s="86"/>
      <c r="D239" s="87" t="str">
        <f aca="false">IF(E239="","",IFERROR(INDEX(CADASTRO_VIVO_3CRE!$B$2:$B$150,MATCH(E239,CADASTRO_VIVO_3CRE!$E$2:$E$150,0)),""))</f>
        <v/>
      </c>
      <c r="E239" s="86"/>
      <c r="F239" s="86"/>
      <c r="G239" s="86"/>
      <c r="H239" s="86"/>
      <c r="I239" s="86"/>
      <c r="J239" s="86"/>
      <c r="K239" s="117" t="str">
        <f aca="false">IF(AND(A239&lt;&gt;"",E239=CONSULTA_UNIDADE!$B$4),MAX($K$1:$K$238)+1,"")</f>
        <v/>
      </c>
      <c r="L239" s="86"/>
      <c r="M239" s="86"/>
      <c r="N239" s="86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customFormat="false" ht="16.5" hidden="false" customHeight="true" outlineLevel="0" collapsed="false">
      <c r="A240" s="86"/>
      <c r="B240" s="88"/>
      <c r="C240" s="86"/>
      <c r="D240" s="87" t="str">
        <f aca="false">IF(E240="","",IFERROR(INDEX(CADASTRO_VIVO_3CRE!$B$2:$B$150,MATCH(E240,CADASTRO_VIVO_3CRE!$E$2:$E$150,0)),""))</f>
        <v/>
      </c>
      <c r="E240" s="86"/>
      <c r="F240" s="86"/>
      <c r="G240" s="86"/>
      <c r="H240" s="86"/>
      <c r="I240" s="86"/>
      <c r="J240" s="86"/>
      <c r="K240" s="117" t="str">
        <f aca="false">IF(AND(A240&lt;&gt;"",E240=CONSULTA_UNIDADE!$B$4),MAX($K$1:$K$239)+1,"")</f>
        <v/>
      </c>
      <c r="L240" s="86"/>
      <c r="M240" s="86"/>
      <c r="N240" s="86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customFormat="false" ht="16.5" hidden="false" customHeight="true" outlineLevel="0" collapsed="false">
      <c r="A241" s="86"/>
      <c r="B241" s="88"/>
      <c r="C241" s="86"/>
      <c r="D241" s="87" t="str">
        <f aca="false">IF(E241="","",IFERROR(INDEX(CADASTRO_VIVO_3CRE!$B$2:$B$150,MATCH(E241,CADASTRO_VIVO_3CRE!$E$2:$E$150,0)),""))</f>
        <v/>
      </c>
      <c r="E241" s="86"/>
      <c r="F241" s="86"/>
      <c r="G241" s="86"/>
      <c r="H241" s="86"/>
      <c r="I241" s="86"/>
      <c r="J241" s="86"/>
      <c r="K241" s="117" t="str">
        <f aca="false">IF(AND(A241&lt;&gt;"",E241=CONSULTA_UNIDADE!$B$4),MAX($K$1:$K$240)+1,"")</f>
        <v/>
      </c>
      <c r="L241" s="86"/>
      <c r="M241" s="86"/>
      <c r="N241" s="86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customFormat="false" ht="16.5" hidden="false" customHeight="true" outlineLevel="0" collapsed="false">
      <c r="A242" s="86"/>
      <c r="B242" s="88"/>
      <c r="C242" s="86"/>
      <c r="D242" s="87" t="str">
        <f aca="false">IF(E242="","",IFERROR(INDEX(CADASTRO_VIVO_3CRE!$B$2:$B$150,MATCH(E242,CADASTRO_VIVO_3CRE!$E$2:$E$150,0)),""))</f>
        <v/>
      </c>
      <c r="E242" s="86"/>
      <c r="F242" s="86"/>
      <c r="G242" s="86"/>
      <c r="H242" s="86"/>
      <c r="I242" s="86"/>
      <c r="J242" s="86"/>
      <c r="K242" s="117" t="str">
        <f aca="false">IF(AND(A242&lt;&gt;"",E242=CONSULTA_UNIDADE!$B$4),MAX($K$1:$K$241)+1,"")</f>
        <v/>
      </c>
      <c r="L242" s="86"/>
      <c r="M242" s="86"/>
      <c r="N242" s="86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customFormat="false" ht="16.5" hidden="false" customHeight="true" outlineLevel="0" collapsed="false">
      <c r="A243" s="86"/>
      <c r="B243" s="88"/>
      <c r="C243" s="86"/>
      <c r="D243" s="87" t="str">
        <f aca="false">IF(E243="","",IFERROR(INDEX(CADASTRO_VIVO_3CRE!$B$2:$B$150,MATCH(E243,CADASTRO_VIVO_3CRE!$E$2:$E$150,0)),""))</f>
        <v/>
      </c>
      <c r="E243" s="86"/>
      <c r="F243" s="86"/>
      <c r="G243" s="86"/>
      <c r="H243" s="86"/>
      <c r="I243" s="86"/>
      <c r="J243" s="86"/>
      <c r="K243" s="117" t="str">
        <f aca="false">IF(AND(A243&lt;&gt;"",E243=CONSULTA_UNIDADE!$B$4),MAX($K$1:$K$242)+1,"")</f>
        <v/>
      </c>
      <c r="L243" s="86"/>
      <c r="M243" s="86"/>
      <c r="N243" s="86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customFormat="false" ht="16.5" hidden="false" customHeight="true" outlineLevel="0" collapsed="false">
      <c r="A244" s="86"/>
      <c r="B244" s="88"/>
      <c r="C244" s="86"/>
      <c r="D244" s="87" t="str">
        <f aca="false">IF(E244="","",IFERROR(INDEX(CADASTRO_VIVO_3CRE!$B$2:$B$150,MATCH(E244,CADASTRO_VIVO_3CRE!$E$2:$E$150,0)),""))</f>
        <v/>
      </c>
      <c r="E244" s="86"/>
      <c r="F244" s="86"/>
      <c r="G244" s="86"/>
      <c r="H244" s="86"/>
      <c r="I244" s="86"/>
      <c r="J244" s="86"/>
      <c r="K244" s="117" t="str">
        <f aca="false">IF(AND(A244&lt;&gt;"",E244=CONSULTA_UNIDADE!$B$4),MAX($K$1:$K$243)+1,"")</f>
        <v/>
      </c>
      <c r="L244" s="86"/>
      <c r="M244" s="86"/>
      <c r="N244" s="86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customFormat="false" ht="16.5" hidden="false" customHeight="true" outlineLevel="0" collapsed="false">
      <c r="A245" s="86"/>
      <c r="B245" s="88"/>
      <c r="C245" s="86"/>
      <c r="D245" s="87" t="str">
        <f aca="false">IF(E245="","",IFERROR(INDEX(CADASTRO_VIVO_3CRE!$B$2:$B$150,MATCH(E245,CADASTRO_VIVO_3CRE!$E$2:$E$150,0)),""))</f>
        <v/>
      </c>
      <c r="E245" s="86"/>
      <c r="F245" s="86"/>
      <c r="G245" s="86"/>
      <c r="H245" s="86"/>
      <c r="I245" s="86"/>
      <c r="J245" s="86"/>
      <c r="K245" s="117" t="str">
        <f aca="false">IF(AND(A245&lt;&gt;"",E245=CONSULTA_UNIDADE!$B$4),MAX($K$1:$K$244)+1,"")</f>
        <v/>
      </c>
      <c r="L245" s="86"/>
      <c r="M245" s="86"/>
      <c r="N245" s="86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customFormat="false" ht="16.5" hidden="false" customHeight="true" outlineLevel="0" collapsed="false">
      <c r="A246" s="86"/>
      <c r="B246" s="88"/>
      <c r="C246" s="86"/>
      <c r="D246" s="87" t="str">
        <f aca="false">IF(E246="","",IFERROR(INDEX(CADASTRO_VIVO_3CRE!$B$2:$B$150,MATCH(E246,CADASTRO_VIVO_3CRE!$E$2:$E$150,0)),""))</f>
        <v/>
      </c>
      <c r="E246" s="86"/>
      <c r="F246" s="86"/>
      <c r="G246" s="86"/>
      <c r="H246" s="86"/>
      <c r="I246" s="86"/>
      <c r="J246" s="86"/>
      <c r="K246" s="117" t="str">
        <f aca="false">IF(AND(A246&lt;&gt;"",E246=CONSULTA_UNIDADE!$B$4),MAX($K$1:$K$245)+1,"")</f>
        <v/>
      </c>
      <c r="L246" s="86"/>
      <c r="M246" s="86"/>
      <c r="N246" s="86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customFormat="false" ht="16.5" hidden="false" customHeight="true" outlineLevel="0" collapsed="false">
      <c r="A247" s="86"/>
      <c r="B247" s="88"/>
      <c r="C247" s="86"/>
      <c r="D247" s="87" t="str">
        <f aca="false">IF(E247="","",IFERROR(INDEX(CADASTRO_VIVO_3CRE!$B$2:$B$150,MATCH(E247,CADASTRO_VIVO_3CRE!$E$2:$E$150,0)),""))</f>
        <v/>
      </c>
      <c r="E247" s="86"/>
      <c r="F247" s="86"/>
      <c r="G247" s="86"/>
      <c r="H247" s="86"/>
      <c r="I247" s="86"/>
      <c r="J247" s="86"/>
      <c r="K247" s="117" t="str">
        <f aca="false">IF(AND(A247&lt;&gt;"",E247=CONSULTA_UNIDADE!$B$4),MAX($K$1:$K$246)+1,"")</f>
        <v/>
      </c>
      <c r="L247" s="86"/>
      <c r="M247" s="86"/>
      <c r="N247" s="86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customFormat="false" ht="16.5" hidden="false" customHeight="true" outlineLevel="0" collapsed="false">
      <c r="A248" s="86"/>
      <c r="B248" s="88"/>
      <c r="C248" s="86"/>
      <c r="D248" s="87" t="str">
        <f aca="false">IF(E248="","",IFERROR(INDEX(CADASTRO_VIVO_3CRE!$B$2:$B$150,MATCH(E248,CADASTRO_VIVO_3CRE!$E$2:$E$150,0)),""))</f>
        <v/>
      </c>
      <c r="E248" s="86"/>
      <c r="F248" s="86"/>
      <c r="G248" s="86"/>
      <c r="H248" s="86"/>
      <c r="I248" s="86"/>
      <c r="J248" s="86"/>
      <c r="K248" s="117" t="str">
        <f aca="false">IF(AND(A248&lt;&gt;"",E248=CONSULTA_UNIDADE!$B$4),MAX($K$1:$K$247)+1,"")</f>
        <v/>
      </c>
      <c r="L248" s="86"/>
      <c r="M248" s="86"/>
      <c r="N248" s="86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customFormat="false" ht="16.5" hidden="false" customHeight="true" outlineLevel="0" collapsed="false">
      <c r="A249" s="86"/>
      <c r="B249" s="88"/>
      <c r="C249" s="86"/>
      <c r="D249" s="87" t="str">
        <f aca="false">IF(E249="","",IFERROR(INDEX(CADASTRO_VIVO_3CRE!$B$2:$B$150,MATCH(E249,CADASTRO_VIVO_3CRE!$E$2:$E$150,0)),""))</f>
        <v/>
      </c>
      <c r="E249" s="86"/>
      <c r="F249" s="86"/>
      <c r="G249" s="86"/>
      <c r="H249" s="86"/>
      <c r="I249" s="86"/>
      <c r="J249" s="86"/>
      <c r="K249" s="117" t="str">
        <f aca="false">IF(AND(A249&lt;&gt;"",E249=CONSULTA_UNIDADE!$B$4),MAX($K$1:$K$248)+1,"")</f>
        <v/>
      </c>
      <c r="L249" s="86"/>
      <c r="M249" s="86"/>
      <c r="N249" s="86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customFormat="false" ht="16.5" hidden="false" customHeight="true" outlineLevel="0" collapsed="false">
      <c r="A250" s="86"/>
      <c r="B250" s="88"/>
      <c r="C250" s="86"/>
      <c r="D250" s="87" t="str">
        <f aca="false">IF(E250="","",IFERROR(INDEX(CADASTRO_VIVO_3CRE!$B$2:$B$150,MATCH(E250,CADASTRO_VIVO_3CRE!$E$2:$E$150,0)),""))</f>
        <v/>
      </c>
      <c r="E250" s="86"/>
      <c r="F250" s="86"/>
      <c r="G250" s="86"/>
      <c r="H250" s="86"/>
      <c r="I250" s="86"/>
      <c r="J250" s="86"/>
      <c r="K250" s="117" t="str">
        <f aca="false">IF(AND(A250&lt;&gt;"",E250=CONSULTA_UNIDADE!$B$4),MAX($K$1:$K$249)+1,"")</f>
        <v/>
      </c>
      <c r="L250" s="86"/>
      <c r="M250" s="86"/>
      <c r="N250" s="86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customFormat="false" ht="16.5" hidden="false" customHeight="true" outlineLevel="0" collapsed="false">
      <c r="A251" s="86"/>
      <c r="B251" s="88"/>
      <c r="C251" s="86"/>
      <c r="D251" s="87" t="str">
        <f aca="false">IF(E251="","",IFERROR(INDEX(CADASTRO_VIVO_3CRE!$B$2:$B$150,MATCH(E251,CADASTRO_VIVO_3CRE!$E$2:$E$150,0)),""))</f>
        <v/>
      </c>
      <c r="E251" s="86"/>
      <c r="F251" s="86"/>
      <c r="G251" s="86"/>
      <c r="H251" s="86"/>
      <c r="I251" s="86"/>
      <c r="J251" s="86"/>
      <c r="K251" s="117" t="str">
        <f aca="false">IF(AND(A251&lt;&gt;"",E251=CONSULTA_UNIDADE!$B$4),MAX($K$1:$K$250)+1,"")</f>
        <v/>
      </c>
      <c r="L251" s="86"/>
      <c r="M251" s="86"/>
      <c r="N251" s="86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customFormat="false" ht="16.5" hidden="false" customHeight="true" outlineLevel="0" collapsed="false">
      <c r="A252" s="86"/>
      <c r="B252" s="88"/>
      <c r="C252" s="86"/>
      <c r="D252" s="87" t="str">
        <f aca="false">IF(E252="","",IFERROR(INDEX(CADASTRO_VIVO_3CRE!$B$2:$B$150,MATCH(E252,CADASTRO_VIVO_3CRE!$E$2:$E$150,0)),""))</f>
        <v/>
      </c>
      <c r="E252" s="86"/>
      <c r="F252" s="86"/>
      <c r="G252" s="86"/>
      <c r="H252" s="86"/>
      <c r="I252" s="86"/>
      <c r="J252" s="86"/>
      <c r="K252" s="117" t="str">
        <f aca="false">IF(AND(A252&lt;&gt;"",E252=CONSULTA_UNIDADE!$B$4),MAX($K$1:$K$251)+1,"")</f>
        <v/>
      </c>
      <c r="L252" s="86"/>
      <c r="M252" s="86"/>
      <c r="N252" s="86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customFormat="false" ht="16.5" hidden="false" customHeight="true" outlineLevel="0" collapsed="false">
      <c r="A253" s="86"/>
      <c r="B253" s="88"/>
      <c r="C253" s="86"/>
      <c r="D253" s="87" t="str">
        <f aca="false">IF(E253="","",IFERROR(INDEX(CADASTRO_VIVO_3CRE!$B$2:$B$150,MATCH(E253,CADASTRO_VIVO_3CRE!$E$2:$E$150,0)),""))</f>
        <v/>
      </c>
      <c r="E253" s="86"/>
      <c r="F253" s="86"/>
      <c r="G253" s="86"/>
      <c r="H253" s="86"/>
      <c r="I253" s="86"/>
      <c r="J253" s="86"/>
      <c r="K253" s="117" t="str">
        <f aca="false">IF(AND(A253&lt;&gt;"",E253=CONSULTA_UNIDADE!$B$4),MAX($K$1:$K$252)+1,"")</f>
        <v/>
      </c>
      <c r="L253" s="86"/>
      <c r="M253" s="86"/>
      <c r="N253" s="86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customFormat="false" ht="16.5" hidden="false" customHeight="true" outlineLevel="0" collapsed="false">
      <c r="A254" s="86"/>
      <c r="B254" s="88"/>
      <c r="C254" s="86"/>
      <c r="D254" s="87" t="str">
        <f aca="false">IF(E254="","",IFERROR(INDEX(CADASTRO_VIVO_3CRE!$B$2:$B$150,MATCH(E254,CADASTRO_VIVO_3CRE!$E$2:$E$150,0)),""))</f>
        <v/>
      </c>
      <c r="E254" s="86"/>
      <c r="F254" s="86"/>
      <c r="G254" s="86"/>
      <c r="H254" s="86"/>
      <c r="I254" s="86"/>
      <c r="J254" s="86"/>
      <c r="K254" s="117" t="str">
        <f aca="false">IF(AND(A254&lt;&gt;"",E254=CONSULTA_UNIDADE!$B$4),MAX($K$1:$K$253)+1,"")</f>
        <v/>
      </c>
      <c r="L254" s="86"/>
      <c r="M254" s="86"/>
      <c r="N254" s="86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customFormat="false" ht="16.5" hidden="false" customHeight="true" outlineLevel="0" collapsed="false">
      <c r="A255" s="86"/>
      <c r="B255" s="88"/>
      <c r="C255" s="86"/>
      <c r="D255" s="87" t="str">
        <f aca="false">IF(E255="","",IFERROR(INDEX(CADASTRO_VIVO_3CRE!$B$2:$B$150,MATCH(E255,CADASTRO_VIVO_3CRE!$E$2:$E$150,0)),""))</f>
        <v/>
      </c>
      <c r="E255" s="86"/>
      <c r="F255" s="86"/>
      <c r="G255" s="86"/>
      <c r="H255" s="86"/>
      <c r="I255" s="86"/>
      <c r="J255" s="86"/>
      <c r="K255" s="117" t="str">
        <f aca="false">IF(AND(A255&lt;&gt;"",E255=CONSULTA_UNIDADE!$B$4),MAX($K$1:$K$254)+1,"")</f>
        <v/>
      </c>
      <c r="L255" s="86"/>
      <c r="M255" s="86"/>
      <c r="N255" s="86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customFormat="false" ht="16.5" hidden="false" customHeight="true" outlineLevel="0" collapsed="false">
      <c r="A256" s="86"/>
      <c r="B256" s="88"/>
      <c r="C256" s="86"/>
      <c r="D256" s="87" t="str">
        <f aca="false">IF(E256="","",IFERROR(INDEX(CADASTRO_VIVO_3CRE!$B$2:$B$150,MATCH(E256,CADASTRO_VIVO_3CRE!$E$2:$E$150,0)),""))</f>
        <v/>
      </c>
      <c r="E256" s="86"/>
      <c r="F256" s="86"/>
      <c r="G256" s="86"/>
      <c r="H256" s="86"/>
      <c r="I256" s="86"/>
      <c r="J256" s="86"/>
      <c r="K256" s="117" t="str">
        <f aca="false">IF(AND(A256&lt;&gt;"",E256=CONSULTA_UNIDADE!$B$4),MAX($K$1:$K$255)+1,"")</f>
        <v/>
      </c>
      <c r="L256" s="86"/>
      <c r="M256" s="86"/>
      <c r="N256" s="86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customFormat="false" ht="16.5" hidden="false" customHeight="true" outlineLevel="0" collapsed="false">
      <c r="A257" s="86"/>
      <c r="B257" s="88"/>
      <c r="C257" s="86"/>
      <c r="D257" s="87" t="str">
        <f aca="false">IF(E257="","",IFERROR(INDEX(CADASTRO_VIVO_3CRE!$B$2:$B$150,MATCH(E257,CADASTRO_VIVO_3CRE!$E$2:$E$150,0)),""))</f>
        <v/>
      </c>
      <c r="E257" s="86"/>
      <c r="F257" s="86"/>
      <c r="G257" s="86"/>
      <c r="H257" s="86"/>
      <c r="I257" s="86"/>
      <c r="J257" s="86"/>
      <c r="K257" s="117" t="str">
        <f aca="false">IF(AND(A257&lt;&gt;"",E257=CONSULTA_UNIDADE!$B$4),MAX($K$1:$K$256)+1,"")</f>
        <v/>
      </c>
      <c r="L257" s="86"/>
      <c r="M257" s="86"/>
      <c r="N257" s="86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customFormat="false" ht="16.5" hidden="false" customHeight="true" outlineLevel="0" collapsed="false">
      <c r="A258" s="86"/>
      <c r="B258" s="88"/>
      <c r="C258" s="86"/>
      <c r="D258" s="87" t="str">
        <f aca="false">IF(E258="","",IFERROR(INDEX(CADASTRO_VIVO_3CRE!$B$2:$B$150,MATCH(E258,CADASTRO_VIVO_3CRE!$E$2:$E$150,0)),""))</f>
        <v/>
      </c>
      <c r="E258" s="86"/>
      <c r="F258" s="86"/>
      <c r="G258" s="86"/>
      <c r="H258" s="86"/>
      <c r="I258" s="86"/>
      <c r="J258" s="86"/>
      <c r="K258" s="117" t="str">
        <f aca="false">IF(AND(A258&lt;&gt;"",E258=CONSULTA_UNIDADE!$B$4),MAX($K$1:$K$257)+1,"")</f>
        <v/>
      </c>
      <c r="L258" s="86"/>
      <c r="M258" s="86"/>
      <c r="N258" s="86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customFormat="false" ht="16.5" hidden="false" customHeight="true" outlineLevel="0" collapsed="false">
      <c r="A259" s="86"/>
      <c r="B259" s="88"/>
      <c r="C259" s="86"/>
      <c r="D259" s="87" t="str">
        <f aca="false">IF(E259="","",IFERROR(INDEX(CADASTRO_VIVO_3CRE!$B$2:$B$150,MATCH(E259,CADASTRO_VIVO_3CRE!$E$2:$E$150,0)),""))</f>
        <v/>
      </c>
      <c r="E259" s="86"/>
      <c r="F259" s="86"/>
      <c r="G259" s="86"/>
      <c r="H259" s="86"/>
      <c r="I259" s="86"/>
      <c r="J259" s="86"/>
      <c r="K259" s="117" t="str">
        <f aca="false">IF(AND(A259&lt;&gt;"",E259=CONSULTA_UNIDADE!$B$4),MAX($K$1:$K$258)+1,"")</f>
        <v/>
      </c>
      <c r="L259" s="86"/>
      <c r="M259" s="86"/>
      <c r="N259" s="86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customFormat="false" ht="16.5" hidden="false" customHeight="true" outlineLevel="0" collapsed="false">
      <c r="A260" s="86"/>
      <c r="B260" s="88"/>
      <c r="C260" s="86"/>
      <c r="D260" s="87" t="str">
        <f aca="false">IF(E260="","",IFERROR(INDEX(CADASTRO_VIVO_3CRE!$B$2:$B$150,MATCH(E260,CADASTRO_VIVO_3CRE!$E$2:$E$150,0)),""))</f>
        <v/>
      </c>
      <c r="E260" s="86"/>
      <c r="F260" s="86"/>
      <c r="G260" s="86"/>
      <c r="H260" s="86"/>
      <c r="I260" s="86"/>
      <c r="J260" s="86"/>
      <c r="K260" s="117" t="str">
        <f aca="false">IF(AND(A260&lt;&gt;"",E260=CONSULTA_UNIDADE!$B$4),MAX($K$1:$K$259)+1,"")</f>
        <v/>
      </c>
      <c r="L260" s="86"/>
      <c r="M260" s="86"/>
      <c r="N260" s="86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customFormat="false" ht="16.5" hidden="false" customHeight="true" outlineLevel="0" collapsed="false">
      <c r="A261" s="86"/>
      <c r="B261" s="88"/>
      <c r="C261" s="86"/>
      <c r="D261" s="87" t="str">
        <f aca="false">IF(E261="","",IFERROR(INDEX(CADASTRO_VIVO_3CRE!$B$2:$B$150,MATCH(E261,CADASTRO_VIVO_3CRE!$E$2:$E$150,0)),""))</f>
        <v/>
      </c>
      <c r="E261" s="86"/>
      <c r="F261" s="86"/>
      <c r="G261" s="86"/>
      <c r="H261" s="86"/>
      <c r="I261" s="86"/>
      <c r="J261" s="86"/>
      <c r="K261" s="117" t="str">
        <f aca="false">IF(AND(A261&lt;&gt;"",E261=CONSULTA_UNIDADE!$B$4),MAX($K$1:$K$260)+1,"")</f>
        <v/>
      </c>
      <c r="L261" s="86"/>
      <c r="M261" s="86"/>
      <c r="N261" s="86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customFormat="false" ht="16.5" hidden="false" customHeight="true" outlineLevel="0" collapsed="false">
      <c r="A262" s="86"/>
      <c r="B262" s="88"/>
      <c r="C262" s="86"/>
      <c r="D262" s="87" t="str">
        <f aca="false">IF(E262="","",IFERROR(INDEX(CADASTRO_VIVO_3CRE!$B$2:$B$150,MATCH(E262,CADASTRO_VIVO_3CRE!$E$2:$E$150,0)),""))</f>
        <v/>
      </c>
      <c r="E262" s="86"/>
      <c r="F262" s="86"/>
      <c r="G262" s="86"/>
      <c r="H262" s="86"/>
      <c r="I262" s="86"/>
      <c r="J262" s="86"/>
      <c r="K262" s="117" t="str">
        <f aca="false">IF(AND(A262&lt;&gt;"",E262=CONSULTA_UNIDADE!$B$4),MAX($K$1:$K$261)+1,"")</f>
        <v/>
      </c>
      <c r="L262" s="86"/>
      <c r="M262" s="86"/>
      <c r="N262" s="86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customFormat="false" ht="16.5" hidden="false" customHeight="true" outlineLevel="0" collapsed="false">
      <c r="A263" s="86"/>
      <c r="B263" s="88"/>
      <c r="C263" s="86"/>
      <c r="D263" s="87" t="str">
        <f aca="false">IF(E263="","",IFERROR(INDEX(CADASTRO_VIVO_3CRE!$B$2:$B$150,MATCH(E263,CADASTRO_VIVO_3CRE!$E$2:$E$150,0)),""))</f>
        <v/>
      </c>
      <c r="E263" s="86"/>
      <c r="F263" s="86"/>
      <c r="G263" s="86"/>
      <c r="H263" s="86"/>
      <c r="I263" s="86"/>
      <c r="J263" s="86"/>
      <c r="K263" s="117" t="str">
        <f aca="false">IF(AND(A263&lt;&gt;"",E263=CONSULTA_UNIDADE!$B$4),MAX($K$1:$K$262)+1,"")</f>
        <v/>
      </c>
      <c r="L263" s="86"/>
      <c r="M263" s="86"/>
      <c r="N263" s="86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customFormat="false" ht="16.5" hidden="false" customHeight="true" outlineLevel="0" collapsed="false">
      <c r="A264" s="86"/>
      <c r="B264" s="88"/>
      <c r="C264" s="86"/>
      <c r="D264" s="87" t="str">
        <f aca="false">IF(E264="","",IFERROR(INDEX(CADASTRO_VIVO_3CRE!$B$2:$B$150,MATCH(E264,CADASTRO_VIVO_3CRE!$E$2:$E$150,0)),""))</f>
        <v/>
      </c>
      <c r="E264" s="86"/>
      <c r="F264" s="86"/>
      <c r="G264" s="86"/>
      <c r="H264" s="86"/>
      <c r="I264" s="86"/>
      <c r="J264" s="86"/>
      <c r="K264" s="117" t="str">
        <f aca="false">IF(AND(A264&lt;&gt;"",E264=CONSULTA_UNIDADE!$B$4),MAX($K$1:$K$263)+1,"")</f>
        <v/>
      </c>
      <c r="L264" s="86"/>
      <c r="M264" s="86"/>
      <c r="N264" s="86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customFormat="false" ht="16.5" hidden="false" customHeight="true" outlineLevel="0" collapsed="false">
      <c r="A265" s="86"/>
      <c r="B265" s="88"/>
      <c r="C265" s="86"/>
      <c r="D265" s="87" t="str">
        <f aca="false">IF(E265="","",IFERROR(INDEX(CADASTRO_VIVO_3CRE!$B$2:$B$150,MATCH(E265,CADASTRO_VIVO_3CRE!$E$2:$E$150,0)),""))</f>
        <v/>
      </c>
      <c r="E265" s="86"/>
      <c r="F265" s="86"/>
      <c r="G265" s="86"/>
      <c r="H265" s="86"/>
      <c r="I265" s="86"/>
      <c r="J265" s="86"/>
      <c r="K265" s="117" t="str">
        <f aca="false">IF(AND(A265&lt;&gt;"",E265=CONSULTA_UNIDADE!$B$4),MAX($K$1:$K$264)+1,"")</f>
        <v/>
      </c>
      <c r="L265" s="86"/>
      <c r="M265" s="86"/>
      <c r="N265" s="86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customFormat="false" ht="16.5" hidden="false" customHeight="true" outlineLevel="0" collapsed="false">
      <c r="A266" s="86"/>
      <c r="B266" s="88"/>
      <c r="C266" s="86"/>
      <c r="D266" s="87" t="str">
        <f aca="false">IF(E266="","",IFERROR(INDEX(CADASTRO_VIVO_3CRE!$B$2:$B$150,MATCH(E266,CADASTRO_VIVO_3CRE!$E$2:$E$150,0)),""))</f>
        <v/>
      </c>
      <c r="E266" s="86"/>
      <c r="F266" s="86"/>
      <c r="G266" s="86"/>
      <c r="H266" s="86"/>
      <c r="I266" s="86"/>
      <c r="J266" s="86"/>
      <c r="K266" s="117" t="str">
        <f aca="false">IF(AND(A266&lt;&gt;"",E266=CONSULTA_UNIDADE!$B$4),MAX($K$1:$K$265)+1,"")</f>
        <v/>
      </c>
      <c r="L266" s="86"/>
      <c r="M266" s="86"/>
      <c r="N266" s="86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customFormat="false" ht="16.5" hidden="false" customHeight="true" outlineLevel="0" collapsed="false">
      <c r="A267" s="86"/>
      <c r="B267" s="88"/>
      <c r="C267" s="86"/>
      <c r="D267" s="87" t="str">
        <f aca="false">IF(E267="","",IFERROR(INDEX(CADASTRO_VIVO_3CRE!$B$2:$B$150,MATCH(E267,CADASTRO_VIVO_3CRE!$E$2:$E$150,0)),""))</f>
        <v/>
      </c>
      <c r="E267" s="86"/>
      <c r="F267" s="86"/>
      <c r="G267" s="86"/>
      <c r="H267" s="86"/>
      <c r="I267" s="86"/>
      <c r="J267" s="86"/>
      <c r="K267" s="117" t="str">
        <f aca="false">IF(AND(A267&lt;&gt;"",E267=CONSULTA_UNIDADE!$B$4),MAX($K$1:$K$266)+1,"")</f>
        <v/>
      </c>
      <c r="L267" s="86"/>
      <c r="M267" s="86"/>
      <c r="N267" s="86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customFormat="false" ht="16.5" hidden="false" customHeight="true" outlineLevel="0" collapsed="false">
      <c r="A268" s="86"/>
      <c r="B268" s="88"/>
      <c r="C268" s="86"/>
      <c r="D268" s="87" t="str">
        <f aca="false">IF(E268="","",IFERROR(INDEX(CADASTRO_VIVO_3CRE!$B$2:$B$150,MATCH(E268,CADASTRO_VIVO_3CRE!$E$2:$E$150,0)),""))</f>
        <v/>
      </c>
      <c r="E268" s="86"/>
      <c r="F268" s="86"/>
      <c r="G268" s="86"/>
      <c r="H268" s="86"/>
      <c r="I268" s="86"/>
      <c r="J268" s="86"/>
      <c r="K268" s="117" t="str">
        <f aca="false">IF(AND(A268&lt;&gt;"",E268=CONSULTA_UNIDADE!$B$4),MAX($K$1:$K$267)+1,"")</f>
        <v/>
      </c>
      <c r="L268" s="86"/>
      <c r="M268" s="86"/>
      <c r="N268" s="86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customFormat="false" ht="16.5" hidden="false" customHeight="true" outlineLevel="0" collapsed="false">
      <c r="A269" s="86"/>
      <c r="B269" s="88"/>
      <c r="C269" s="86"/>
      <c r="D269" s="87" t="str">
        <f aca="false">IF(E269="","",IFERROR(INDEX(CADASTRO_VIVO_3CRE!$B$2:$B$150,MATCH(E269,CADASTRO_VIVO_3CRE!$E$2:$E$150,0)),""))</f>
        <v/>
      </c>
      <c r="E269" s="86"/>
      <c r="F269" s="86"/>
      <c r="G269" s="86"/>
      <c r="H269" s="86"/>
      <c r="I269" s="86"/>
      <c r="J269" s="86"/>
      <c r="K269" s="117" t="str">
        <f aca="false">IF(AND(A269&lt;&gt;"",E269=CONSULTA_UNIDADE!$B$4),MAX($K$1:$K$268)+1,"")</f>
        <v/>
      </c>
      <c r="L269" s="86"/>
      <c r="M269" s="86"/>
      <c r="N269" s="86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customFormat="false" ht="16.5" hidden="false" customHeight="true" outlineLevel="0" collapsed="false">
      <c r="A270" s="86"/>
      <c r="B270" s="88"/>
      <c r="C270" s="86"/>
      <c r="D270" s="87" t="str">
        <f aca="false">IF(E270="","",IFERROR(INDEX(CADASTRO_VIVO_3CRE!$B$2:$B$150,MATCH(E270,CADASTRO_VIVO_3CRE!$E$2:$E$150,0)),""))</f>
        <v/>
      </c>
      <c r="E270" s="86"/>
      <c r="F270" s="86"/>
      <c r="G270" s="86"/>
      <c r="H270" s="86"/>
      <c r="I270" s="86"/>
      <c r="J270" s="86"/>
      <c r="K270" s="117" t="str">
        <f aca="false">IF(AND(A270&lt;&gt;"",E270=CONSULTA_UNIDADE!$B$4),MAX($K$1:$K$269)+1,"")</f>
        <v/>
      </c>
      <c r="L270" s="86"/>
      <c r="M270" s="86"/>
      <c r="N270" s="86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customFormat="false" ht="16.5" hidden="false" customHeight="true" outlineLevel="0" collapsed="false">
      <c r="A271" s="86"/>
      <c r="B271" s="88"/>
      <c r="C271" s="86"/>
      <c r="D271" s="87" t="str">
        <f aca="false">IF(E271="","",IFERROR(INDEX(CADASTRO_VIVO_3CRE!$B$2:$B$150,MATCH(E271,CADASTRO_VIVO_3CRE!$E$2:$E$150,0)),""))</f>
        <v/>
      </c>
      <c r="E271" s="86"/>
      <c r="F271" s="86"/>
      <c r="G271" s="86"/>
      <c r="H271" s="86"/>
      <c r="I271" s="86"/>
      <c r="J271" s="86"/>
      <c r="K271" s="117" t="str">
        <f aca="false">IF(AND(A271&lt;&gt;"",E271=CONSULTA_UNIDADE!$B$4),MAX($K$1:$K$270)+1,"")</f>
        <v/>
      </c>
      <c r="L271" s="86"/>
      <c r="M271" s="86"/>
      <c r="N271" s="86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customFormat="false" ht="16.5" hidden="false" customHeight="true" outlineLevel="0" collapsed="false">
      <c r="A272" s="86"/>
      <c r="B272" s="88"/>
      <c r="C272" s="86"/>
      <c r="D272" s="87" t="str">
        <f aca="false">IF(E272="","",IFERROR(INDEX(CADASTRO_VIVO_3CRE!$B$2:$B$150,MATCH(E272,CADASTRO_VIVO_3CRE!$E$2:$E$150,0)),""))</f>
        <v/>
      </c>
      <c r="E272" s="86"/>
      <c r="F272" s="86"/>
      <c r="G272" s="86"/>
      <c r="H272" s="86"/>
      <c r="I272" s="86"/>
      <c r="J272" s="86"/>
      <c r="K272" s="117" t="str">
        <f aca="false">IF(AND(A272&lt;&gt;"",E272=CONSULTA_UNIDADE!$B$4),MAX($K$1:$K$271)+1,"")</f>
        <v/>
      </c>
      <c r="L272" s="86"/>
      <c r="M272" s="86"/>
      <c r="N272" s="86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customFormat="false" ht="16.5" hidden="false" customHeight="true" outlineLevel="0" collapsed="false">
      <c r="A273" s="86"/>
      <c r="B273" s="88"/>
      <c r="C273" s="86"/>
      <c r="D273" s="87" t="str">
        <f aca="false">IF(E273="","",IFERROR(INDEX(CADASTRO_VIVO_3CRE!$B$2:$B$150,MATCH(E273,CADASTRO_VIVO_3CRE!$E$2:$E$150,0)),""))</f>
        <v/>
      </c>
      <c r="E273" s="86"/>
      <c r="F273" s="86"/>
      <c r="G273" s="86"/>
      <c r="H273" s="86"/>
      <c r="I273" s="86"/>
      <c r="J273" s="86"/>
      <c r="K273" s="117" t="str">
        <f aca="false">IF(AND(A273&lt;&gt;"",E273=CONSULTA_UNIDADE!$B$4),MAX($K$1:$K$272)+1,"")</f>
        <v/>
      </c>
      <c r="L273" s="86"/>
      <c r="M273" s="86"/>
      <c r="N273" s="86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customFormat="false" ht="16.5" hidden="false" customHeight="true" outlineLevel="0" collapsed="false">
      <c r="A274" s="86"/>
      <c r="B274" s="88"/>
      <c r="C274" s="86"/>
      <c r="D274" s="87" t="str">
        <f aca="false">IF(E274="","",IFERROR(INDEX(CADASTRO_VIVO_3CRE!$B$2:$B$150,MATCH(E274,CADASTRO_VIVO_3CRE!$E$2:$E$150,0)),""))</f>
        <v/>
      </c>
      <c r="E274" s="86"/>
      <c r="F274" s="86"/>
      <c r="G274" s="86"/>
      <c r="H274" s="86"/>
      <c r="I274" s="86"/>
      <c r="J274" s="86"/>
      <c r="K274" s="117" t="str">
        <f aca="false">IF(AND(A274&lt;&gt;"",E274=CONSULTA_UNIDADE!$B$4),MAX($K$1:$K$273)+1,"")</f>
        <v/>
      </c>
      <c r="L274" s="86"/>
      <c r="M274" s="86"/>
      <c r="N274" s="86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customFormat="false" ht="16.5" hidden="false" customHeight="true" outlineLevel="0" collapsed="false">
      <c r="A275" s="86"/>
      <c r="B275" s="88"/>
      <c r="C275" s="86"/>
      <c r="D275" s="87" t="str">
        <f aca="false">IF(E275="","",IFERROR(INDEX(CADASTRO_VIVO_3CRE!$B$2:$B$150,MATCH(E275,CADASTRO_VIVO_3CRE!$E$2:$E$150,0)),""))</f>
        <v/>
      </c>
      <c r="E275" s="86"/>
      <c r="F275" s="86"/>
      <c r="G275" s="86"/>
      <c r="H275" s="86"/>
      <c r="I275" s="86"/>
      <c r="J275" s="86"/>
      <c r="K275" s="117" t="str">
        <f aca="false">IF(AND(A275&lt;&gt;"",E275=CONSULTA_UNIDADE!$B$4),MAX($K$1:$K$274)+1,"")</f>
        <v/>
      </c>
      <c r="L275" s="86"/>
      <c r="M275" s="86"/>
      <c r="N275" s="86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customFormat="false" ht="16.5" hidden="false" customHeight="true" outlineLevel="0" collapsed="false">
      <c r="A276" s="86"/>
      <c r="B276" s="88"/>
      <c r="C276" s="86"/>
      <c r="D276" s="87" t="str">
        <f aca="false">IF(E276="","",IFERROR(INDEX(CADASTRO_VIVO_3CRE!$B$2:$B$150,MATCH(E276,CADASTRO_VIVO_3CRE!$E$2:$E$150,0)),""))</f>
        <v/>
      </c>
      <c r="E276" s="86"/>
      <c r="F276" s="86"/>
      <c r="G276" s="86"/>
      <c r="H276" s="86"/>
      <c r="I276" s="86"/>
      <c r="J276" s="86"/>
      <c r="K276" s="117" t="str">
        <f aca="false">IF(AND(A276&lt;&gt;"",E276=CONSULTA_UNIDADE!$B$4),MAX($K$1:$K$275)+1,"")</f>
        <v/>
      </c>
      <c r="L276" s="86"/>
      <c r="M276" s="86"/>
      <c r="N276" s="86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customFormat="false" ht="16.5" hidden="false" customHeight="true" outlineLevel="0" collapsed="false">
      <c r="A277" s="86"/>
      <c r="B277" s="88"/>
      <c r="C277" s="86"/>
      <c r="D277" s="87" t="str">
        <f aca="false">IF(E277="","",IFERROR(INDEX(CADASTRO_VIVO_3CRE!$B$2:$B$150,MATCH(E277,CADASTRO_VIVO_3CRE!$E$2:$E$150,0)),""))</f>
        <v/>
      </c>
      <c r="E277" s="86"/>
      <c r="F277" s="86"/>
      <c r="G277" s="86"/>
      <c r="H277" s="86"/>
      <c r="I277" s="86"/>
      <c r="J277" s="86"/>
      <c r="K277" s="117" t="str">
        <f aca="false">IF(AND(A277&lt;&gt;"",E277=CONSULTA_UNIDADE!$B$4),MAX($K$1:$K$276)+1,"")</f>
        <v/>
      </c>
      <c r="L277" s="86"/>
      <c r="M277" s="86"/>
      <c r="N277" s="86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customFormat="false" ht="16.5" hidden="false" customHeight="true" outlineLevel="0" collapsed="false">
      <c r="A278" s="86"/>
      <c r="B278" s="88"/>
      <c r="C278" s="86"/>
      <c r="D278" s="87" t="str">
        <f aca="false">IF(E278="","",IFERROR(INDEX(CADASTRO_VIVO_3CRE!$B$2:$B$150,MATCH(E278,CADASTRO_VIVO_3CRE!$E$2:$E$150,0)),""))</f>
        <v/>
      </c>
      <c r="E278" s="86"/>
      <c r="F278" s="86"/>
      <c r="G278" s="86"/>
      <c r="H278" s="86"/>
      <c r="I278" s="86"/>
      <c r="J278" s="86"/>
      <c r="K278" s="117" t="str">
        <f aca="false">IF(AND(A278&lt;&gt;"",E278=CONSULTA_UNIDADE!$B$4),MAX($K$1:$K$277)+1,"")</f>
        <v/>
      </c>
      <c r="L278" s="86"/>
      <c r="M278" s="86"/>
      <c r="N278" s="86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customFormat="false" ht="16.5" hidden="false" customHeight="true" outlineLevel="0" collapsed="false">
      <c r="A279" s="86"/>
      <c r="B279" s="88"/>
      <c r="C279" s="86"/>
      <c r="D279" s="87" t="str">
        <f aca="false">IF(E279="","",IFERROR(INDEX(CADASTRO_VIVO_3CRE!$B$2:$B$150,MATCH(E279,CADASTRO_VIVO_3CRE!$E$2:$E$150,0)),""))</f>
        <v/>
      </c>
      <c r="E279" s="86"/>
      <c r="F279" s="86"/>
      <c r="G279" s="86"/>
      <c r="H279" s="86"/>
      <c r="I279" s="86"/>
      <c r="J279" s="86"/>
      <c r="K279" s="117" t="str">
        <f aca="false">IF(AND(A279&lt;&gt;"",E279=CONSULTA_UNIDADE!$B$4),MAX($K$1:$K$278)+1,"")</f>
        <v/>
      </c>
      <c r="L279" s="86"/>
      <c r="M279" s="86"/>
      <c r="N279" s="86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customFormat="false" ht="16.5" hidden="false" customHeight="true" outlineLevel="0" collapsed="false">
      <c r="A280" s="86"/>
      <c r="B280" s="88"/>
      <c r="C280" s="86"/>
      <c r="D280" s="87" t="str">
        <f aca="false">IF(E280="","",IFERROR(INDEX(CADASTRO_VIVO_3CRE!$B$2:$B$150,MATCH(E280,CADASTRO_VIVO_3CRE!$E$2:$E$150,0)),""))</f>
        <v/>
      </c>
      <c r="E280" s="86"/>
      <c r="F280" s="86"/>
      <c r="G280" s="86"/>
      <c r="H280" s="86"/>
      <c r="I280" s="86"/>
      <c r="J280" s="86"/>
      <c r="K280" s="117" t="str">
        <f aca="false">IF(AND(A280&lt;&gt;"",E280=CONSULTA_UNIDADE!$B$4),MAX($K$1:$K$279)+1,"")</f>
        <v/>
      </c>
      <c r="L280" s="86"/>
      <c r="M280" s="86"/>
      <c r="N280" s="86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customFormat="false" ht="16.5" hidden="false" customHeight="true" outlineLevel="0" collapsed="false">
      <c r="A281" s="86"/>
      <c r="B281" s="88"/>
      <c r="C281" s="86"/>
      <c r="D281" s="87" t="str">
        <f aca="false">IF(E281="","",IFERROR(INDEX(CADASTRO_VIVO_3CRE!$B$2:$B$150,MATCH(E281,CADASTRO_VIVO_3CRE!$E$2:$E$150,0)),""))</f>
        <v/>
      </c>
      <c r="E281" s="86"/>
      <c r="F281" s="86"/>
      <c r="G281" s="86"/>
      <c r="H281" s="86"/>
      <c r="I281" s="86"/>
      <c r="J281" s="86"/>
      <c r="K281" s="117" t="str">
        <f aca="false">IF(AND(A281&lt;&gt;"",E281=CONSULTA_UNIDADE!$B$4),MAX($K$1:$K$280)+1,"")</f>
        <v/>
      </c>
      <c r="L281" s="86"/>
      <c r="M281" s="86"/>
      <c r="N281" s="86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customFormat="false" ht="16.5" hidden="false" customHeight="true" outlineLevel="0" collapsed="false">
      <c r="A282" s="86"/>
      <c r="B282" s="88"/>
      <c r="C282" s="86"/>
      <c r="D282" s="87" t="str">
        <f aca="false">IF(E282="","",IFERROR(INDEX(CADASTRO_VIVO_3CRE!$B$2:$B$150,MATCH(E282,CADASTRO_VIVO_3CRE!$E$2:$E$150,0)),""))</f>
        <v/>
      </c>
      <c r="E282" s="86"/>
      <c r="F282" s="86"/>
      <c r="G282" s="86"/>
      <c r="H282" s="86"/>
      <c r="I282" s="86"/>
      <c r="J282" s="86"/>
      <c r="K282" s="117" t="str">
        <f aca="false">IF(AND(A282&lt;&gt;"",E282=CONSULTA_UNIDADE!$B$4),MAX($K$1:$K$281)+1,"")</f>
        <v/>
      </c>
      <c r="L282" s="86"/>
      <c r="M282" s="86"/>
      <c r="N282" s="86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customFormat="false" ht="16.5" hidden="false" customHeight="true" outlineLevel="0" collapsed="false">
      <c r="A283" s="86"/>
      <c r="B283" s="88"/>
      <c r="C283" s="86"/>
      <c r="D283" s="87" t="str">
        <f aca="false">IF(E283="","",IFERROR(INDEX(CADASTRO_VIVO_3CRE!$B$2:$B$150,MATCH(E283,CADASTRO_VIVO_3CRE!$E$2:$E$150,0)),""))</f>
        <v/>
      </c>
      <c r="E283" s="86"/>
      <c r="F283" s="86"/>
      <c r="G283" s="86"/>
      <c r="H283" s="86"/>
      <c r="I283" s="86"/>
      <c r="J283" s="86"/>
      <c r="K283" s="117" t="str">
        <f aca="false">IF(AND(A283&lt;&gt;"",E283=CONSULTA_UNIDADE!$B$4),MAX($K$1:$K$282)+1,"")</f>
        <v/>
      </c>
      <c r="L283" s="86"/>
      <c r="M283" s="86"/>
      <c r="N283" s="86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customFormat="false" ht="16.5" hidden="false" customHeight="true" outlineLevel="0" collapsed="false">
      <c r="A284" s="86"/>
      <c r="B284" s="88"/>
      <c r="C284" s="86"/>
      <c r="D284" s="87" t="str">
        <f aca="false">IF(E284="","",IFERROR(INDEX(CADASTRO_VIVO_3CRE!$B$2:$B$150,MATCH(E284,CADASTRO_VIVO_3CRE!$E$2:$E$150,0)),""))</f>
        <v/>
      </c>
      <c r="E284" s="86"/>
      <c r="F284" s="86"/>
      <c r="G284" s="86"/>
      <c r="H284" s="86"/>
      <c r="I284" s="86"/>
      <c r="J284" s="86"/>
      <c r="K284" s="117" t="str">
        <f aca="false">IF(AND(A284&lt;&gt;"",E284=CONSULTA_UNIDADE!$B$4),MAX($K$1:$K$283)+1,"")</f>
        <v/>
      </c>
      <c r="L284" s="86"/>
      <c r="M284" s="86"/>
      <c r="N284" s="86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customFormat="false" ht="16.5" hidden="false" customHeight="true" outlineLevel="0" collapsed="false">
      <c r="A285" s="86"/>
      <c r="B285" s="88"/>
      <c r="C285" s="86"/>
      <c r="D285" s="87" t="str">
        <f aca="false">IF(E285="","",IFERROR(INDEX(CADASTRO_VIVO_3CRE!$B$2:$B$150,MATCH(E285,CADASTRO_VIVO_3CRE!$E$2:$E$150,0)),""))</f>
        <v/>
      </c>
      <c r="E285" s="86"/>
      <c r="F285" s="86"/>
      <c r="G285" s="86"/>
      <c r="H285" s="86"/>
      <c r="I285" s="86"/>
      <c r="J285" s="86"/>
      <c r="K285" s="117" t="str">
        <f aca="false">IF(AND(A285&lt;&gt;"",E285=CONSULTA_UNIDADE!$B$4),MAX($K$1:$K$284)+1,"")</f>
        <v/>
      </c>
      <c r="L285" s="86"/>
      <c r="M285" s="86"/>
      <c r="N285" s="86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customFormat="false" ht="16.5" hidden="false" customHeight="true" outlineLevel="0" collapsed="false">
      <c r="A286" s="86"/>
      <c r="B286" s="88"/>
      <c r="C286" s="86"/>
      <c r="D286" s="87" t="str">
        <f aca="false">IF(E286="","",IFERROR(INDEX(CADASTRO_VIVO_3CRE!$B$2:$B$150,MATCH(E286,CADASTRO_VIVO_3CRE!$E$2:$E$150,0)),""))</f>
        <v/>
      </c>
      <c r="E286" s="86"/>
      <c r="F286" s="86"/>
      <c r="G286" s="86"/>
      <c r="H286" s="86"/>
      <c r="I286" s="86"/>
      <c r="J286" s="86"/>
      <c r="K286" s="117" t="str">
        <f aca="false">IF(AND(A286&lt;&gt;"",E286=CONSULTA_UNIDADE!$B$4),MAX($K$1:$K$285)+1,"")</f>
        <v/>
      </c>
      <c r="L286" s="86"/>
      <c r="M286" s="86"/>
      <c r="N286" s="86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customFormat="false" ht="16.5" hidden="false" customHeight="true" outlineLevel="0" collapsed="false">
      <c r="A287" s="86"/>
      <c r="B287" s="88"/>
      <c r="C287" s="86"/>
      <c r="D287" s="87" t="str">
        <f aca="false">IF(E287="","",IFERROR(INDEX(CADASTRO_VIVO_3CRE!$B$2:$B$150,MATCH(E287,CADASTRO_VIVO_3CRE!$E$2:$E$150,0)),""))</f>
        <v/>
      </c>
      <c r="E287" s="86"/>
      <c r="F287" s="86"/>
      <c r="G287" s="86"/>
      <c r="H287" s="86"/>
      <c r="I287" s="86"/>
      <c r="J287" s="86"/>
      <c r="K287" s="117" t="str">
        <f aca="false">IF(AND(A287&lt;&gt;"",E287=CONSULTA_UNIDADE!$B$4),MAX($K$1:$K$286)+1,"")</f>
        <v/>
      </c>
      <c r="L287" s="86"/>
      <c r="M287" s="86"/>
      <c r="N287" s="86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customFormat="false" ht="16.5" hidden="false" customHeight="true" outlineLevel="0" collapsed="false">
      <c r="A288" s="86"/>
      <c r="B288" s="88"/>
      <c r="C288" s="86"/>
      <c r="D288" s="87" t="str">
        <f aca="false">IF(E288="","",IFERROR(INDEX(CADASTRO_VIVO_3CRE!$B$2:$B$150,MATCH(E288,CADASTRO_VIVO_3CRE!$E$2:$E$150,0)),""))</f>
        <v/>
      </c>
      <c r="E288" s="86"/>
      <c r="F288" s="86"/>
      <c r="G288" s="86"/>
      <c r="H288" s="86"/>
      <c r="I288" s="86"/>
      <c r="J288" s="86"/>
      <c r="K288" s="117" t="str">
        <f aca="false">IF(AND(A288&lt;&gt;"",E288=CONSULTA_UNIDADE!$B$4),MAX($K$1:$K$287)+1,"")</f>
        <v/>
      </c>
      <c r="L288" s="86"/>
      <c r="M288" s="86"/>
      <c r="N288" s="86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customFormat="false" ht="16.5" hidden="false" customHeight="true" outlineLevel="0" collapsed="false">
      <c r="A289" s="86"/>
      <c r="B289" s="88"/>
      <c r="C289" s="86"/>
      <c r="D289" s="87" t="str">
        <f aca="false">IF(E289="","",IFERROR(INDEX(CADASTRO_VIVO_3CRE!$B$2:$B$150,MATCH(E289,CADASTRO_VIVO_3CRE!$E$2:$E$150,0)),""))</f>
        <v/>
      </c>
      <c r="E289" s="86"/>
      <c r="F289" s="86"/>
      <c r="G289" s="86"/>
      <c r="H289" s="86"/>
      <c r="I289" s="86"/>
      <c r="J289" s="86"/>
      <c r="K289" s="117" t="str">
        <f aca="false">IF(AND(A289&lt;&gt;"",E289=CONSULTA_UNIDADE!$B$4),MAX($K$1:$K$288)+1,"")</f>
        <v/>
      </c>
      <c r="L289" s="86"/>
      <c r="M289" s="86"/>
      <c r="N289" s="86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customFormat="false" ht="16.5" hidden="false" customHeight="true" outlineLevel="0" collapsed="false">
      <c r="A290" s="86"/>
      <c r="B290" s="88"/>
      <c r="C290" s="86"/>
      <c r="D290" s="87" t="str">
        <f aca="false">IF(E290="","",IFERROR(INDEX(CADASTRO_VIVO_3CRE!$B$2:$B$150,MATCH(E290,CADASTRO_VIVO_3CRE!$E$2:$E$150,0)),""))</f>
        <v/>
      </c>
      <c r="E290" s="86"/>
      <c r="F290" s="86"/>
      <c r="G290" s="86"/>
      <c r="H290" s="86"/>
      <c r="I290" s="86"/>
      <c r="J290" s="86"/>
      <c r="K290" s="117" t="str">
        <f aca="false">IF(AND(A290&lt;&gt;"",E290=CONSULTA_UNIDADE!$B$4),MAX($K$1:$K$289)+1,"")</f>
        <v/>
      </c>
      <c r="L290" s="86"/>
      <c r="M290" s="86"/>
      <c r="N290" s="86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customFormat="false" ht="16.5" hidden="false" customHeight="true" outlineLevel="0" collapsed="false">
      <c r="A291" s="86"/>
      <c r="B291" s="88"/>
      <c r="C291" s="86"/>
      <c r="D291" s="87" t="str">
        <f aca="false">IF(E291="","",IFERROR(INDEX(CADASTRO_VIVO_3CRE!$B$2:$B$150,MATCH(E291,CADASTRO_VIVO_3CRE!$E$2:$E$150,0)),""))</f>
        <v/>
      </c>
      <c r="E291" s="86"/>
      <c r="F291" s="86"/>
      <c r="G291" s="86"/>
      <c r="H291" s="86"/>
      <c r="I291" s="86"/>
      <c r="J291" s="86"/>
      <c r="K291" s="117" t="str">
        <f aca="false">IF(AND(A291&lt;&gt;"",E291=CONSULTA_UNIDADE!$B$4),MAX($K$1:$K$290)+1,"")</f>
        <v/>
      </c>
      <c r="L291" s="86"/>
      <c r="M291" s="86"/>
      <c r="N291" s="86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customFormat="false" ht="16.5" hidden="false" customHeight="true" outlineLevel="0" collapsed="false">
      <c r="A292" s="86"/>
      <c r="B292" s="88"/>
      <c r="C292" s="86"/>
      <c r="D292" s="87" t="str">
        <f aca="false">IF(E292="","",IFERROR(INDEX(CADASTRO_VIVO_3CRE!$B$2:$B$150,MATCH(E292,CADASTRO_VIVO_3CRE!$E$2:$E$150,0)),""))</f>
        <v/>
      </c>
      <c r="E292" s="86"/>
      <c r="F292" s="86"/>
      <c r="G292" s="86"/>
      <c r="H292" s="86"/>
      <c r="I292" s="86"/>
      <c r="J292" s="86"/>
      <c r="K292" s="117" t="str">
        <f aca="false">IF(AND(A292&lt;&gt;"",E292=CONSULTA_UNIDADE!$B$4),MAX($K$1:$K$291)+1,"")</f>
        <v/>
      </c>
      <c r="L292" s="86"/>
      <c r="M292" s="86"/>
      <c r="N292" s="86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customFormat="false" ht="16.5" hidden="false" customHeight="true" outlineLevel="0" collapsed="false">
      <c r="A293" s="86"/>
      <c r="B293" s="88"/>
      <c r="C293" s="86"/>
      <c r="D293" s="87" t="str">
        <f aca="false">IF(E293="","",IFERROR(INDEX(CADASTRO_VIVO_3CRE!$B$2:$B$150,MATCH(E293,CADASTRO_VIVO_3CRE!$E$2:$E$150,0)),""))</f>
        <v/>
      </c>
      <c r="E293" s="86"/>
      <c r="F293" s="86"/>
      <c r="G293" s="86"/>
      <c r="H293" s="86"/>
      <c r="I293" s="86"/>
      <c r="J293" s="86"/>
      <c r="K293" s="117" t="str">
        <f aca="false">IF(AND(A293&lt;&gt;"",E293=CONSULTA_UNIDADE!$B$4),MAX($K$1:$K$292)+1,"")</f>
        <v/>
      </c>
      <c r="L293" s="86"/>
      <c r="M293" s="86"/>
      <c r="N293" s="86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customFormat="false" ht="16.5" hidden="false" customHeight="true" outlineLevel="0" collapsed="false">
      <c r="A294" s="86"/>
      <c r="B294" s="88"/>
      <c r="C294" s="86"/>
      <c r="D294" s="87" t="str">
        <f aca="false">IF(E294="","",IFERROR(INDEX(CADASTRO_VIVO_3CRE!$B$2:$B$150,MATCH(E294,CADASTRO_VIVO_3CRE!$E$2:$E$150,0)),""))</f>
        <v/>
      </c>
      <c r="E294" s="86"/>
      <c r="F294" s="86"/>
      <c r="G294" s="86"/>
      <c r="H294" s="86"/>
      <c r="I294" s="86"/>
      <c r="J294" s="86"/>
      <c r="K294" s="117" t="str">
        <f aca="false">IF(AND(A294&lt;&gt;"",E294=CONSULTA_UNIDADE!$B$4),MAX($K$1:$K$293)+1,"")</f>
        <v/>
      </c>
      <c r="L294" s="86"/>
      <c r="M294" s="86"/>
      <c r="N294" s="86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customFormat="false" ht="16.5" hidden="false" customHeight="true" outlineLevel="0" collapsed="false">
      <c r="A295" s="86"/>
      <c r="B295" s="88"/>
      <c r="C295" s="86"/>
      <c r="D295" s="87" t="str">
        <f aca="false">IF(E295="","",IFERROR(INDEX(CADASTRO_VIVO_3CRE!$B$2:$B$150,MATCH(E295,CADASTRO_VIVO_3CRE!$E$2:$E$150,0)),""))</f>
        <v/>
      </c>
      <c r="E295" s="86"/>
      <c r="F295" s="86"/>
      <c r="G295" s="86"/>
      <c r="H295" s="86"/>
      <c r="I295" s="86"/>
      <c r="J295" s="86"/>
      <c r="K295" s="117" t="str">
        <f aca="false">IF(AND(A295&lt;&gt;"",E295=CONSULTA_UNIDADE!$B$4),MAX($K$1:$K$294)+1,"")</f>
        <v/>
      </c>
      <c r="L295" s="86"/>
      <c r="M295" s="86"/>
      <c r="N295" s="86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customFormat="false" ht="16.5" hidden="false" customHeight="true" outlineLevel="0" collapsed="false">
      <c r="A296" s="86"/>
      <c r="B296" s="88"/>
      <c r="C296" s="86"/>
      <c r="D296" s="87" t="str">
        <f aca="false">IF(E296="","",IFERROR(INDEX(CADASTRO_VIVO_3CRE!$B$2:$B$150,MATCH(E296,CADASTRO_VIVO_3CRE!$E$2:$E$150,0)),""))</f>
        <v/>
      </c>
      <c r="E296" s="86"/>
      <c r="F296" s="86"/>
      <c r="G296" s="86"/>
      <c r="H296" s="86"/>
      <c r="I296" s="86"/>
      <c r="J296" s="86"/>
      <c r="K296" s="117" t="str">
        <f aca="false">IF(AND(A296&lt;&gt;"",E296=CONSULTA_UNIDADE!$B$4),MAX($K$1:$K$295)+1,"")</f>
        <v/>
      </c>
      <c r="L296" s="86"/>
      <c r="M296" s="86"/>
      <c r="N296" s="86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customFormat="false" ht="16.5" hidden="false" customHeight="true" outlineLevel="0" collapsed="false">
      <c r="A297" s="86"/>
      <c r="B297" s="88"/>
      <c r="C297" s="86"/>
      <c r="D297" s="87" t="str">
        <f aca="false">IF(E297="","",IFERROR(INDEX(CADASTRO_VIVO_3CRE!$B$2:$B$150,MATCH(E297,CADASTRO_VIVO_3CRE!$E$2:$E$150,0)),""))</f>
        <v/>
      </c>
      <c r="E297" s="86"/>
      <c r="F297" s="86"/>
      <c r="G297" s="86"/>
      <c r="H297" s="86"/>
      <c r="I297" s="86"/>
      <c r="J297" s="86"/>
      <c r="K297" s="117" t="str">
        <f aca="false">IF(AND(A297&lt;&gt;"",E297=CONSULTA_UNIDADE!$B$4),MAX($K$1:$K$296)+1,"")</f>
        <v/>
      </c>
      <c r="L297" s="86"/>
      <c r="M297" s="86"/>
      <c r="N297" s="86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customFormat="false" ht="16.5" hidden="false" customHeight="true" outlineLevel="0" collapsed="false">
      <c r="A298" s="86"/>
      <c r="B298" s="88"/>
      <c r="C298" s="86"/>
      <c r="D298" s="87" t="str">
        <f aca="false">IF(E298="","",IFERROR(INDEX(CADASTRO_VIVO_3CRE!$B$2:$B$150,MATCH(E298,CADASTRO_VIVO_3CRE!$E$2:$E$150,0)),""))</f>
        <v/>
      </c>
      <c r="E298" s="86"/>
      <c r="F298" s="86"/>
      <c r="G298" s="86"/>
      <c r="H298" s="86"/>
      <c r="I298" s="86"/>
      <c r="J298" s="86"/>
      <c r="K298" s="117" t="str">
        <f aca="false">IF(AND(A298&lt;&gt;"",E298=CONSULTA_UNIDADE!$B$4),MAX($K$1:$K$297)+1,"")</f>
        <v/>
      </c>
      <c r="L298" s="86"/>
      <c r="M298" s="86"/>
      <c r="N298" s="86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customFormat="false" ht="16.5" hidden="false" customHeight="true" outlineLevel="0" collapsed="false">
      <c r="A299" s="86"/>
      <c r="B299" s="88"/>
      <c r="C299" s="86"/>
      <c r="D299" s="87" t="str">
        <f aca="false">IF(E299="","",IFERROR(INDEX(CADASTRO_VIVO_3CRE!$B$2:$B$150,MATCH(E299,CADASTRO_VIVO_3CRE!$E$2:$E$150,0)),""))</f>
        <v/>
      </c>
      <c r="E299" s="86"/>
      <c r="F299" s="86"/>
      <c r="G299" s="86"/>
      <c r="H299" s="86"/>
      <c r="I299" s="86"/>
      <c r="J299" s="86"/>
      <c r="K299" s="117" t="str">
        <f aca="false">IF(AND(A299&lt;&gt;"",E299=CONSULTA_UNIDADE!$B$4),MAX($K$1:$K$298)+1,"")</f>
        <v/>
      </c>
      <c r="L299" s="86"/>
      <c r="M299" s="86"/>
      <c r="N299" s="86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customFormat="false" ht="16.5" hidden="false" customHeight="true" outlineLevel="0" collapsed="false">
      <c r="A300" s="86"/>
      <c r="B300" s="88"/>
      <c r="C300" s="86"/>
      <c r="D300" s="87" t="str">
        <f aca="false">IF(E300="","",IFERROR(INDEX(CADASTRO_VIVO_3CRE!$B$2:$B$150,MATCH(E300,CADASTRO_VIVO_3CRE!$E$2:$E$150,0)),""))</f>
        <v/>
      </c>
      <c r="E300" s="86"/>
      <c r="F300" s="86"/>
      <c r="G300" s="86"/>
      <c r="H300" s="86"/>
      <c r="I300" s="86"/>
      <c r="J300" s="86"/>
      <c r="K300" s="117" t="str">
        <f aca="false">IF(AND(A300&lt;&gt;"",E300=CONSULTA_UNIDADE!$B$4),MAX($K$1:$K$299)+1,"")</f>
        <v/>
      </c>
      <c r="L300" s="86"/>
      <c r="M300" s="86"/>
      <c r="N300" s="86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customFormat="false" ht="16.5" hidden="false" customHeight="true" outlineLevel="0" collapsed="false">
      <c r="A301" s="86"/>
      <c r="B301" s="88"/>
      <c r="C301" s="86"/>
      <c r="D301" s="87" t="str">
        <f aca="false">IF(E301="","",IFERROR(INDEX(CADASTRO_VIVO_3CRE!$B$2:$B$150,MATCH(E301,CADASTRO_VIVO_3CRE!$E$2:$E$150,0)),""))</f>
        <v/>
      </c>
      <c r="E301" s="86"/>
      <c r="F301" s="86"/>
      <c r="G301" s="86"/>
      <c r="H301" s="86"/>
      <c r="I301" s="86"/>
      <c r="J301" s="86"/>
      <c r="K301" s="117" t="str">
        <f aca="false">IF(AND(A301&lt;&gt;"",E301=CONSULTA_UNIDADE!$B$4),MAX($K$1:$K$300)+1,"")</f>
        <v/>
      </c>
      <c r="L301" s="86"/>
      <c r="M301" s="86"/>
      <c r="N301" s="86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customFormat="false" ht="16.5" hidden="false" customHeight="true" outlineLevel="0" collapsed="false">
      <c r="A302" s="86"/>
      <c r="B302" s="88"/>
      <c r="C302" s="86"/>
      <c r="D302" s="87" t="str">
        <f aca="false">IF(E302="","",IFERROR(INDEX(CADASTRO_VIVO_3CRE!$B$2:$B$150,MATCH(E302,CADASTRO_VIVO_3CRE!$E$2:$E$150,0)),""))</f>
        <v/>
      </c>
      <c r="E302" s="86"/>
      <c r="F302" s="86"/>
      <c r="G302" s="86"/>
      <c r="H302" s="86"/>
      <c r="I302" s="86"/>
      <c r="J302" s="86"/>
      <c r="K302" s="117" t="str">
        <f aca="false">IF(AND(A302&lt;&gt;"",E302=CONSULTA_UNIDADE!$B$4),MAX($K$1:$K$301)+1,"")</f>
        <v/>
      </c>
      <c r="L302" s="86"/>
      <c r="M302" s="86"/>
      <c r="N302" s="86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customFormat="false" ht="16.5" hidden="false" customHeight="true" outlineLevel="0" collapsed="false">
      <c r="A303" s="86"/>
      <c r="B303" s="88"/>
      <c r="C303" s="86"/>
      <c r="D303" s="87" t="str">
        <f aca="false">IF(E303="","",IFERROR(INDEX(CADASTRO_VIVO_3CRE!$B$2:$B$150,MATCH(E303,CADASTRO_VIVO_3CRE!$E$2:$E$150,0)),""))</f>
        <v/>
      </c>
      <c r="E303" s="86"/>
      <c r="F303" s="86"/>
      <c r="G303" s="86"/>
      <c r="H303" s="86"/>
      <c r="I303" s="86"/>
      <c r="J303" s="86"/>
      <c r="K303" s="117" t="str">
        <f aca="false">IF(AND(A303&lt;&gt;"",E303=CONSULTA_UNIDADE!$B$4),MAX($K$1:$K$302)+1,"")</f>
        <v/>
      </c>
      <c r="L303" s="86"/>
      <c r="M303" s="86"/>
      <c r="N303" s="86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customFormat="false" ht="16.5" hidden="false" customHeight="true" outlineLevel="0" collapsed="false">
      <c r="A304" s="86"/>
      <c r="B304" s="88"/>
      <c r="C304" s="86"/>
      <c r="D304" s="87" t="str">
        <f aca="false">IF(E304="","",IFERROR(INDEX(CADASTRO_VIVO_3CRE!$B$2:$B$150,MATCH(E304,CADASTRO_VIVO_3CRE!$E$2:$E$150,0)),""))</f>
        <v/>
      </c>
      <c r="E304" s="86"/>
      <c r="F304" s="86"/>
      <c r="G304" s="86"/>
      <c r="H304" s="86"/>
      <c r="I304" s="86"/>
      <c r="J304" s="86"/>
      <c r="K304" s="117" t="str">
        <f aca="false">IF(AND(A304&lt;&gt;"",E304=CONSULTA_UNIDADE!$B$4),MAX($K$1:$K$303)+1,"")</f>
        <v/>
      </c>
      <c r="L304" s="86"/>
      <c r="M304" s="86"/>
      <c r="N304" s="86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customFormat="false" ht="16.5" hidden="false" customHeight="true" outlineLevel="0" collapsed="false">
      <c r="A305" s="86"/>
      <c r="B305" s="88"/>
      <c r="C305" s="86"/>
      <c r="D305" s="87" t="str">
        <f aca="false">IF(E305="","",IFERROR(INDEX(CADASTRO_VIVO_3CRE!$B$2:$B$150,MATCH(E305,CADASTRO_VIVO_3CRE!$E$2:$E$150,0)),""))</f>
        <v/>
      </c>
      <c r="E305" s="86"/>
      <c r="F305" s="86"/>
      <c r="G305" s="86"/>
      <c r="H305" s="86"/>
      <c r="I305" s="86"/>
      <c r="J305" s="86"/>
      <c r="K305" s="117" t="str">
        <f aca="false">IF(AND(A305&lt;&gt;"",E305=CONSULTA_UNIDADE!$B$4),MAX($K$1:$K$304)+1,"")</f>
        <v/>
      </c>
      <c r="L305" s="86"/>
      <c r="M305" s="86"/>
      <c r="N305" s="86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customFormat="false" ht="16.5" hidden="false" customHeight="true" outlineLevel="0" collapsed="false">
      <c r="A306" s="86"/>
      <c r="B306" s="88"/>
      <c r="C306" s="86"/>
      <c r="D306" s="87" t="str">
        <f aca="false">IF(E306="","",IFERROR(INDEX(CADASTRO_VIVO_3CRE!$B$2:$B$150,MATCH(E306,CADASTRO_VIVO_3CRE!$E$2:$E$150,0)),""))</f>
        <v/>
      </c>
      <c r="E306" s="86"/>
      <c r="F306" s="86"/>
      <c r="G306" s="86"/>
      <c r="H306" s="86"/>
      <c r="I306" s="86"/>
      <c r="J306" s="86"/>
      <c r="K306" s="117" t="str">
        <f aca="false">IF(AND(A306&lt;&gt;"",E306=CONSULTA_UNIDADE!$B$4),MAX($K$1:$K$305)+1,"")</f>
        <v/>
      </c>
      <c r="L306" s="86"/>
      <c r="M306" s="86"/>
      <c r="N306" s="86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customFormat="false" ht="16.5" hidden="false" customHeight="true" outlineLevel="0" collapsed="false">
      <c r="A307" s="86"/>
      <c r="B307" s="88"/>
      <c r="C307" s="86"/>
      <c r="D307" s="87" t="str">
        <f aca="false">IF(E307="","",IFERROR(INDEX(CADASTRO_VIVO_3CRE!$B$2:$B$150,MATCH(E307,CADASTRO_VIVO_3CRE!$E$2:$E$150,0)),""))</f>
        <v/>
      </c>
      <c r="E307" s="86"/>
      <c r="F307" s="86"/>
      <c r="G307" s="86"/>
      <c r="H307" s="86"/>
      <c r="I307" s="86"/>
      <c r="J307" s="86"/>
      <c r="K307" s="117" t="str">
        <f aca="false">IF(AND(A307&lt;&gt;"",E307=CONSULTA_UNIDADE!$B$4),MAX($K$1:$K$306)+1,"")</f>
        <v/>
      </c>
      <c r="L307" s="86"/>
      <c r="M307" s="86"/>
      <c r="N307" s="86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customFormat="false" ht="16.5" hidden="false" customHeight="true" outlineLevel="0" collapsed="false">
      <c r="A308" s="86"/>
      <c r="B308" s="88"/>
      <c r="C308" s="86"/>
      <c r="D308" s="87" t="str">
        <f aca="false">IF(E308="","",IFERROR(INDEX(CADASTRO_VIVO_3CRE!$B$2:$B$150,MATCH(E308,CADASTRO_VIVO_3CRE!$E$2:$E$150,0)),""))</f>
        <v/>
      </c>
      <c r="E308" s="86"/>
      <c r="F308" s="86"/>
      <c r="G308" s="86"/>
      <c r="H308" s="86"/>
      <c r="I308" s="86"/>
      <c r="J308" s="86"/>
      <c r="K308" s="117" t="str">
        <f aca="false">IF(AND(A308&lt;&gt;"",E308=CONSULTA_UNIDADE!$B$4),MAX($K$1:$K$307)+1,"")</f>
        <v/>
      </c>
      <c r="L308" s="86"/>
      <c r="M308" s="86"/>
      <c r="N308" s="86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customFormat="false" ht="16.5" hidden="false" customHeight="true" outlineLevel="0" collapsed="false">
      <c r="A309" s="86"/>
      <c r="B309" s="88"/>
      <c r="C309" s="86"/>
      <c r="D309" s="87" t="str">
        <f aca="false">IF(E309="","",IFERROR(INDEX(CADASTRO_VIVO_3CRE!$B$2:$B$150,MATCH(E309,CADASTRO_VIVO_3CRE!$E$2:$E$150,0)),""))</f>
        <v/>
      </c>
      <c r="E309" s="86"/>
      <c r="F309" s="86"/>
      <c r="G309" s="86"/>
      <c r="H309" s="86"/>
      <c r="I309" s="86"/>
      <c r="J309" s="86"/>
      <c r="K309" s="117" t="str">
        <f aca="false">IF(AND(A309&lt;&gt;"",E309=CONSULTA_UNIDADE!$B$4),MAX($K$1:$K$308)+1,"")</f>
        <v/>
      </c>
      <c r="L309" s="86"/>
      <c r="M309" s="86"/>
      <c r="N309" s="86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customFormat="false" ht="16.5" hidden="false" customHeight="true" outlineLevel="0" collapsed="false">
      <c r="A310" s="86"/>
      <c r="B310" s="88"/>
      <c r="C310" s="86"/>
      <c r="D310" s="87" t="str">
        <f aca="false">IF(E310="","",IFERROR(INDEX(CADASTRO_VIVO_3CRE!$B$2:$B$150,MATCH(E310,CADASTRO_VIVO_3CRE!$E$2:$E$150,0)),""))</f>
        <v/>
      </c>
      <c r="E310" s="86"/>
      <c r="F310" s="86"/>
      <c r="G310" s="86"/>
      <c r="H310" s="86"/>
      <c r="I310" s="86"/>
      <c r="J310" s="86"/>
      <c r="K310" s="117" t="str">
        <f aca="false">IF(AND(A310&lt;&gt;"",E310=CONSULTA_UNIDADE!$B$4),MAX($K$1:$K$309)+1,"")</f>
        <v/>
      </c>
      <c r="L310" s="86"/>
      <c r="M310" s="86"/>
      <c r="N310" s="86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customFormat="false" ht="16.5" hidden="false" customHeight="true" outlineLevel="0" collapsed="false">
      <c r="A311" s="86"/>
      <c r="B311" s="88"/>
      <c r="C311" s="86"/>
      <c r="D311" s="87" t="str">
        <f aca="false">IF(E311="","",IFERROR(INDEX(CADASTRO_VIVO_3CRE!$B$2:$B$150,MATCH(E311,CADASTRO_VIVO_3CRE!$E$2:$E$150,0)),""))</f>
        <v/>
      </c>
      <c r="E311" s="86"/>
      <c r="F311" s="86"/>
      <c r="G311" s="86"/>
      <c r="H311" s="86"/>
      <c r="I311" s="86"/>
      <c r="J311" s="86"/>
      <c r="K311" s="117" t="str">
        <f aca="false">IF(AND(A311&lt;&gt;"",E311=CONSULTA_UNIDADE!$B$4),MAX($K$1:$K$310)+1,"")</f>
        <v/>
      </c>
      <c r="L311" s="86"/>
      <c r="M311" s="86"/>
      <c r="N311" s="86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customFormat="false" ht="16.5" hidden="false" customHeight="true" outlineLevel="0" collapsed="false">
      <c r="A312" s="86"/>
      <c r="B312" s="88"/>
      <c r="C312" s="86"/>
      <c r="D312" s="87" t="str">
        <f aca="false">IF(E312="","",IFERROR(INDEX(CADASTRO_VIVO_3CRE!$B$2:$B$150,MATCH(E312,CADASTRO_VIVO_3CRE!$E$2:$E$150,0)),""))</f>
        <v/>
      </c>
      <c r="E312" s="86"/>
      <c r="F312" s="86"/>
      <c r="G312" s="86"/>
      <c r="H312" s="86"/>
      <c r="I312" s="86"/>
      <c r="J312" s="86"/>
      <c r="K312" s="117" t="str">
        <f aca="false">IF(AND(A312&lt;&gt;"",E312=CONSULTA_UNIDADE!$B$4),MAX($K$1:$K$311)+1,"")</f>
        <v/>
      </c>
      <c r="L312" s="86"/>
      <c r="M312" s="86"/>
      <c r="N312" s="86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customFormat="false" ht="16.5" hidden="false" customHeight="true" outlineLevel="0" collapsed="false">
      <c r="A313" s="86"/>
      <c r="B313" s="88"/>
      <c r="C313" s="86"/>
      <c r="D313" s="87" t="str">
        <f aca="false">IF(E313="","",IFERROR(INDEX(CADASTRO_VIVO_3CRE!$B$2:$B$150,MATCH(E313,CADASTRO_VIVO_3CRE!$E$2:$E$150,0)),""))</f>
        <v/>
      </c>
      <c r="E313" s="86"/>
      <c r="F313" s="86"/>
      <c r="G313" s="86"/>
      <c r="H313" s="86"/>
      <c r="I313" s="86"/>
      <c r="J313" s="86"/>
      <c r="K313" s="117" t="str">
        <f aca="false">IF(AND(A313&lt;&gt;"",E313=CONSULTA_UNIDADE!$B$4),MAX($K$1:$K$312)+1,"")</f>
        <v/>
      </c>
      <c r="L313" s="86"/>
      <c r="M313" s="86"/>
      <c r="N313" s="86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customFormat="false" ht="16.5" hidden="false" customHeight="true" outlineLevel="0" collapsed="false">
      <c r="A314" s="86"/>
      <c r="B314" s="88"/>
      <c r="C314" s="86"/>
      <c r="D314" s="87" t="str">
        <f aca="false">IF(E314="","",IFERROR(INDEX(CADASTRO_VIVO_3CRE!$B$2:$B$150,MATCH(E314,CADASTRO_VIVO_3CRE!$E$2:$E$150,0)),""))</f>
        <v/>
      </c>
      <c r="E314" s="86"/>
      <c r="F314" s="86"/>
      <c r="G314" s="86"/>
      <c r="H314" s="86"/>
      <c r="I314" s="86"/>
      <c r="J314" s="86"/>
      <c r="K314" s="117" t="str">
        <f aca="false">IF(AND(A314&lt;&gt;"",E314=CONSULTA_UNIDADE!$B$4),MAX($K$1:$K$313)+1,"")</f>
        <v/>
      </c>
      <c r="L314" s="86"/>
      <c r="M314" s="86"/>
      <c r="N314" s="86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customFormat="false" ht="16.5" hidden="false" customHeight="true" outlineLevel="0" collapsed="false">
      <c r="A315" s="86"/>
      <c r="B315" s="88"/>
      <c r="C315" s="86"/>
      <c r="D315" s="87" t="str">
        <f aca="false">IF(E315="","",IFERROR(INDEX(CADASTRO_VIVO_3CRE!$B$2:$B$150,MATCH(E315,CADASTRO_VIVO_3CRE!$E$2:$E$150,0)),""))</f>
        <v/>
      </c>
      <c r="E315" s="86"/>
      <c r="F315" s="86"/>
      <c r="G315" s="86"/>
      <c r="H315" s="86"/>
      <c r="I315" s="86"/>
      <c r="J315" s="86"/>
      <c r="K315" s="117" t="str">
        <f aca="false">IF(AND(A315&lt;&gt;"",E315=CONSULTA_UNIDADE!$B$4),MAX($K$1:$K$314)+1,"")</f>
        <v/>
      </c>
      <c r="L315" s="86"/>
      <c r="M315" s="86"/>
      <c r="N315" s="86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customFormat="false" ht="16.5" hidden="false" customHeight="true" outlineLevel="0" collapsed="false">
      <c r="A316" s="86"/>
      <c r="B316" s="88"/>
      <c r="C316" s="86"/>
      <c r="D316" s="87" t="str">
        <f aca="false">IF(E316="","",IFERROR(INDEX(CADASTRO_VIVO_3CRE!$B$2:$B$150,MATCH(E316,CADASTRO_VIVO_3CRE!$E$2:$E$150,0)),""))</f>
        <v/>
      </c>
      <c r="E316" s="86"/>
      <c r="F316" s="86"/>
      <c r="G316" s="86"/>
      <c r="H316" s="86"/>
      <c r="I316" s="86"/>
      <c r="J316" s="86"/>
      <c r="K316" s="117" t="str">
        <f aca="false">IF(AND(A316&lt;&gt;"",E316=CONSULTA_UNIDADE!$B$4),MAX($K$1:$K$315)+1,"")</f>
        <v/>
      </c>
      <c r="L316" s="86"/>
      <c r="M316" s="86"/>
      <c r="N316" s="86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customFormat="false" ht="16.5" hidden="false" customHeight="true" outlineLevel="0" collapsed="false">
      <c r="A317" s="86"/>
      <c r="B317" s="88"/>
      <c r="C317" s="86"/>
      <c r="D317" s="87" t="str">
        <f aca="false">IF(E317="","",IFERROR(INDEX(CADASTRO_VIVO_3CRE!$B$2:$B$150,MATCH(E317,CADASTRO_VIVO_3CRE!$E$2:$E$150,0)),""))</f>
        <v/>
      </c>
      <c r="E317" s="86"/>
      <c r="F317" s="86"/>
      <c r="G317" s="86"/>
      <c r="H317" s="86"/>
      <c r="I317" s="86"/>
      <c r="J317" s="86"/>
      <c r="K317" s="117" t="str">
        <f aca="false">IF(AND(A317&lt;&gt;"",E317=CONSULTA_UNIDADE!$B$4),MAX($K$1:$K$316)+1,"")</f>
        <v/>
      </c>
      <c r="L317" s="86"/>
      <c r="M317" s="86"/>
      <c r="N317" s="86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customFormat="false" ht="16.5" hidden="false" customHeight="true" outlineLevel="0" collapsed="false">
      <c r="A318" s="86"/>
      <c r="B318" s="88"/>
      <c r="C318" s="86"/>
      <c r="D318" s="87" t="str">
        <f aca="false">IF(E318="","",IFERROR(INDEX(CADASTRO_VIVO_3CRE!$B$2:$B$150,MATCH(E318,CADASTRO_VIVO_3CRE!$E$2:$E$150,0)),""))</f>
        <v/>
      </c>
      <c r="E318" s="86"/>
      <c r="F318" s="86"/>
      <c r="G318" s="86"/>
      <c r="H318" s="86"/>
      <c r="I318" s="86"/>
      <c r="J318" s="86"/>
      <c r="K318" s="117" t="str">
        <f aca="false">IF(AND(A318&lt;&gt;"",E318=CONSULTA_UNIDADE!$B$4),MAX($K$1:$K$317)+1,"")</f>
        <v/>
      </c>
      <c r="L318" s="86"/>
      <c r="M318" s="86"/>
      <c r="N318" s="86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customFormat="false" ht="16.5" hidden="false" customHeight="true" outlineLevel="0" collapsed="false">
      <c r="A319" s="86"/>
      <c r="B319" s="88"/>
      <c r="C319" s="86"/>
      <c r="D319" s="87" t="str">
        <f aca="false">IF(E319="","",IFERROR(INDEX(CADASTRO_VIVO_3CRE!$B$2:$B$150,MATCH(E319,CADASTRO_VIVO_3CRE!$E$2:$E$150,0)),""))</f>
        <v/>
      </c>
      <c r="E319" s="86"/>
      <c r="F319" s="86"/>
      <c r="G319" s="86"/>
      <c r="H319" s="86"/>
      <c r="I319" s="86"/>
      <c r="J319" s="86"/>
      <c r="K319" s="117" t="str">
        <f aca="false">IF(AND(A319&lt;&gt;"",E319=CONSULTA_UNIDADE!$B$4),MAX($K$1:$K$318)+1,"")</f>
        <v/>
      </c>
      <c r="L319" s="86"/>
      <c r="M319" s="86"/>
      <c r="N319" s="86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customFormat="false" ht="16.5" hidden="false" customHeight="true" outlineLevel="0" collapsed="false">
      <c r="A320" s="86"/>
      <c r="B320" s="88"/>
      <c r="C320" s="86"/>
      <c r="D320" s="87" t="str">
        <f aca="false">IF(E320="","",IFERROR(INDEX(CADASTRO_VIVO_3CRE!$B$2:$B$150,MATCH(E320,CADASTRO_VIVO_3CRE!$E$2:$E$150,0)),""))</f>
        <v/>
      </c>
      <c r="E320" s="86"/>
      <c r="F320" s="86"/>
      <c r="G320" s="86"/>
      <c r="H320" s="86"/>
      <c r="I320" s="86"/>
      <c r="J320" s="86"/>
      <c r="K320" s="117" t="str">
        <f aca="false">IF(AND(A320&lt;&gt;"",E320=CONSULTA_UNIDADE!$B$4),MAX($K$1:$K$319)+1,"")</f>
        <v/>
      </c>
      <c r="L320" s="86"/>
      <c r="M320" s="86"/>
      <c r="N320" s="86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customFormat="false" ht="16.5" hidden="false" customHeight="true" outlineLevel="0" collapsed="false">
      <c r="A321" s="86"/>
      <c r="B321" s="88"/>
      <c r="C321" s="86"/>
      <c r="D321" s="87" t="str">
        <f aca="false">IF(E321="","",IFERROR(INDEX(CADASTRO_VIVO_3CRE!$B$2:$B$150,MATCH(E321,CADASTRO_VIVO_3CRE!$E$2:$E$150,0)),""))</f>
        <v/>
      </c>
      <c r="E321" s="86"/>
      <c r="F321" s="86"/>
      <c r="G321" s="86"/>
      <c r="H321" s="86"/>
      <c r="I321" s="86"/>
      <c r="J321" s="86"/>
      <c r="K321" s="117" t="str">
        <f aca="false">IF(AND(A321&lt;&gt;"",E321=CONSULTA_UNIDADE!$B$4),MAX($K$1:$K$320)+1,"")</f>
        <v/>
      </c>
      <c r="L321" s="86"/>
      <c r="M321" s="86"/>
      <c r="N321" s="86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customFormat="false" ht="16.5" hidden="false" customHeight="true" outlineLevel="0" collapsed="false">
      <c r="A322" s="86"/>
      <c r="B322" s="88"/>
      <c r="C322" s="86"/>
      <c r="D322" s="87" t="str">
        <f aca="false">IF(E322="","",IFERROR(INDEX(CADASTRO_VIVO_3CRE!$B$2:$B$150,MATCH(E322,CADASTRO_VIVO_3CRE!$E$2:$E$150,0)),""))</f>
        <v/>
      </c>
      <c r="E322" s="86"/>
      <c r="F322" s="86"/>
      <c r="G322" s="86"/>
      <c r="H322" s="86"/>
      <c r="I322" s="86"/>
      <c r="J322" s="86"/>
      <c r="K322" s="117" t="str">
        <f aca="false">IF(AND(A322&lt;&gt;"",E322=CONSULTA_UNIDADE!$B$4),MAX($K$1:$K$321)+1,"")</f>
        <v/>
      </c>
      <c r="L322" s="86"/>
      <c r="M322" s="86"/>
      <c r="N322" s="86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customFormat="false" ht="16.5" hidden="false" customHeight="true" outlineLevel="0" collapsed="false">
      <c r="A323" s="86"/>
      <c r="B323" s="88"/>
      <c r="C323" s="86"/>
      <c r="D323" s="87" t="str">
        <f aca="false">IF(E323="","",IFERROR(INDEX(CADASTRO_VIVO_3CRE!$B$2:$B$150,MATCH(E323,CADASTRO_VIVO_3CRE!$E$2:$E$150,0)),""))</f>
        <v/>
      </c>
      <c r="E323" s="86"/>
      <c r="F323" s="86"/>
      <c r="G323" s="86"/>
      <c r="H323" s="86"/>
      <c r="I323" s="86"/>
      <c r="J323" s="86"/>
      <c r="K323" s="117" t="str">
        <f aca="false">IF(AND(A323&lt;&gt;"",E323=CONSULTA_UNIDADE!$B$4),MAX($K$1:$K$322)+1,"")</f>
        <v/>
      </c>
      <c r="L323" s="86"/>
      <c r="M323" s="86"/>
      <c r="N323" s="86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customFormat="false" ht="16.5" hidden="false" customHeight="true" outlineLevel="0" collapsed="false">
      <c r="A324" s="86"/>
      <c r="B324" s="88"/>
      <c r="C324" s="86"/>
      <c r="D324" s="87" t="str">
        <f aca="false">IF(E324="","",IFERROR(INDEX(CADASTRO_VIVO_3CRE!$B$2:$B$150,MATCH(E324,CADASTRO_VIVO_3CRE!$E$2:$E$150,0)),""))</f>
        <v/>
      </c>
      <c r="E324" s="86"/>
      <c r="F324" s="86"/>
      <c r="G324" s="86"/>
      <c r="H324" s="86"/>
      <c r="I324" s="86"/>
      <c r="J324" s="86"/>
      <c r="K324" s="117" t="str">
        <f aca="false">IF(AND(A324&lt;&gt;"",E324=CONSULTA_UNIDADE!$B$4),MAX($K$1:$K$323)+1,"")</f>
        <v/>
      </c>
      <c r="L324" s="86"/>
      <c r="M324" s="86"/>
      <c r="N324" s="86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customFormat="false" ht="16.5" hidden="false" customHeight="true" outlineLevel="0" collapsed="false">
      <c r="A325" s="86"/>
      <c r="B325" s="88"/>
      <c r="C325" s="86"/>
      <c r="D325" s="87" t="str">
        <f aca="false">IF(E325="","",IFERROR(INDEX(CADASTRO_VIVO_3CRE!$B$2:$B$150,MATCH(E325,CADASTRO_VIVO_3CRE!$E$2:$E$150,0)),""))</f>
        <v/>
      </c>
      <c r="E325" s="86"/>
      <c r="F325" s="86"/>
      <c r="G325" s="86"/>
      <c r="H325" s="86"/>
      <c r="I325" s="86"/>
      <c r="J325" s="86"/>
      <c r="K325" s="117" t="str">
        <f aca="false">IF(AND(A325&lt;&gt;"",E325=CONSULTA_UNIDADE!$B$4),MAX($K$1:$K$324)+1,"")</f>
        <v/>
      </c>
      <c r="L325" s="86"/>
      <c r="M325" s="86"/>
      <c r="N325" s="86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customFormat="false" ht="16.5" hidden="false" customHeight="true" outlineLevel="0" collapsed="false">
      <c r="A326" s="86"/>
      <c r="B326" s="88"/>
      <c r="C326" s="86"/>
      <c r="D326" s="87" t="str">
        <f aca="false">IF(E326="","",IFERROR(INDEX(CADASTRO_VIVO_3CRE!$B$2:$B$150,MATCH(E326,CADASTRO_VIVO_3CRE!$E$2:$E$150,0)),""))</f>
        <v/>
      </c>
      <c r="E326" s="86"/>
      <c r="F326" s="86"/>
      <c r="G326" s="86"/>
      <c r="H326" s="86"/>
      <c r="I326" s="86"/>
      <c r="J326" s="86"/>
      <c r="K326" s="117" t="str">
        <f aca="false">IF(AND(A326&lt;&gt;"",E326=CONSULTA_UNIDADE!$B$4),MAX($K$1:$K$325)+1,"")</f>
        <v/>
      </c>
      <c r="L326" s="86"/>
      <c r="M326" s="86"/>
      <c r="N326" s="86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customFormat="false" ht="16.5" hidden="false" customHeight="true" outlineLevel="0" collapsed="false">
      <c r="A327" s="86"/>
      <c r="B327" s="88"/>
      <c r="C327" s="86"/>
      <c r="D327" s="87" t="str">
        <f aca="false">IF(E327="","",IFERROR(INDEX(CADASTRO_VIVO_3CRE!$B$2:$B$150,MATCH(E327,CADASTRO_VIVO_3CRE!$E$2:$E$150,0)),""))</f>
        <v/>
      </c>
      <c r="E327" s="86"/>
      <c r="F327" s="86"/>
      <c r="G327" s="86"/>
      <c r="H327" s="86"/>
      <c r="I327" s="86"/>
      <c r="J327" s="86"/>
      <c r="K327" s="117" t="str">
        <f aca="false">IF(AND(A327&lt;&gt;"",E327=CONSULTA_UNIDADE!$B$4),MAX($K$1:$K$326)+1,"")</f>
        <v/>
      </c>
      <c r="L327" s="86"/>
      <c r="M327" s="86"/>
      <c r="N327" s="86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customFormat="false" ht="16.5" hidden="false" customHeight="true" outlineLevel="0" collapsed="false">
      <c r="A328" s="86"/>
      <c r="B328" s="88"/>
      <c r="C328" s="86"/>
      <c r="D328" s="87" t="str">
        <f aca="false">IF(E328="","",IFERROR(INDEX(CADASTRO_VIVO_3CRE!$B$2:$B$150,MATCH(E328,CADASTRO_VIVO_3CRE!$E$2:$E$150,0)),""))</f>
        <v/>
      </c>
      <c r="E328" s="86"/>
      <c r="F328" s="86"/>
      <c r="G328" s="86"/>
      <c r="H328" s="86"/>
      <c r="I328" s="86"/>
      <c r="J328" s="86"/>
      <c r="K328" s="117" t="str">
        <f aca="false">IF(AND(A328&lt;&gt;"",E328=CONSULTA_UNIDADE!$B$4),MAX($K$1:$K$327)+1,"")</f>
        <v/>
      </c>
      <c r="L328" s="86"/>
      <c r="M328" s="86"/>
      <c r="N328" s="86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customFormat="false" ht="16.5" hidden="false" customHeight="true" outlineLevel="0" collapsed="false">
      <c r="A329" s="86"/>
      <c r="B329" s="88"/>
      <c r="C329" s="86"/>
      <c r="D329" s="87" t="str">
        <f aca="false">IF(E329="","",IFERROR(INDEX(CADASTRO_VIVO_3CRE!$B$2:$B$150,MATCH(E329,CADASTRO_VIVO_3CRE!$E$2:$E$150,0)),""))</f>
        <v/>
      </c>
      <c r="E329" s="86"/>
      <c r="F329" s="86"/>
      <c r="G329" s="86"/>
      <c r="H329" s="86"/>
      <c r="I329" s="86"/>
      <c r="J329" s="86"/>
      <c r="K329" s="117" t="str">
        <f aca="false">IF(AND(A329&lt;&gt;"",E329=CONSULTA_UNIDADE!$B$4),MAX($K$1:$K$328)+1,"")</f>
        <v/>
      </c>
      <c r="L329" s="86"/>
      <c r="M329" s="86"/>
      <c r="N329" s="86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customFormat="false" ht="16.5" hidden="false" customHeight="true" outlineLevel="0" collapsed="false">
      <c r="A330" s="86"/>
      <c r="B330" s="88"/>
      <c r="C330" s="86"/>
      <c r="D330" s="87" t="str">
        <f aca="false">IF(E330="","",IFERROR(INDEX(CADASTRO_VIVO_3CRE!$B$2:$B$150,MATCH(E330,CADASTRO_VIVO_3CRE!$E$2:$E$150,0)),""))</f>
        <v/>
      </c>
      <c r="E330" s="86"/>
      <c r="F330" s="86"/>
      <c r="G330" s="86"/>
      <c r="H330" s="86"/>
      <c r="I330" s="86"/>
      <c r="J330" s="86"/>
      <c r="K330" s="117" t="str">
        <f aca="false">IF(AND(A330&lt;&gt;"",E330=CONSULTA_UNIDADE!$B$4),MAX($K$1:$K$329)+1,"")</f>
        <v/>
      </c>
      <c r="L330" s="86"/>
      <c r="M330" s="86"/>
      <c r="N330" s="86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customFormat="false" ht="16.5" hidden="false" customHeight="true" outlineLevel="0" collapsed="false">
      <c r="A331" s="86"/>
      <c r="B331" s="88"/>
      <c r="C331" s="86"/>
      <c r="D331" s="87" t="str">
        <f aca="false">IF(E331="","",IFERROR(INDEX(CADASTRO_VIVO_3CRE!$B$2:$B$150,MATCH(E331,CADASTRO_VIVO_3CRE!$E$2:$E$150,0)),""))</f>
        <v/>
      </c>
      <c r="E331" s="86"/>
      <c r="F331" s="86"/>
      <c r="G331" s="86"/>
      <c r="H331" s="86"/>
      <c r="I331" s="86"/>
      <c r="J331" s="86"/>
      <c r="K331" s="117" t="str">
        <f aca="false">IF(AND(A331&lt;&gt;"",E331=CONSULTA_UNIDADE!$B$4),MAX($K$1:$K$330)+1,"")</f>
        <v/>
      </c>
      <c r="L331" s="86"/>
      <c r="M331" s="86"/>
      <c r="N331" s="86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customFormat="false" ht="16.5" hidden="false" customHeight="true" outlineLevel="0" collapsed="false">
      <c r="A332" s="86"/>
      <c r="B332" s="88"/>
      <c r="C332" s="86"/>
      <c r="D332" s="87" t="str">
        <f aca="false">IF(E332="","",IFERROR(INDEX(CADASTRO_VIVO_3CRE!$B$2:$B$150,MATCH(E332,CADASTRO_VIVO_3CRE!$E$2:$E$150,0)),""))</f>
        <v/>
      </c>
      <c r="E332" s="86"/>
      <c r="F332" s="86"/>
      <c r="G332" s="86"/>
      <c r="H332" s="86"/>
      <c r="I332" s="86"/>
      <c r="J332" s="86"/>
      <c r="K332" s="117" t="str">
        <f aca="false">IF(AND(A332&lt;&gt;"",E332=CONSULTA_UNIDADE!$B$4),MAX($K$1:$K$331)+1,"")</f>
        <v/>
      </c>
      <c r="L332" s="86"/>
      <c r="M332" s="86"/>
      <c r="N332" s="86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customFormat="false" ht="16.5" hidden="false" customHeight="true" outlineLevel="0" collapsed="false">
      <c r="A333" s="86"/>
      <c r="B333" s="88"/>
      <c r="C333" s="86"/>
      <c r="D333" s="87" t="str">
        <f aca="false">IF(E333="","",IFERROR(INDEX(CADASTRO_VIVO_3CRE!$B$2:$B$150,MATCH(E333,CADASTRO_VIVO_3CRE!$E$2:$E$150,0)),""))</f>
        <v/>
      </c>
      <c r="E333" s="86"/>
      <c r="F333" s="86"/>
      <c r="G333" s="86"/>
      <c r="H333" s="86"/>
      <c r="I333" s="86"/>
      <c r="J333" s="86"/>
      <c r="K333" s="117" t="str">
        <f aca="false">IF(AND(A333&lt;&gt;"",E333=CONSULTA_UNIDADE!$B$4),MAX($K$1:$K$332)+1,"")</f>
        <v/>
      </c>
      <c r="L333" s="86"/>
      <c r="M333" s="86"/>
      <c r="N333" s="86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customFormat="false" ht="16.5" hidden="false" customHeight="true" outlineLevel="0" collapsed="false">
      <c r="A334" s="86"/>
      <c r="B334" s="88"/>
      <c r="C334" s="86"/>
      <c r="D334" s="87" t="str">
        <f aca="false">IF(E334="","",IFERROR(INDEX(CADASTRO_VIVO_3CRE!$B$2:$B$150,MATCH(E334,CADASTRO_VIVO_3CRE!$E$2:$E$150,0)),""))</f>
        <v/>
      </c>
      <c r="E334" s="86"/>
      <c r="F334" s="86"/>
      <c r="G334" s="86"/>
      <c r="H334" s="86"/>
      <c r="I334" s="86"/>
      <c r="J334" s="86"/>
      <c r="K334" s="117" t="str">
        <f aca="false">IF(AND(A334&lt;&gt;"",E334=CONSULTA_UNIDADE!$B$4),MAX($K$1:$K$333)+1,"")</f>
        <v/>
      </c>
      <c r="L334" s="86"/>
      <c r="M334" s="86"/>
      <c r="N334" s="86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customFormat="false" ht="16.5" hidden="false" customHeight="true" outlineLevel="0" collapsed="false">
      <c r="A335" s="86"/>
      <c r="B335" s="88"/>
      <c r="C335" s="86"/>
      <c r="D335" s="87" t="str">
        <f aca="false">IF(E335="","",IFERROR(INDEX(CADASTRO_VIVO_3CRE!$B$2:$B$150,MATCH(E335,CADASTRO_VIVO_3CRE!$E$2:$E$150,0)),""))</f>
        <v/>
      </c>
      <c r="E335" s="86"/>
      <c r="F335" s="86"/>
      <c r="G335" s="86"/>
      <c r="H335" s="86"/>
      <c r="I335" s="86"/>
      <c r="J335" s="86"/>
      <c r="K335" s="117" t="str">
        <f aca="false">IF(AND(A335&lt;&gt;"",E335=CONSULTA_UNIDADE!$B$4),MAX($K$1:$K$334)+1,"")</f>
        <v/>
      </c>
      <c r="L335" s="86"/>
      <c r="M335" s="86"/>
      <c r="N335" s="86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customFormat="false" ht="16.5" hidden="false" customHeight="true" outlineLevel="0" collapsed="false">
      <c r="A336" s="86"/>
      <c r="B336" s="88"/>
      <c r="C336" s="86"/>
      <c r="D336" s="87" t="str">
        <f aca="false">IF(E336="","",IFERROR(INDEX(CADASTRO_VIVO_3CRE!$B$2:$B$150,MATCH(E336,CADASTRO_VIVO_3CRE!$E$2:$E$150,0)),""))</f>
        <v/>
      </c>
      <c r="E336" s="86"/>
      <c r="F336" s="86"/>
      <c r="G336" s="86"/>
      <c r="H336" s="86"/>
      <c r="I336" s="86"/>
      <c r="J336" s="86"/>
      <c r="K336" s="117" t="str">
        <f aca="false">IF(AND(A336&lt;&gt;"",E336=CONSULTA_UNIDADE!$B$4),MAX($K$1:$K$335)+1,"")</f>
        <v/>
      </c>
      <c r="L336" s="86"/>
      <c r="M336" s="86"/>
      <c r="N336" s="86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customFormat="false" ht="16.5" hidden="false" customHeight="true" outlineLevel="0" collapsed="false">
      <c r="A337" s="86"/>
      <c r="B337" s="88"/>
      <c r="C337" s="86"/>
      <c r="D337" s="87" t="str">
        <f aca="false">IF(E337="","",IFERROR(INDEX(CADASTRO_VIVO_3CRE!$B$2:$B$150,MATCH(E337,CADASTRO_VIVO_3CRE!$E$2:$E$150,0)),""))</f>
        <v/>
      </c>
      <c r="E337" s="86"/>
      <c r="F337" s="86"/>
      <c r="G337" s="86"/>
      <c r="H337" s="86"/>
      <c r="I337" s="86"/>
      <c r="J337" s="86"/>
      <c r="K337" s="117" t="str">
        <f aca="false">IF(AND(A337&lt;&gt;"",E337=CONSULTA_UNIDADE!$B$4),MAX($K$1:$K$336)+1,"")</f>
        <v/>
      </c>
      <c r="L337" s="86"/>
      <c r="M337" s="86"/>
      <c r="N337" s="86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customFormat="false" ht="16.5" hidden="false" customHeight="true" outlineLevel="0" collapsed="false">
      <c r="A338" s="86"/>
      <c r="B338" s="88"/>
      <c r="C338" s="86"/>
      <c r="D338" s="87" t="str">
        <f aca="false">IF(E338="","",IFERROR(INDEX(CADASTRO_VIVO_3CRE!$B$2:$B$150,MATCH(E338,CADASTRO_VIVO_3CRE!$E$2:$E$150,0)),""))</f>
        <v/>
      </c>
      <c r="E338" s="86"/>
      <c r="F338" s="86"/>
      <c r="G338" s="86"/>
      <c r="H338" s="86"/>
      <c r="I338" s="86"/>
      <c r="J338" s="86"/>
      <c r="K338" s="117" t="str">
        <f aca="false">IF(AND(A338&lt;&gt;"",E338=CONSULTA_UNIDADE!$B$4),MAX($K$1:$K$337)+1,"")</f>
        <v/>
      </c>
      <c r="L338" s="86"/>
      <c r="M338" s="86"/>
      <c r="N338" s="86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customFormat="false" ht="16.5" hidden="false" customHeight="true" outlineLevel="0" collapsed="false">
      <c r="A339" s="86"/>
      <c r="B339" s="88"/>
      <c r="C339" s="86"/>
      <c r="D339" s="87" t="str">
        <f aca="false">IF(E339="","",IFERROR(INDEX(CADASTRO_VIVO_3CRE!$B$2:$B$150,MATCH(E339,CADASTRO_VIVO_3CRE!$E$2:$E$150,0)),""))</f>
        <v/>
      </c>
      <c r="E339" s="86"/>
      <c r="F339" s="86"/>
      <c r="G339" s="86"/>
      <c r="H339" s="86"/>
      <c r="I339" s="86"/>
      <c r="J339" s="86"/>
      <c r="K339" s="117" t="str">
        <f aca="false">IF(AND(A339&lt;&gt;"",E339=CONSULTA_UNIDADE!$B$4),MAX($K$1:$K$338)+1,"")</f>
        <v/>
      </c>
      <c r="L339" s="86"/>
      <c r="M339" s="86"/>
      <c r="N339" s="86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customFormat="false" ht="16.5" hidden="false" customHeight="true" outlineLevel="0" collapsed="false">
      <c r="A340" s="86"/>
      <c r="B340" s="88"/>
      <c r="C340" s="86"/>
      <c r="D340" s="87" t="str">
        <f aca="false">IF(E340="","",IFERROR(INDEX(CADASTRO_VIVO_3CRE!$B$2:$B$150,MATCH(E340,CADASTRO_VIVO_3CRE!$E$2:$E$150,0)),""))</f>
        <v/>
      </c>
      <c r="E340" s="86"/>
      <c r="F340" s="86"/>
      <c r="G340" s="86"/>
      <c r="H340" s="86"/>
      <c r="I340" s="86"/>
      <c r="J340" s="86"/>
      <c r="K340" s="117" t="str">
        <f aca="false">IF(AND(A340&lt;&gt;"",E340=CONSULTA_UNIDADE!$B$4),MAX($K$1:$K$339)+1,"")</f>
        <v/>
      </c>
      <c r="L340" s="86"/>
      <c r="M340" s="86"/>
      <c r="N340" s="86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customFormat="false" ht="16.5" hidden="false" customHeight="true" outlineLevel="0" collapsed="false">
      <c r="A341" s="86"/>
      <c r="B341" s="88"/>
      <c r="C341" s="86"/>
      <c r="D341" s="87" t="str">
        <f aca="false">IF(E341="","",IFERROR(INDEX(CADASTRO_VIVO_3CRE!$B$2:$B$150,MATCH(E341,CADASTRO_VIVO_3CRE!$E$2:$E$150,0)),""))</f>
        <v/>
      </c>
      <c r="E341" s="86"/>
      <c r="F341" s="86"/>
      <c r="G341" s="86"/>
      <c r="H341" s="86"/>
      <c r="I341" s="86"/>
      <c r="J341" s="86"/>
      <c r="K341" s="117" t="str">
        <f aca="false">IF(AND(A341&lt;&gt;"",E341=CONSULTA_UNIDADE!$B$4),MAX($K$1:$K$340)+1,"")</f>
        <v/>
      </c>
      <c r="L341" s="86"/>
      <c r="M341" s="86"/>
      <c r="N341" s="86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customFormat="false" ht="16.5" hidden="false" customHeight="true" outlineLevel="0" collapsed="false">
      <c r="A342" s="86"/>
      <c r="B342" s="88"/>
      <c r="C342" s="86"/>
      <c r="D342" s="87" t="str">
        <f aca="false">IF(E342="","",IFERROR(INDEX(CADASTRO_VIVO_3CRE!$B$2:$B$150,MATCH(E342,CADASTRO_VIVO_3CRE!$E$2:$E$150,0)),""))</f>
        <v/>
      </c>
      <c r="E342" s="86"/>
      <c r="F342" s="86"/>
      <c r="G342" s="86"/>
      <c r="H342" s="86"/>
      <c r="I342" s="86"/>
      <c r="J342" s="86"/>
      <c r="K342" s="117" t="str">
        <f aca="false">IF(AND(A342&lt;&gt;"",E342=CONSULTA_UNIDADE!$B$4),MAX($K$1:$K$341)+1,"")</f>
        <v/>
      </c>
      <c r="L342" s="86"/>
      <c r="M342" s="86"/>
      <c r="N342" s="86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customFormat="false" ht="16.5" hidden="false" customHeight="true" outlineLevel="0" collapsed="false">
      <c r="A343" s="86"/>
      <c r="B343" s="88"/>
      <c r="C343" s="86"/>
      <c r="D343" s="87" t="str">
        <f aca="false">IF(E343="","",IFERROR(INDEX(CADASTRO_VIVO_3CRE!$B$2:$B$150,MATCH(E343,CADASTRO_VIVO_3CRE!$E$2:$E$150,0)),""))</f>
        <v/>
      </c>
      <c r="E343" s="86"/>
      <c r="F343" s="86"/>
      <c r="G343" s="86"/>
      <c r="H343" s="86"/>
      <c r="I343" s="86"/>
      <c r="J343" s="86"/>
      <c r="K343" s="117" t="str">
        <f aca="false">IF(AND(A343&lt;&gt;"",E343=CONSULTA_UNIDADE!$B$4),MAX($K$1:$K$342)+1,"")</f>
        <v/>
      </c>
      <c r="L343" s="86"/>
      <c r="M343" s="86"/>
      <c r="N343" s="86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customFormat="false" ht="16.5" hidden="false" customHeight="true" outlineLevel="0" collapsed="false">
      <c r="A344" s="86"/>
      <c r="B344" s="88"/>
      <c r="C344" s="86"/>
      <c r="D344" s="87" t="str">
        <f aca="false">IF(E344="","",IFERROR(INDEX(CADASTRO_VIVO_3CRE!$B$2:$B$150,MATCH(E344,CADASTRO_VIVO_3CRE!$E$2:$E$150,0)),""))</f>
        <v/>
      </c>
      <c r="E344" s="86"/>
      <c r="F344" s="86"/>
      <c r="G344" s="86"/>
      <c r="H344" s="86"/>
      <c r="I344" s="86"/>
      <c r="J344" s="86"/>
      <c r="K344" s="117" t="str">
        <f aca="false">IF(AND(A344&lt;&gt;"",E344=CONSULTA_UNIDADE!$B$4),MAX($K$1:$K$343)+1,"")</f>
        <v/>
      </c>
      <c r="L344" s="86"/>
      <c r="M344" s="86"/>
      <c r="N344" s="86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customFormat="false" ht="16.5" hidden="false" customHeight="true" outlineLevel="0" collapsed="false">
      <c r="A345" s="86"/>
      <c r="B345" s="88"/>
      <c r="C345" s="86"/>
      <c r="D345" s="87" t="str">
        <f aca="false">IF(E345="","",IFERROR(INDEX(CADASTRO_VIVO_3CRE!$B$2:$B$150,MATCH(E345,CADASTRO_VIVO_3CRE!$E$2:$E$150,0)),""))</f>
        <v/>
      </c>
      <c r="E345" s="86"/>
      <c r="F345" s="86"/>
      <c r="G345" s="86"/>
      <c r="H345" s="86"/>
      <c r="I345" s="86"/>
      <c r="J345" s="86"/>
      <c r="K345" s="117" t="str">
        <f aca="false">IF(AND(A345&lt;&gt;"",E345=CONSULTA_UNIDADE!$B$4),MAX($K$1:$K$344)+1,"")</f>
        <v/>
      </c>
      <c r="L345" s="86"/>
      <c r="M345" s="86"/>
      <c r="N345" s="86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customFormat="false" ht="16.5" hidden="false" customHeight="true" outlineLevel="0" collapsed="false">
      <c r="A346" s="86"/>
      <c r="B346" s="88"/>
      <c r="C346" s="86"/>
      <c r="D346" s="87" t="str">
        <f aca="false">IF(E346="","",IFERROR(INDEX(CADASTRO_VIVO_3CRE!$B$2:$B$150,MATCH(E346,CADASTRO_VIVO_3CRE!$E$2:$E$150,0)),""))</f>
        <v/>
      </c>
      <c r="E346" s="86"/>
      <c r="F346" s="86"/>
      <c r="G346" s="86"/>
      <c r="H346" s="86"/>
      <c r="I346" s="86"/>
      <c r="J346" s="86"/>
      <c r="K346" s="117" t="str">
        <f aca="false">IF(AND(A346&lt;&gt;"",E346=CONSULTA_UNIDADE!$B$4),MAX($K$1:$K$345)+1,"")</f>
        <v/>
      </c>
      <c r="L346" s="86"/>
      <c r="M346" s="86"/>
      <c r="N346" s="86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customFormat="false" ht="16.5" hidden="false" customHeight="true" outlineLevel="0" collapsed="false">
      <c r="A347" s="86"/>
      <c r="B347" s="88"/>
      <c r="C347" s="86"/>
      <c r="D347" s="87" t="str">
        <f aca="false">IF(E347="","",IFERROR(INDEX(CADASTRO_VIVO_3CRE!$B$2:$B$150,MATCH(E347,CADASTRO_VIVO_3CRE!$E$2:$E$150,0)),""))</f>
        <v/>
      </c>
      <c r="E347" s="86"/>
      <c r="F347" s="86"/>
      <c r="G347" s="86"/>
      <c r="H347" s="86"/>
      <c r="I347" s="86"/>
      <c r="J347" s="86"/>
      <c r="K347" s="117" t="str">
        <f aca="false">IF(AND(A347&lt;&gt;"",E347=CONSULTA_UNIDADE!$B$4),MAX($K$1:$K$346)+1,"")</f>
        <v/>
      </c>
      <c r="L347" s="86"/>
      <c r="M347" s="86"/>
      <c r="N347" s="86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customFormat="false" ht="16.5" hidden="false" customHeight="true" outlineLevel="0" collapsed="false">
      <c r="A348" s="86"/>
      <c r="B348" s="88"/>
      <c r="C348" s="86"/>
      <c r="D348" s="87" t="str">
        <f aca="false">IF(E348="","",IFERROR(INDEX(CADASTRO_VIVO_3CRE!$B$2:$B$150,MATCH(E348,CADASTRO_VIVO_3CRE!$E$2:$E$150,0)),""))</f>
        <v/>
      </c>
      <c r="E348" s="86"/>
      <c r="F348" s="86"/>
      <c r="G348" s="86"/>
      <c r="H348" s="86"/>
      <c r="I348" s="86"/>
      <c r="J348" s="86"/>
      <c r="K348" s="117" t="str">
        <f aca="false">IF(AND(A348&lt;&gt;"",E348=CONSULTA_UNIDADE!$B$4),MAX($K$1:$K$347)+1,"")</f>
        <v/>
      </c>
      <c r="L348" s="86"/>
      <c r="M348" s="86"/>
      <c r="N348" s="86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customFormat="false" ht="16.5" hidden="false" customHeight="true" outlineLevel="0" collapsed="false">
      <c r="A349" s="86"/>
      <c r="B349" s="88"/>
      <c r="C349" s="86"/>
      <c r="D349" s="87" t="str">
        <f aca="false">IF(E349="","",IFERROR(INDEX(CADASTRO_VIVO_3CRE!$B$2:$B$150,MATCH(E349,CADASTRO_VIVO_3CRE!$E$2:$E$150,0)),""))</f>
        <v/>
      </c>
      <c r="E349" s="86"/>
      <c r="F349" s="86"/>
      <c r="G349" s="86"/>
      <c r="H349" s="86"/>
      <c r="I349" s="86"/>
      <c r="J349" s="86"/>
      <c r="K349" s="117" t="str">
        <f aca="false">IF(AND(A349&lt;&gt;"",E349=CONSULTA_UNIDADE!$B$4),MAX($K$1:$K$348)+1,"")</f>
        <v/>
      </c>
      <c r="L349" s="86"/>
      <c r="M349" s="86"/>
      <c r="N349" s="86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customFormat="false" ht="16.5" hidden="false" customHeight="true" outlineLevel="0" collapsed="false">
      <c r="A350" s="86"/>
      <c r="B350" s="88"/>
      <c r="C350" s="86"/>
      <c r="D350" s="87" t="str">
        <f aca="false">IF(E350="","",IFERROR(INDEX(CADASTRO_VIVO_3CRE!$B$2:$B$150,MATCH(E350,CADASTRO_VIVO_3CRE!$E$2:$E$150,0)),""))</f>
        <v/>
      </c>
      <c r="E350" s="86"/>
      <c r="F350" s="86"/>
      <c r="G350" s="86"/>
      <c r="H350" s="86"/>
      <c r="I350" s="86"/>
      <c r="J350" s="86"/>
      <c r="K350" s="117" t="str">
        <f aca="false">IF(AND(A350&lt;&gt;"",E350=CONSULTA_UNIDADE!$B$4),MAX($K$1:$K$349)+1,"")</f>
        <v/>
      </c>
      <c r="L350" s="86"/>
      <c r="M350" s="86"/>
      <c r="N350" s="86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customFormat="false" ht="16.5" hidden="false" customHeight="true" outlineLevel="0" collapsed="false">
      <c r="A351" s="86"/>
      <c r="B351" s="88"/>
      <c r="C351" s="86"/>
      <c r="D351" s="87" t="str">
        <f aca="false">IF(E351="","",IFERROR(INDEX(CADASTRO_VIVO_3CRE!$B$2:$B$150,MATCH(E351,CADASTRO_VIVO_3CRE!$E$2:$E$150,0)),""))</f>
        <v/>
      </c>
      <c r="E351" s="86"/>
      <c r="F351" s="86"/>
      <c r="G351" s="86"/>
      <c r="H351" s="86"/>
      <c r="I351" s="86"/>
      <c r="J351" s="86"/>
      <c r="K351" s="117" t="str">
        <f aca="false">IF(AND(A351&lt;&gt;"",E351=CONSULTA_UNIDADE!$B$4),MAX($K$1:$K$350)+1,"")</f>
        <v/>
      </c>
      <c r="L351" s="86"/>
      <c r="M351" s="86"/>
      <c r="N351" s="86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customFormat="false" ht="16.5" hidden="false" customHeight="true" outlineLevel="0" collapsed="false">
      <c r="A352" s="86"/>
      <c r="B352" s="88"/>
      <c r="C352" s="86"/>
      <c r="D352" s="87" t="str">
        <f aca="false">IF(E352="","",IFERROR(INDEX(CADASTRO_VIVO_3CRE!$B$2:$B$150,MATCH(E352,CADASTRO_VIVO_3CRE!$E$2:$E$150,0)),""))</f>
        <v/>
      </c>
      <c r="E352" s="86"/>
      <c r="F352" s="86"/>
      <c r="G352" s="86"/>
      <c r="H352" s="86"/>
      <c r="I352" s="86"/>
      <c r="J352" s="86"/>
      <c r="K352" s="117" t="str">
        <f aca="false">IF(AND(A352&lt;&gt;"",E352=CONSULTA_UNIDADE!$B$4),MAX($K$1:$K$351)+1,"")</f>
        <v/>
      </c>
      <c r="L352" s="86"/>
      <c r="M352" s="86"/>
      <c r="N352" s="86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customFormat="false" ht="16.5" hidden="false" customHeight="true" outlineLevel="0" collapsed="false">
      <c r="A353" s="86"/>
      <c r="B353" s="88"/>
      <c r="C353" s="86"/>
      <c r="D353" s="87" t="str">
        <f aca="false">IF(E353="","",IFERROR(INDEX(CADASTRO_VIVO_3CRE!$B$2:$B$150,MATCH(E353,CADASTRO_VIVO_3CRE!$E$2:$E$150,0)),""))</f>
        <v/>
      </c>
      <c r="E353" s="86"/>
      <c r="F353" s="86"/>
      <c r="G353" s="86"/>
      <c r="H353" s="86"/>
      <c r="I353" s="86"/>
      <c r="J353" s="86"/>
      <c r="K353" s="117" t="str">
        <f aca="false">IF(AND(A353&lt;&gt;"",E353=CONSULTA_UNIDADE!$B$4),MAX($K$1:$K$352)+1,"")</f>
        <v/>
      </c>
      <c r="L353" s="86"/>
      <c r="M353" s="86"/>
      <c r="N353" s="86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customFormat="false" ht="16.5" hidden="false" customHeight="true" outlineLevel="0" collapsed="false">
      <c r="A354" s="86"/>
      <c r="B354" s="88"/>
      <c r="C354" s="86"/>
      <c r="D354" s="87" t="str">
        <f aca="false">IF(E354="","",IFERROR(INDEX(CADASTRO_VIVO_3CRE!$B$2:$B$150,MATCH(E354,CADASTRO_VIVO_3CRE!$E$2:$E$150,0)),""))</f>
        <v/>
      </c>
      <c r="E354" s="86"/>
      <c r="F354" s="86"/>
      <c r="G354" s="86"/>
      <c r="H354" s="86"/>
      <c r="I354" s="86"/>
      <c r="J354" s="86"/>
      <c r="K354" s="117" t="str">
        <f aca="false">IF(AND(A354&lt;&gt;"",E354=CONSULTA_UNIDADE!$B$4),MAX($K$1:$K$353)+1,"")</f>
        <v/>
      </c>
      <c r="L354" s="86"/>
      <c r="M354" s="86"/>
      <c r="N354" s="86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customFormat="false" ht="16.5" hidden="false" customHeight="true" outlineLevel="0" collapsed="false">
      <c r="A355" s="86"/>
      <c r="B355" s="88"/>
      <c r="C355" s="86"/>
      <c r="D355" s="87" t="str">
        <f aca="false">IF(E355="","",IFERROR(INDEX(CADASTRO_VIVO_3CRE!$B$2:$B$150,MATCH(E355,CADASTRO_VIVO_3CRE!$E$2:$E$150,0)),""))</f>
        <v/>
      </c>
      <c r="E355" s="86"/>
      <c r="F355" s="86"/>
      <c r="G355" s="86"/>
      <c r="H355" s="86"/>
      <c r="I355" s="86"/>
      <c r="J355" s="86"/>
      <c r="K355" s="117" t="str">
        <f aca="false">IF(AND(A355&lt;&gt;"",E355=CONSULTA_UNIDADE!$B$4),MAX($K$1:$K$354)+1,"")</f>
        <v/>
      </c>
      <c r="L355" s="86"/>
      <c r="M355" s="86"/>
      <c r="N355" s="86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customFormat="false" ht="16.5" hidden="false" customHeight="true" outlineLevel="0" collapsed="false">
      <c r="A356" s="86"/>
      <c r="B356" s="88"/>
      <c r="C356" s="86"/>
      <c r="D356" s="87" t="str">
        <f aca="false">IF(E356="","",IFERROR(INDEX(CADASTRO_VIVO_3CRE!$B$2:$B$150,MATCH(E356,CADASTRO_VIVO_3CRE!$E$2:$E$150,0)),""))</f>
        <v/>
      </c>
      <c r="E356" s="86"/>
      <c r="F356" s="86"/>
      <c r="G356" s="86"/>
      <c r="H356" s="86"/>
      <c r="I356" s="86"/>
      <c r="J356" s="86"/>
      <c r="K356" s="117" t="str">
        <f aca="false">IF(AND(A356&lt;&gt;"",E356=CONSULTA_UNIDADE!$B$4),MAX($K$1:$K$355)+1,"")</f>
        <v/>
      </c>
      <c r="L356" s="86"/>
      <c r="M356" s="86"/>
      <c r="N356" s="86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customFormat="false" ht="16.5" hidden="false" customHeight="true" outlineLevel="0" collapsed="false">
      <c r="A357" s="86"/>
      <c r="B357" s="88"/>
      <c r="C357" s="86"/>
      <c r="D357" s="87" t="str">
        <f aca="false">IF(E357="","",IFERROR(INDEX(CADASTRO_VIVO_3CRE!$B$2:$B$150,MATCH(E357,CADASTRO_VIVO_3CRE!$E$2:$E$150,0)),""))</f>
        <v/>
      </c>
      <c r="E357" s="86"/>
      <c r="F357" s="86"/>
      <c r="G357" s="86"/>
      <c r="H357" s="86"/>
      <c r="I357" s="86"/>
      <c r="J357" s="86"/>
      <c r="K357" s="117" t="str">
        <f aca="false">IF(AND(A357&lt;&gt;"",E357=CONSULTA_UNIDADE!$B$4),MAX($K$1:$K$356)+1,"")</f>
        <v/>
      </c>
      <c r="L357" s="86"/>
      <c r="M357" s="86"/>
      <c r="N357" s="86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customFormat="false" ht="16.5" hidden="false" customHeight="true" outlineLevel="0" collapsed="false">
      <c r="A358" s="86"/>
      <c r="B358" s="88"/>
      <c r="C358" s="86"/>
      <c r="D358" s="87" t="str">
        <f aca="false">IF(E358="","",IFERROR(INDEX(CADASTRO_VIVO_3CRE!$B$2:$B$150,MATCH(E358,CADASTRO_VIVO_3CRE!$E$2:$E$150,0)),""))</f>
        <v/>
      </c>
      <c r="E358" s="86"/>
      <c r="F358" s="86"/>
      <c r="G358" s="86"/>
      <c r="H358" s="86"/>
      <c r="I358" s="86"/>
      <c r="J358" s="86"/>
      <c r="K358" s="117" t="str">
        <f aca="false">IF(AND(A358&lt;&gt;"",E358=CONSULTA_UNIDADE!$B$4),MAX($K$1:$K$357)+1,"")</f>
        <v/>
      </c>
      <c r="L358" s="86"/>
      <c r="M358" s="86"/>
      <c r="N358" s="86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customFormat="false" ht="16.5" hidden="false" customHeight="true" outlineLevel="0" collapsed="false">
      <c r="A359" s="86"/>
      <c r="B359" s="88"/>
      <c r="C359" s="86"/>
      <c r="D359" s="87" t="str">
        <f aca="false">IF(E359="","",IFERROR(INDEX(CADASTRO_VIVO_3CRE!$B$2:$B$150,MATCH(E359,CADASTRO_VIVO_3CRE!$E$2:$E$150,0)),""))</f>
        <v/>
      </c>
      <c r="E359" s="86"/>
      <c r="F359" s="86"/>
      <c r="G359" s="86"/>
      <c r="H359" s="86"/>
      <c r="I359" s="86"/>
      <c r="J359" s="86"/>
      <c r="K359" s="117" t="str">
        <f aca="false">IF(AND(A359&lt;&gt;"",E359=CONSULTA_UNIDADE!$B$4),MAX($K$1:$K$358)+1,"")</f>
        <v/>
      </c>
      <c r="L359" s="86"/>
      <c r="M359" s="86"/>
      <c r="N359" s="86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customFormat="false" ht="16.5" hidden="false" customHeight="true" outlineLevel="0" collapsed="false">
      <c r="A360" s="86"/>
      <c r="B360" s="88"/>
      <c r="C360" s="86"/>
      <c r="D360" s="87" t="str">
        <f aca="false">IF(E360="","",IFERROR(INDEX(CADASTRO_VIVO_3CRE!$B$2:$B$150,MATCH(E360,CADASTRO_VIVO_3CRE!$E$2:$E$150,0)),""))</f>
        <v/>
      </c>
      <c r="E360" s="86"/>
      <c r="F360" s="86"/>
      <c r="G360" s="86"/>
      <c r="H360" s="86"/>
      <c r="I360" s="86"/>
      <c r="J360" s="86"/>
      <c r="K360" s="117" t="str">
        <f aca="false">IF(AND(A360&lt;&gt;"",E360=CONSULTA_UNIDADE!$B$4),MAX($K$1:$K$359)+1,"")</f>
        <v/>
      </c>
      <c r="L360" s="86"/>
      <c r="M360" s="86"/>
      <c r="N360" s="86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customFormat="false" ht="16.5" hidden="false" customHeight="true" outlineLevel="0" collapsed="false">
      <c r="A361" s="86"/>
      <c r="B361" s="88"/>
      <c r="C361" s="86"/>
      <c r="D361" s="87" t="str">
        <f aca="false">IF(E361="","",IFERROR(INDEX(CADASTRO_VIVO_3CRE!$B$2:$B$150,MATCH(E361,CADASTRO_VIVO_3CRE!$E$2:$E$150,0)),""))</f>
        <v/>
      </c>
      <c r="E361" s="86"/>
      <c r="F361" s="86"/>
      <c r="G361" s="86"/>
      <c r="H361" s="86"/>
      <c r="I361" s="86"/>
      <c r="J361" s="86"/>
      <c r="K361" s="117" t="str">
        <f aca="false">IF(AND(A361&lt;&gt;"",E361=CONSULTA_UNIDADE!$B$4),MAX($K$1:$K$360)+1,"")</f>
        <v/>
      </c>
      <c r="L361" s="86"/>
      <c r="M361" s="86"/>
      <c r="N361" s="86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customFormat="false" ht="16.5" hidden="false" customHeight="true" outlineLevel="0" collapsed="false">
      <c r="A362" s="86"/>
      <c r="B362" s="88"/>
      <c r="C362" s="86"/>
      <c r="D362" s="87" t="str">
        <f aca="false">IF(E362="","",IFERROR(INDEX(CADASTRO_VIVO_3CRE!$B$2:$B$150,MATCH(E362,CADASTRO_VIVO_3CRE!$E$2:$E$150,0)),""))</f>
        <v/>
      </c>
      <c r="E362" s="86"/>
      <c r="F362" s="86"/>
      <c r="G362" s="86"/>
      <c r="H362" s="86"/>
      <c r="I362" s="86"/>
      <c r="J362" s="86"/>
      <c r="K362" s="117" t="str">
        <f aca="false">IF(AND(A362&lt;&gt;"",E362=CONSULTA_UNIDADE!$B$4),MAX($K$1:$K$361)+1,"")</f>
        <v/>
      </c>
      <c r="L362" s="86"/>
      <c r="M362" s="86"/>
      <c r="N362" s="86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customFormat="false" ht="16.5" hidden="false" customHeight="true" outlineLevel="0" collapsed="false">
      <c r="A363" s="86"/>
      <c r="B363" s="88"/>
      <c r="C363" s="86"/>
      <c r="D363" s="87" t="str">
        <f aca="false">IF(E363="","",IFERROR(INDEX(CADASTRO_VIVO_3CRE!$B$2:$B$150,MATCH(E363,CADASTRO_VIVO_3CRE!$E$2:$E$150,0)),""))</f>
        <v/>
      </c>
      <c r="E363" s="86"/>
      <c r="F363" s="86"/>
      <c r="G363" s="86"/>
      <c r="H363" s="86"/>
      <c r="I363" s="86"/>
      <c r="J363" s="86"/>
      <c r="K363" s="117" t="str">
        <f aca="false">IF(AND(A363&lt;&gt;"",E363=CONSULTA_UNIDADE!$B$4),MAX($K$1:$K$362)+1,"")</f>
        <v/>
      </c>
      <c r="L363" s="86"/>
      <c r="M363" s="86"/>
      <c r="N363" s="86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customFormat="false" ht="16.5" hidden="false" customHeight="true" outlineLevel="0" collapsed="false">
      <c r="A364" s="86"/>
      <c r="B364" s="88"/>
      <c r="C364" s="86"/>
      <c r="D364" s="87" t="str">
        <f aca="false">IF(E364="","",IFERROR(INDEX(CADASTRO_VIVO_3CRE!$B$2:$B$150,MATCH(E364,CADASTRO_VIVO_3CRE!$E$2:$E$150,0)),""))</f>
        <v/>
      </c>
      <c r="E364" s="86"/>
      <c r="F364" s="86"/>
      <c r="G364" s="86"/>
      <c r="H364" s="86"/>
      <c r="I364" s="86"/>
      <c r="J364" s="86"/>
      <c r="K364" s="117" t="str">
        <f aca="false">IF(AND(A364&lt;&gt;"",E364=CONSULTA_UNIDADE!$B$4),MAX($K$1:$K$363)+1,"")</f>
        <v/>
      </c>
      <c r="L364" s="86"/>
      <c r="M364" s="86"/>
      <c r="N364" s="86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customFormat="false" ht="16.5" hidden="false" customHeight="true" outlineLevel="0" collapsed="false">
      <c r="A365" s="86"/>
      <c r="B365" s="88"/>
      <c r="C365" s="86"/>
      <c r="D365" s="87" t="str">
        <f aca="false">IF(E365="","",IFERROR(INDEX(CADASTRO_VIVO_3CRE!$B$2:$B$150,MATCH(E365,CADASTRO_VIVO_3CRE!$E$2:$E$150,0)),""))</f>
        <v/>
      </c>
      <c r="E365" s="86"/>
      <c r="F365" s="86"/>
      <c r="G365" s="86"/>
      <c r="H365" s="86"/>
      <c r="I365" s="86"/>
      <c r="J365" s="86"/>
      <c r="K365" s="117" t="str">
        <f aca="false">IF(AND(A365&lt;&gt;"",E365=CONSULTA_UNIDADE!$B$4),MAX($K$1:$K$364)+1,"")</f>
        <v/>
      </c>
      <c r="L365" s="86"/>
      <c r="M365" s="86"/>
      <c r="N365" s="86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customFormat="false" ht="16.5" hidden="false" customHeight="true" outlineLevel="0" collapsed="false">
      <c r="A366" s="86"/>
      <c r="B366" s="88"/>
      <c r="C366" s="86"/>
      <c r="D366" s="87" t="str">
        <f aca="false">IF(E366="","",IFERROR(INDEX(CADASTRO_VIVO_3CRE!$B$2:$B$150,MATCH(E366,CADASTRO_VIVO_3CRE!$E$2:$E$150,0)),""))</f>
        <v/>
      </c>
      <c r="E366" s="86"/>
      <c r="F366" s="86"/>
      <c r="G366" s="86"/>
      <c r="H366" s="86"/>
      <c r="I366" s="86"/>
      <c r="J366" s="86"/>
      <c r="K366" s="117" t="str">
        <f aca="false">IF(AND(A366&lt;&gt;"",E366=CONSULTA_UNIDADE!$B$4),MAX($K$1:$K$365)+1,"")</f>
        <v/>
      </c>
      <c r="L366" s="86"/>
      <c r="M366" s="86"/>
      <c r="N366" s="86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customFormat="false" ht="16.5" hidden="false" customHeight="true" outlineLevel="0" collapsed="false">
      <c r="A367" s="86"/>
      <c r="B367" s="88"/>
      <c r="C367" s="86"/>
      <c r="D367" s="87" t="str">
        <f aca="false">IF(E367="","",IFERROR(INDEX(CADASTRO_VIVO_3CRE!$B$2:$B$150,MATCH(E367,CADASTRO_VIVO_3CRE!$E$2:$E$150,0)),""))</f>
        <v/>
      </c>
      <c r="E367" s="86"/>
      <c r="F367" s="86"/>
      <c r="G367" s="86"/>
      <c r="H367" s="86"/>
      <c r="I367" s="86"/>
      <c r="J367" s="86"/>
      <c r="K367" s="117" t="str">
        <f aca="false">IF(AND(A367&lt;&gt;"",E367=CONSULTA_UNIDADE!$B$4),MAX($K$1:$K$366)+1,"")</f>
        <v/>
      </c>
      <c r="L367" s="86"/>
      <c r="M367" s="86"/>
      <c r="N367" s="86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customFormat="false" ht="16.5" hidden="false" customHeight="true" outlineLevel="0" collapsed="false">
      <c r="A368" s="86"/>
      <c r="B368" s="88"/>
      <c r="C368" s="86"/>
      <c r="D368" s="87" t="str">
        <f aca="false">IF(E368="","",IFERROR(INDEX(CADASTRO_VIVO_3CRE!$B$2:$B$150,MATCH(E368,CADASTRO_VIVO_3CRE!$E$2:$E$150,0)),""))</f>
        <v/>
      </c>
      <c r="E368" s="86"/>
      <c r="F368" s="86"/>
      <c r="G368" s="86"/>
      <c r="H368" s="86"/>
      <c r="I368" s="86"/>
      <c r="J368" s="86"/>
      <c r="K368" s="117" t="str">
        <f aca="false">IF(AND(A368&lt;&gt;"",E368=CONSULTA_UNIDADE!$B$4),MAX($K$1:$K$367)+1,"")</f>
        <v/>
      </c>
      <c r="L368" s="86"/>
      <c r="M368" s="86"/>
      <c r="N368" s="86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customFormat="false" ht="16.5" hidden="false" customHeight="true" outlineLevel="0" collapsed="false">
      <c r="A369" s="86"/>
      <c r="B369" s="88"/>
      <c r="C369" s="86"/>
      <c r="D369" s="87" t="str">
        <f aca="false">IF(E369="","",IFERROR(INDEX(CADASTRO_VIVO_3CRE!$B$2:$B$150,MATCH(E369,CADASTRO_VIVO_3CRE!$E$2:$E$150,0)),""))</f>
        <v/>
      </c>
      <c r="E369" s="86"/>
      <c r="F369" s="86"/>
      <c r="G369" s="86"/>
      <c r="H369" s="86"/>
      <c r="I369" s="86"/>
      <c r="J369" s="86"/>
      <c r="K369" s="117" t="str">
        <f aca="false">IF(AND(A369&lt;&gt;"",E369=CONSULTA_UNIDADE!$B$4),MAX($K$1:$K$368)+1,"")</f>
        <v/>
      </c>
      <c r="L369" s="86"/>
      <c r="M369" s="86"/>
      <c r="N369" s="86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customFormat="false" ht="16.5" hidden="false" customHeight="true" outlineLevel="0" collapsed="false">
      <c r="A370" s="86"/>
      <c r="B370" s="88"/>
      <c r="C370" s="86"/>
      <c r="D370" s="87" t="str">
        <f aca="false">IF(E370="","",IFERROR(INDEX(CADASTRO_VIVO_3CRE!$B$2:$B$150,MATCH(E370,CADASTRO_VIVO_3CRE!$E$2:$E$150,0)),""))</f>
        <v/>
      </c>
      <c r="E370" s="86"/>
      <c r="F370" s="86"/>
      <c r="G370" s="86"/>
      <c r="H370" s="86"/>
      <c r="I370" s="86"/>
      <c r="J370" s="86"/>
      <c r="K370" s="117" t="str">
        <f aca="false">IF(AND(A370&lt;&gt;"",E370=CONSULTA_UNIDADE!$B$4),MAX($K$1:$K$369)+1,"")</f>
        <v/>
      </c>
      <c r="L370" s="86"/>
      <c r="M370" s="86"/>
      <c r="N370" s="86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customFormat="false" ht="16.5" hidden="false" customHeight="true" outlineLevel="0" collapsed="false">
      <c r="A371" s="86"/>
      <c r="B371" s="88"/>
      <c r="C371" s="86"/>
      <c r="D371" s="87" t="str">
        <f aca="false">IF(E371="","",IFERROR(INDEX(CADASTRO_VIVO_3CRE!$B$2:$B$150,MATCH(E371,CADASTRO_VIVO_3CRE!$E$2:$E$150,0)),""))</f>
        <v/>
      </c>
      <c r="E371" s="86"/>
      <c r="F371" s="86"/>
      <c r="G371" s="86"/>
      <c r="H371" s="86"/>
      <c r="I371" s="86"/>
      <c r="J371" s="86"/>
      <c r="K371" s="117" t="str">
        <f aca="false">IF(AND(A371&lt;&gt;"",E371=CONSULTA_UNIDADE!$B$4),MAX($K$1:$K$370)+1,"")</f>
        <v/>
      </c>
      <c r="L371" s="86"/>
      <c r="M371" s="86"/>
      <c r="N371" s="86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customFormat="false" ht="16.5" hidden="false" customHeight="true" outlineLevel="0" collapsed="false">
      <c r="A372" s="86"/>
      <c r="B372" s="88"/>
      <c r="C372" s="86"/>
      <c r="D372" s="87" t="str">
        <f aca="false">IF(E372="","",IFERROR(INDEX(CADASTRO_VIVO_3CRE!$B$2:$B$150,MATCH(E372,CADASTRO_VIVO_3CRE!$E$2:$E$150,0)),""))</f>
        <v/>
      </c>
      <c r="E372" s="86"/>
      <c r="F372" s="86"/>
      <c r="G372" s="86"/>
      <c r="H372" s="86"/>
      <c r="I372" s="86"/>
      <c r="J372" s="86"/>
      <c r="K372" s="117" t="str">
        <f aca="false">IF(AND(A372&lt;&gt;"",E372=CONSULTA_UNIDADE!$B$4),MAX($K$1:$K$371)+1,"")</f>
        <v/>
      </c>
      <c r="L372" s="86"/>
      <c r="M372" s="86"/>
      <c r="N372" s="86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customFormat="false" ht="16.5" hidden="false" customHeight="true" outlineLevel="0" collapsed="false">
      <c r="A373" s="86"/>
      <c r="B373" s="88"/>
      <c r="C373" s="86"/>
      <c r="D373" s="87" t="str">
        <f aca="false">IF(E373="","",IFERROR(INDEX(CADASTRO_VIVO_3CRE!$B$2:$B$150,MATCH(E373,CADASTRO_VIVO_3CRE!$E$2:$E$150,0)),""))</f>
        <v/>
      </c>
      <c r="E373" s="86"/>
      <c r="F373" s="86"/>
      <c r="G373" s="86"/>
      <c r="H373" s="86"/>
      <c r="I373" s="86"/>
      <c r="J373" s="86"/>
      <c r="K373" s="117" t="str">
        <f aca="false">IF(AND(A373&lt;&gt;"",E373=CONSULTA_UNIDADE!$B$4),MAX($K$1:$K$372)+1,"")</f>
        <v/>
      </c>
      <c r="L373" s="86"/>
      <c r="M373" s="86"/>
      <c r="N373" s="86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customFormat="false" ht="16.5" hidden="false" customHeight="true" outlineLevel="0" collapsed="false">
      <c r="A374" s="86"/>
      <c r="B374" s="88"/>
      <c r="C374" s="86"/>
      <c r="D374" s="87" t="str">
        <f aca="false">IF(E374="","",IFERROR(INDEX(CADASTRO_VIVO_3CRE!$B$2:$B$150,MATCH(E374,CADASTRO_VIVO_3CRE!$E$2:$E$150,0)),""))</f>
        <v/>
      </c>
      <c r="E374" s="86"/>
      <c r="F374" s="86"/>
      <c r="G374" s="86"/>
      <c r="H374" s="86"/>
      <c r="I374" s="86"/>
      <c r="J374" s="86"/>
      <c r="K374" s="117" t="str">
        <f aca="false">IF(AND(A374&lt;&gt;"",E374=CONSULTA_UNIDADE!$B$4),MAX($K$1:$K$373)+1,"")</f>
        <v/>
      </c>
      <c r="L374" s="86"/>
      <c r="M374" s="86"/>
      <c r="N374" s="86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customFormat="false" ht="16.5" hidden="false" customHeight="true" outlineLevel="0" collapsed="false">
      <c r="A375" s="86"/>
      <c r="B375" s="88"/>
      <c r="C375" s="86"/>
      <c r="D375" s="87" t="str">
        <f aca="false">IF(E375="","",IFERROR(INDEX(CADASTRO_VIVO_3CRE!$B$2:$B$150,MATCH(E375,CADASTRO_VIVO_3CRE!$E$2:$E$150,0)),""))</f>
        <v/>
      </c>
      <c r="E375" s="86"/>
      <c r="F375" s="86"/>
      <c r="G375" s="86"/>
      <c r="H375" s="86"/>
      <c r="I375" s="86"/>
      <c r="J375" s="86"/>
      <c r="K375" s="117" t="str">
        <f aca="false">IF(AND(A375&lt;&gt;"",E375=CONSULTA_UNIDADE!$B$4),MAX($K$1:$K$374)+1,"")</f>
        <v/>
      </c>
      <c r="L375" s="86"/>
      <c r="M375" s="86"/>
      <c r="N375" s="86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customFormat="false" ht="16.5" hidden="false" customHeight="true" outlineLevel="0" collapsed="false">
      <c r="A376" s="86"/>
      <c r="B376" s="88"/>
      <c r="C376" s="86"/>
      <c r="D376" s="87" t="str">
        <f aca="false">IF(E376="","",IFERROR(INDEX(CADASTRO_VIVO_3CRE!$B$2:$B$150,MATCH(E376,CADASTRO_VIVO_3CRE!$E$2:$E$150,0)),""))</f>
        <v/>
      </c>
      <c r="E376" s="86"/>
      <c r="F376" s="86"/>
      <c r="G376" s="86"/>
      <c r="H376" s="86"/>
      <c r="I376" s="86"/>
      <c r="J376" s="86"/>
      <c r="K376" s="117" t="str">
        <f aca="false">IF(AND(A376&lt;&gt;"",E376=CONSULTA_UNIDADE!$B$4),MAX($K$1:$K$375)+1,"")</f>
        <v/>
      </c>
      <c r="L376" s="86"/>
      <c r="M376" s="86"/>
      <c r="N376" s="86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customFormat="false" ht="16.5" hidden="false" customHeight="true" outlineLevel="0" collapsed="false">
      <c r="A377" s="86"/>
      <c r="B377" s="88"/>
      <c r="C377" s="86"/>
      <c r="D377" s="87" t="str">
        <f aca="false">IF(E377="","",IFERROR(INDEX(CADASTRO_VIVO_3CRE!$B$2:$B$150,MATCH(E377,CADASTRO_VIVO_3CRE!$E$2:$E$150,0)),""))</f>
        <v/>
      </c>
      <c r="E377" s="86"/>
      <c r="F377" s="86"/>
      <c r="G377" s="86"/>
      <c r="H377" s="86"/>
      <c r="I377" s="86"/>
      <c r="J377" s="86"/>
      <c r="K377" s="117" t="str">
        <f aca="false">IF(AND(A377&lt;&gt;"",E377=CONSULTA_UNIDADE!$B$4),MAX($K$1:$K$376)+1,"")</f>
        <v/>
      </c>
      <c r="L377" s="86"/>
      <c r="M377" s="86"/>
      <c r="N377" s="86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customFormat="false" ht="16.5" hidden="false" customHeight="true" outlineLevel="0" collapsed="false">
      <c r="A378" s="86"/>
      <c r="B378" s="88"/>
      <c r="C378" s="86"/>
      <c r="D378" s="87" t="str">
        <f aca="false">IF(E378="","",IFERROR(INDEX(CADASTRO_VIVO_3CRE!$B$2:$B$150,MATCH(E378,CADASTRO_VIVO_3CRE!$E$2:$E$150,0)),""))</f>
        <v/>
      </c>
      <c r="E378" s="86"/>
      <c r="F378" s="86"/>
      <c r="G378" s="86"/>
      <c r="H378" s="86"/>
      <c r="I378" s="86"/>
      <c r="J378" s="86"/>
      <c r="K378" s="117" t="str">
        <f aca="false">IF(AND(A378&lt;&gt;"",E378=CONSULTA_UNIDADE!$B$4),MAX($K$1:$K$377)+1,"")</f>
        <v/>
      </c>
      <c r="L378" s="86"/>
      <c r="M378" s="86"/>
      <c r="N378" s="86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customFormat="false" ht="16.5" hidden="false" customHeight="true" outlineLevel="0" collapsed="false">
      <c r="A379" s="86"/>
      <c r="B379" s="88"/>
      <c r="C379" s="86"/>
      <c r="D379" s="87" t="str">
        <f aca="false">IF(E379="","",IFERROR(INDEX(CADASTRO_VIVO_3CRE!$B$2:$B$150,MATCH(E379,CADASTRO_VIVO_3CRE!$E$2:$E$150,0)),""))</f>
        <v/>
      </c>
      <c r="E379" s="86"/>
      <c r="F379" s="86"/>
      <c r="G379" s="86"/>
      <c r="H379" s="86"/>
      <c r="I379" s="86"/>
      <c r="J379" s="86"/>
      <c r="K379" s="117" t="str">
        <f aca="false">IF(AND(A379&lt;&gt;"",E379=CONSULTA_UNIDADE!$B$4),MAX($K$1:$K$378)+1,"")</f>
        <v/>
      </c>
      <c r="L379" s="86"/>
      <c r="M379" s="86"/>
      <c r="N379" s="86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customFormat="false" ht="16.5" hidden="false" customHeight="true" outlineLevel="0" collapsed="false">
      <c r="A380" s="86"/>
      <c r="B380" s="88"/>
      <c r="C380" s="86"/>
      <c r="D380" s="87" t="str">
        <f aca="false">IF(E380="","",IFERROR(INDEX(CADASTRO_VIVO_3CRE!$B$2:$B$150,MATCH(E380,CADASTRO_VIVO_3CRE!$E$2:$E$150,0)),""))</f>
        <v/>
      </c>
      <c r="E380" s="86"/>
      <c r="F380" s="86"/>
      <c r="G380" s="86"/>
      <c r="H380" s="86"/>
      <c r="I380" s="86"/>
      <c r="J380" s="86"/>
      <c r="K380" s="117" t="str">
        <f aca="false">IF(AND(A380&lt;&gt;"",E380=CONSULTA_UNIDADE!$B$4),MAX($K$1:$K$379)+1,"")</f>
        <v/>
      </c>
      <c r="L380" s="86"/>
      <c r="M380" s="86"/>
      <c r="N380" s="86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customFormat="false" ht="16.5" hidden="false" customHeight="true" outlineLevel="0" collapsed="false">
      <c r="A381" s="86"/>
      <c r="B381" s="88"/>
      <c r="C381" s="86"/>
      <c r="D381" s="87" t="str">
        <f aca="false">IF(E381="","",IFERROR(INDEX(CADASTRO_VIVO_3CRE!$B$2:$B$150,MATCH(E381,CADASTRO_VIVO_3CRE!$E$2:$E$150,0)),""))</f>
        <v/>
      </c>
      <c r="E381" s="86"/>
      <c r="F381" s="86"/>
      <c r="G381" s="86"/>
      <c r="H381" s="86"/>
      <c r="I381" s="86"/>
      <c r="J381" s="86"/>
      <c r="K381" s="117" t="str">
        <f aca="false">IF(AND(A381&lt;&gt;"",E381=CONSULTA_UNIDADE!$B$4),MAX($K$1:$K$380)+1,"")</f>
        <v/>
      </c>
      <c r="L381" s="86"/>
      <c r="M381" s="86"/>
      <c r="N381" s="86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customFormat="false" ht="16.5" hidden="false" customHeight="true" outlineLevel="0" collapsed="false">
      <c r="A382" s="86"/>
      <c r="B382" s="88"/>
      <c r="C382" s="86"/>
      <c r="D382" s="87" t="str">
        <f aca="false">IF(E382="","",IFERROR(INDEX(CADASTRO_VIVO_3CRE!$B$2:$B$150,MATCH(E382,CADASTRO_VIVO_3CRE!$E$2:$E$150,0)),""))</f>
        <v/>
      </c>
      <c r="E382" s="86"/>
      <c r="F382" s="86"/>
      <c r="G382" s="86"/>
      <c r="H382" s="86"/>
      <c r="I382" s="86"/>
      <c r="J382" s="86"/>
      <c r="K382" s="117" t="str">
        <f aca="false">IF(AND(A382&lt;&gt;"",E382=CONSULTA_UNIDADE!$B$4),MAX($K$1:$K$381)+1,"")</f>
        <v/>
      </c>
      <c r="L382" s="86"/>
      <c r="M382" s="86"/>
      <c r="N382" s="86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customFormat="false" ht="16.5" hidden="false" customHeight="true" outlineLevel="0" collapsed="false">
      <c r="A383" s="86"/>
      <c r="B383" s="88"/>
      <c r="C383" s="86"/>
      <c r="D383" s="87" t="str">
        <f aca="false">IF(E383="","",IFERROR(INDEX(CADASTRO_VIVO_3CRE!$B$2:$B$150,MATCH(E383,CADASTRO_VIVO_3CRE!$E$2:$E$150,0)),""))</f>
        <v/>
      </c>
      <c r="E383" s="86"/>
      <c r="F383" s="86"/>
      <c r="G383" s="86"/>
      <c r="H383" s="86"/>
      <c r="I383" s="86"/>
      <c r="J383" s="86"/>
      <c r="K383" s="117" t="str">
        <f aca="false">IF(AND(A383&lt;&gt;"",E383=CONSULTA_UNIDADE!$B$4),MAX($K$1:$K$382)+1,"")</f>
        <v/>
      </c>
      <c r="L383" s="86"/>
      <c r="M383" s="86"/>
      <c r="N383" s="86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customFormat="false" ht="16.5" hidden="false" customHeight="true" outlineLevel="0" collapsed="false">
      <c r="A384" s="86"/>
      <c r="B384" s="88"/>
      <c r="C384" s="86"/>
      <c r="D384" s="87" t="str">
        <f aca="false">IF(E384="","",IFERROR(INDEX(CADASTRO_VIVO_3CRE!$B$2:$B$150,MATCH(E384,CADASTRO_VIVO_3CRE!$E$2:$E$150,0)),""))</f>
        <v/>
      </c>
      <c r="E384" s="86"/>
      <c r="F384" s="86"/>
      <c r="G384" s="86"/>
      <c r="H384" s="86"/>
      <c r="I384" s="86"/>
      <c r="J384" s="86"/>
      <c r="K384" s="117" t="str">
        <f aca="false">IF(AND(A384&lt;&gt;"",E384=CONSULTA_UNIDADE!$B$4),MAX($K$1:$K$383)+1,"")</f>
        <v/>
      </c>
      <c r="L384" s="86"/>
      <c r="M384" s="86"/>
      <c r="N384" s="86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customFormat="false" ht="16.5" hidden="false" customHeight="true" outlineLevel="0" collapsed="false">
      <c r="A385" s="86"/>
      <c r="B385" s="88"/>
      <c r="C385" s="86"/>
      <c r="D385" s="87" t="str">
        <f aca="false">IF(E385="","",IFERROR(INDEX(CADASTRO_VIVO_3CRE!$B$2:$B$150,MATCH(E385,CADASTRO_VIVO_3CRE!$E$2:$E$150,0)),""))</f>
        <v/>
      </c>
      <c r="E385" s="86"/>
      <c r="F385" s="86"/>
      <c r="G385" s="86"/>
      <c r="H385" s="86"/>
      <c r="I385" s="86"/>
      <c r="J385" s="86"/>
      <c r="K385" s="117" t="str">
        <f aca="false">IF(AND(A385&lt;&gt;"",E385=CONSULTA_UNIDADE!$B$4),MAX($K$1:$K$384)+1,"")</f>
        <v/>
      </c>
      <c r="L385" s="86"/>
      <c r="M385" s="86"/>
      <c r="N385" s="86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customFormat="false" ht="16.5" hidden="false" customHeight="true" outlineLevel="0" collapsed="false">
      <c r="A386" s="86"/>
      <c r="B386" s="88"/>
      <c r="C386" s="86"/>
      <c r="D386" s="87" t="str">
        <f aca="false">IF(E386="","",IFERROR(INDEX(CADASTRO_VIVO_3CRE!$B$2:$B$150,MATCH(E386,CADASTRO_VIVO_3CRE!$E$2:$E$150,0)),""))</f>
        <v/>
      </c>
      <c r="E386" s="86"/>
      <c r="F386" s="86"/>
      <c r="G386" s="86"/>
      <c r="H386" s="86"/>
      <c r="I386" s="86"/>
      <c r="J386" s="86"/>
      <c r="K386" s="117" t="str">
        <f aca="false">IF(AND(A386&lt;&gt;"",E386=CONSULTA_UNIDADE!$B$4),MAX($K$1:$K$385)+1,"")</f>
        <v/>
      </c>
      <c r="L386" s="86"/>
      <c r="M386" s="86"/>
      <c r="N386" s="86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customFormat="false" ht="16.5" hidden="false" customHeight="true" outlineLevel="0" collapsed="false">
      <c r="A387" s="86"/>
      <c r="B387" s="88"/>
      <c r="C387" s="86"/>
      <c r="D387" s="87" t="str">
        <f aca="false">IF(E387="","",IFERROR(INDEX(CADASTRO_VIVO_3CRE!$B$2:$B$150,MATCH(E387,CADASTRO_VIVO_3CRE!$E$2:$E$150,0)),""))</f>
        <v/>
      </c>
      <c r="E387" s="86"/>
      <c r="F387" s="86"/>
      <c r="G387" s="86"/>
      <c r="H387" s="86"/>
      <c r="I387" s="86"/>
      <c r="J387" s="86"/>
      <c r="K387" s="117" t="str">
        <f aca="false">IF(AND(A387&lt;&gt;"",E387=CONSULTA_UNIDADE!$B$4),MAX($K$1:$K$386)+1,"")</f>
        <v/>
      </c>
      <c r="L387" s="86"/>
      <c r="M387" s="86"/>
      <c r="N387" s="86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customFormat="false" ht="16.5" hidden="false" customHeight="true" outlineLevel="0" collapsed="false">
      <c r="A388" s="86"/>
      <c r="B388" s="88"/>
      <c r="C388" s="86"/>
      <c r="D388" s="87" t="str">
        <f aca="false">IF(E388="","",IFERROR(INDEX(CADASTRO_VIVO_3CRE!$B$2:$B$150,MATCH(E388,CADASTRO_VIVO_3CRE!$E$2:$E$150,0)),""))</f>
        <v/>
      </c>
      <c r="E388" s="86"/>
      <c r="F388" s="86"/>
      <c r="G388" s="86"/>
      <c r="H388" s="86"/>
      <c r="I388" s="86"/>
      <c r="J388" s="86"/>
      <c r="K388" s="117" t="str">
        <f aca="false">IF(AND(A388&lt;&gt;"",E388=CONSULTA_UNIDADE!$B$4),MAX($K$1:$K$387)+1,"")</f>
        <v/>
      </c>
      <c r="L388" s="86"/>
      <c r="M388" s="86"/>
      <c r="N388" s="86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customFormat="false" ht="16.5" hidden="false" customHeight="true" outlineLevel="0" collapsed="false">
      <c r="A389" s="86"/>
      <c r="B389" s="88"/>
      <c r="C389" s="86"/>
      <c r="D389" s="87" t="str">
        <f aca="false">IF(E389="","",IFERROR(INDEX(CADASTRO_VIVO_3CRE!$B$2:$B$150,MATCH(E389,CADASTRO_VIVO_3CRE!$E$2:$E$150,0)),""))</f>
        <v/>
      </c>
      <c r="E389" s="86"/>
      <c r="F389" s="86"/>
      <c r="G389" s="86"/>
      <c r="H389" s="86"/>
      <c r="I389" s="86"/>
      <c r="J389" s="86"/>
      <c r="K389" s="117" t="str">
        <f aca="false">IF(AND(A389&lt;&gt;"",E389=CONSULTA_UNIDADE!$B$4),MAX($K$1:$K$388)+1,"")</f>
        <v/>
      </c>
      <c r="L389" s="86"/>
      <c r="M389" s="86"/>
      <c r="N389" s="86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customFormat="false" ht="16.5" hidden="false" customHeight="true" outlineLevel="0" collapsed="false">
      <c r="A390" s="86"/>
      <c r="B390" s="88"/>
      <c r="C390" s="86"/>
      <c r="D390" s="87" t="str">
        <f aca="false">IF(E390="","",IFERROR(INDEX(CADASTRO_VIVO_3CRE!$B$2:$B$150,MATCH(E390,CADASTRO_VIVO_3CRE!$E$2:$E$150,0)),""))</f>
        <v/>
      </c>
      <c r="E390" s="86"/>
      <c r="F390" s="86"/>
      <c r="G390" s="86"/>
      <c r="H390" s="86"/>
      <c r="I390" s="86"/>
      <c r="J390" s="86"/>
      <c r="K390" s="117" t="str">
        <f aca="false">IF(AND(A390&lt;&gt;"",E390=CONSULTA_UNIDADE!$B$4),MAX($K$1:$K$389)+1,"")</f>
        <v/>
      </c>
      <c r="L390" s="86"/>
      <c r="M390" s="86"/>
      <c r="N390" s="86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customFormat="false" ht="16.5" hidden="false" customHeight="true" outlineLevel="0" collapsed="false">
      <c r="A391" s="86"/>
      <c r="B391" s="88"/>
      <c r="C391" s="86"/>
      <c r="D391" s="87" t="str">
        <f aca="false">IF(E391="","",IFERROR(INDEX(CADASTRO_VIVO_3CRE!$B$2:$B$150,MATCH(E391,CADASTRO_VIVO_3CRE!$E$2:$E$150,0)),""))</f>
        <v/>
      </c>
      <c r="E391" s="86"/>
      <c r="F391" s="86"/>
      <c r="G391" s="86"/>
      <c r="H391" s="86"/>
      <c r="I391" s="86"/>
      <c r="J391" s="86"/>
      <c r="K391" s="117" t="str">
        <f aca="false">IF(AND(A391&lt;&gt;"",E391=CONSULTA_UNIDADE!$B$4),MAX($K$1:$K$390)+1,"")</f>
        <v/>
      </c>
      <c r="L391" s="86"/>
      <c r="M391" s="86"/>
      <c r="N391" s="86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customFormat="false" ht="16.5" hidden="false" customHeight="true" outlineLevel="0" collapsed="false">
      <c r="A392" s="86"/>
      <c r="B392" s="88"/>
      <c r="C392" s="86"/>
      <c r="D392" s="87" t="str">
        <f aca="false">IF(E392="","",IFERROR(INDEX(CADASTRO_VIVO_3CRE!$B$2:$B$150,MATCH(E392,CADASTRO_VIVO_3CRE!$E$2:$E$150,0)),""))</f>
        <v/>
      </c>
      <c r="E392" s="86"/>
      <c r="F392" s="86"/>
      <c r="G392" s="86"/>
      <c r="H392" s="86"/>
      <c r="I392" s="86"/>
      <c r="J392" s="86"/>
      <c r="K392" s="117" t="str">
        <f aca="false">IF(AND(A392&lt;&gt;"",E392=CONSULTA_UNIDADE!$B$4),MAX($K$1:$K$391)+1,"")</f>
        <v/>
      </c>
      <c r="L392" s="86"/>
      <c r="M392" s="86"/>
      <c r="N392" s="86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customFormat="false" ht="16.5" hidden="false" customHeight="true" outlineLevel="0" collapsed="false">
      <c r="A393" s="86"/>
      <c r="B393" s="88"/>
      <c r="C393" s="86"/>
      <c r="D393" s="87" t="str">
        <f aca="false">IF(E393="","",IFERROR(INDEX(CADASTRO_VIVO_3CRE!$B$2:$B$150,MATCH(E393,CADASTRO_VIVO_3CRE!$E$2:$E$150,0)),""))</f>
        <v/>
      </c>
      <c r="E393" s="86"/>
      <c r="F393" s="86"/>
      <c r="G393" s="86"/>
      <c r="H393" s="86"/>
      <c r="I393" s="86"/>
      <c r="J393" s="86"/>
      <c r="K393" s="117" t="str">
        <f aca="false">IF(AND(A393&lt;&gt;"",E393=CONSULTA_UNIDADE!$B$4),MAX($K$1:$K$392)+1,"")</f>
        <v/>
      </c>
      <c r="L393" s="86"/>
      <c r="M393" s="86"/>
      <c r="N393" s="86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customFormat="false" ht="16.5" hidden="false" customHeight="true" outlineLevel="0" collapsed="false">
      <c r="A394" s="86"/>
      <c r="B394" s="88"/>
      <c r="C394" s="86"/>
      <c r="D394" s="87" t="str">
        <f aca="false">IF(E394="","",IFERROR(INDEX(CADASTRO_VIVO_3CRE!$B$2:$B$150,MATCH(E394,CADASTRO_VIVO_3CRE!$E$2:$E$150,0)),""))</f>
        <v/>
      </c>
      <c r="E394" s="86"/>
      <c r="F394" s="86"/>
      <c r="G394" s="86"/>
      <c r="H394" s="86"/>
      <c r="I394" s="86"/>
      <c r="J394" s="86"/>
      <c r="K394" s="117" t="str">
        <f aca="false">IF(AND(A394&lt;&gt;"",E394=CONSULTA_UNIDADE!$B$4),MAX($K$1:$K$393)+1,"")</f>
        <v/>
      </c>
      <c r="L394" s="86"/>
      <c r="M394" s="86"/>
      <c r="N394" s="86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customFormat="false" ht="16.5" hidden="false" customHeight="true" outlineLevel="0" collapsed="false">
      <c r="A395" s="86"/>
      <c r="B395" s="88"/>
      <c r="C395" s="86"/>
      <c r="D395" s="87" t="str">
        <f aca="false">IF(E395="","",IFERROR(INDEX(CADASTRO_VIVO_3CRE!$B$2:$B$150,MATCH(E395,CADASTRO_VIVO_3CRE!$E$2:$E$150,0)),""))</f>
        <v/>
      </c>
      <c r="E395" s="86"/>
      <c r="F395" s="86"/>
      <c r="G395" s="86"/>
      <c r="H395" s="86"/>
      <c r="I395" s="86"/>
      <c r="J395" s="86"/>
      <c r="K395" s="117" t="str">
        <f aca="false">IF(AND(A395&lt;&gt;"",E395=CONSULTA_UNIDADE!$B$4),MAX($K$1:$K$394)+1,"")</f>
        <v/>
      </c>
      <c r="L395" s="86"/>
      <c r="M395" s="86"/>
      <c r="N395" s="86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customFormat="false" ht="16.5" hidden="false" customHeight="true" outlineLevel="0" collapsed="false">
      <c r="A396" s="86"/>
      <c r="B396" s="88"/>
      <c r="C396" s="86"/>
      <c r="D396" s="87" t="str">
        <f aca="false">IF(E396="","",IFERROR(INDEX(CADASTRO_VIVO_3CRE!$B$2:$B$150,MATCH(E396,CADASTRO_VIVO_3CRE!$E$2:$E$150,0)),""))</f>
        <v/>
      </c>
      <c r="E396" s="86"/>
      <c r="F396" s="86"/>
      <c r="G396" s="86"/>
      <c r="H396" s="86"/>
      <c r="I396" s="86"/>
      <c r="J396" s="86"/>
      <c r="K396" s="117" t="str">
        <f aca="false">IF(AND(A396&lt;&gt;"",E396=CONSULTA_UNIDADE!$B$4),MAX($K$1:$K$395)+1,"")</f>
        <v/>
      </c>
      <c r="L396" s="86"/>
      <c r="M396" s="86"/>
      <c r="N396" s="86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customFormat="false" ht="16.5" hidden="false" customHeight="true" outlineLevel="0" collapsed="false">
      <c r="A397" s="86"/>
      <c r="B397" s="88"/>
      <c r="C397" s="86"/>
      <c r="D397" s="87" t="str">
        <f aca="false">IF(E397="","",IFERROR(INDEX(CADASTRO_VIVO_3CRE!$B$2:$B$150,MATCH(E397,CADASTRO_VIVO_3CRE!$E$2:$E$150,0)),""))</f>
        <v/>
      </c>
      <c r="E397" s="86"/>
      <c r="F397" s="86"/>
      <c r="G397" s="86"/>
      <c r="H397" s="86"/>
      <c r="I397" s="86"/>
      <c r="J397" s="86"/>
      <c r="K397" s="117" t="str">
        <f aca="false">IF(AND(A397&lt;&gt;"",E397=CONSULTA_UNIDADE!$B$4),MAX($K$1:$K$396)+1,"")</f>
        <v/>
      </c>
      <c r="L397" s="86"/>
      <c r="M397" s="86"/>
      <c r="N397" s="86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customFormat="false" ht="16.5" hidden="false" customHeight="true" outlineLevel="0" collapsed="false">
      <c r="A398" s="86"/>
      <c r="B398" s="88"/>
      <c r="C398" s="86"/>
      <c r="D398" s="87" t="str">
        <f aca="false">IF(E398="","",IFERROR(INDEX(CADASTRO_VIVO_3CRE!$B$2:$B$150,MATCH(E398,CADASTRO_VIVO_3CRE!$E$2:$E$150,0)),""))</f>
        <v/>
      </c>
      <c r="E398" s="86"/>
      <c r="F398" s="86"/>
      <c r="G398" s="86"/>
      <c r="H398" s="86"/>
      <c r="I398" s="86"/>
      <c r="J398" s="86"/>
      <c r="K398" s="117" t="str">
        <f aca="false">IF(AND(A398&lt;&gt;"",E398=CONSULTA_UNIDADE!$B$4),MAX($K$1:$K$397)+1,"")</f>
        <v/>
      </c>
      <c r="L398" s="86"/>
      <c r="M398" s="86"/>
      <c r="N398" s="86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customFormat="false" ht="16.5" hidden="false" customHeight="true" outlineLevel="0" collapsed="false">
      <c r="A399" s="86"/>
      <c r="B399" s="88"/>
      <c r="C399" s="86"/>
      <c r="D399" s="87" t="str">
        <f aca="false">IF(E399="","",IFERROR(INDEX(CADASTRO_VIVO_3CRE!$B$2:$B$150,MATCH(E399,CADASTRO_VIVO_3CRE!$E$2:$E$150,0)),""))</f>
        <v/>
      </c>
      <c r="E399" s="86"/>
      <c r="F399" s="86"/>
      <c r="G399" s="86"/>
      <c r="H399" s="86"/>
      <c r="I399" s="86"/>
      <c r="J399" s="86"/>
      <c r="K399" s="117" t="str">
        <f aca="false">IF(AND(A399&lt;&gt;"",E399=CONSULTA_UNIDADE!$B$4),MAX($K$1:$K$398)+1,"")</f>
        <v/>
      </c>
      <c r="L399" s="86"/>
      <c r="M399" s="86"/>
      <c r="N399" s="86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customFormat="false" ht="16.5" hidden="false" customHeight="true" outlineLevel="0" collapsed="false">
      <c r="A400" s="86"/>
      <c r="B400" s="88"/>
      <c r="C400" s="86"/>
      <c r="D400" s="87" t="str">
        <f aca="false">IF(E400="","",IFERROR(INDEX(CADASTRO_VIVO_3CRE!$B$2:$B$150,MATCH(E400,CADASTRO_VIVO_3CRE!$E$2:$E$150,0)),""))</f>
        <v/>
      </c>
      <c r="E400" s="86"/>
      <c r="F400" s="86"/>
      <c r="G400" s="86"/>
      <c r="H400" s="86"/>
      <c r="I400" s="86"/>
      <c r="J400" s="86"/>
      <c r="K400" s="117" t="str">
        <f aca="false">IF(AND(A400&lt;&gt;"",E400=CONSULTA_UNIDADE!$B$4),MAX($K$1:$K$399)+1,"")</f>
        <v/>
      </c>
      <c r="L400" s="86"/>
      <c r="M400" s="86"/>
      <c r="N400" s="86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customFormat="false" ht="16.5" hidden="false" customHeight="true" outlineLevel="0" collapsed="false">
      <c r="A401" s="86"/>
      <c r="B401" s="88"/>
      <c r="C401" s="86"/>
      <c r="D401" s="87" t="str">
        <f aca="false">IF(E401="","",IFERROR(INDEX(CADASTRO_VIVO_3CRE!$B$2:$B$150,MATCH(E401,CADASTRO_VIVO_3CRE!$E$2:$E$150,0)),""))</f>
        <v/>
      </c>
      <c r="E401" s="86"/>
      <c r="F401" s="86"/>
      <c r="G401" s="86"/>
      <c r="H401" s="86"/>
      <c r="I401" s="86"/>
      <c r="J401" s="86"/>
      <c r="K401" s="117" t="str">
        <f aca="false">IF(AND(A401&lt;&gt;"",E401=CONSULTA_UNIDADE!$B$4),MAX($K$1:$K$400)+1,"")</f>
        <v/>
      </c>
      <c r="L401" s="86"/>
      <c r="M401" s="86"/>
      <c r="N401" s="86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customFormat="false" ht="16.5" hidden="false" customHeight="true" outlineLevel="0" collapsed="false">
      <c r="A402" s="86"/>
      <c r="B402" s="88"/>
      <c r="C402" s="86"/>
      <c r="D402" s="87" t="str">
        <f aca="false">IF(E402="","",IFERROR(INDEX(CADASTRO_VIVO_3CRE!$B$2:$B$150,MATCH(E402,CADASTRO_VIVO_3CRE!$E$2:$E$150,0)),""))</f>
        <v/>
      </c>
      <c r="E402" s="86"/>
      <c r="F402" s="86"/>
      <c r="G402" s="86"/>
      <c r="H402" s="86"/>
      <c r="I402" s="86"/>
      <c r="J402" s="86"/>
      <c r="K402" s="117" t="str">
        <f aca="false">IF(AND(A402&lt;&gt;"",E402=CONSULTA_UNIDADE!$B$4),MAX($K$1:$K$401)+1,"")</f>
        <v/>
      </c>
      <c r="L402" s="86"/>
      <c r="M402" s="86"/>
      <c r="N402" s="86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customFormat="false" ht="16.5" hidden="false" customHeight="true" outlineLevel="0" collapsed="false">
      <c r="A403" s="86"/>
      <c r="B403" s="88"/>
      <c r="C403" s="86"/>
      <c r="D403" s="87" t="str">
        <f aca="false">IF(E403="","",IFERROR(INDEX(CADASTRO_VIVO_3CRE!$B$2:$B$150,MATCH(E403,CADASTRO_VIVO_3CRE!$E$2:$E$150,0)),""))</f>
        <v/>
      </c>
      <c r="E403" s="86"/>
      <c r="F403" s="86"/>
      <c r="G403" s="86"/>
      <c r="H403" s="86"/>
      <c r="I403" s="86"/>
      <c r="J403" s="86"/>
      <c r="K403" s="117" t="str">
        <f aca="false">IF(AND(A403&lt;&gt;"",E403=CONSULTA_UNIDADE!$B$4),MAX($K$1:$K$402)+1,"")</f>
        <v/>
      </c>
      <c r="L403" s="86"/>
      <c r="M403" s="86"/>
      <c r="N403" s="86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customFormat="false" ht="16.5" hidden="false" customHeight="true" outlineLevel="0" collapsed="false">
      <c r="A404" s="86"/>
      <c r="B404" s="88"/>
      <c r="C404" s="86"/>
      <c r="D404" s="87" t="str">
        <f aca="false">IF(E404="","",IFERROR(INDEX(CADASTRO_VIVO_3CRE!$B$2:$B$150,MATCH(E404,CADASTRO_VIVO_3CRE!$E$2:$E$150,0)),""))</f>
        <v/>
      </c>
      <c r="E404" s="86"/>
      <c r="F404" s="86"/>
      <c r="G404" s="86"/>
      <c r="H404" s="86"/>
      <c r="I404" s="86"/>
      <c r="J404" s="86"/>
      <c r="K404" s="117" t="str">
        <f aca="false">IF(AND(A404&lt;&gt;"",E404=CONSULTA_UNIDADE!$B$4),MAX($K$1:$K$403)+1,"")</f>
        <v/>
      </c>
      <c r="L404" s="86"/>
      <c r="M404" s="86"/>
      <c r="N404" s="86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customFormat="false" ht="16.5" hidden="false" customHeight="true" outlineLevel="0" collapsed="false">
      <c r="A405" s="86"/>
      <c r="B405" s="88"/>
      <c r="C405" s="86"/>
      <c r="D405" s="87" t="str">
        <f aca="false">IF(E405="","",IFERROR(INDEX(CADASTRO_VIVO_3CRE!$B$2:$B$150,MATCH(E405,CADASTRO_VIVO_3CRE!$E$2:$E$150,0)),""))</f>
        <v/>
      </c>
      <c r="E405" s="86"/>
      <c r="F405" s="86"/>
      <c r="G405" s="86"/>
      <c r="H405" s="86"/>
      <c r="I405" s="86"/>
      <c r="J405" s="86"/>
      <c r="K405" s="117" t="str">
        <f aca="false">IF(AND(A405&lt;&gt;"",E405=CONSULTA_UNIDADE!$B$4),MAX($K$1:$K$404)+1,"")</f>
        <v/>
      </c>
      <c r="L405" s="86"/>
      <c r="M405" s="86"/>
      <c r="N405" s="86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customFormat="false" ht="16.5" hidden="false" customHeight="true" outlineLevel="0" collapsed="false">
      <c r="A406" s="86"/>
      <c r="B406" s="88"/>
      <c r="C406" s="86"/>
      <c r="D406" s="87" t="str">
        <f aca="false">IF(E406="","",IFERROR(INDEX(CADASTRO_VIVO_3CRE!$B$2:$B$150,MATCH(E406,CADASTRO_VIVO_3CRE!$E$2:$E$150,0)),""))</f>
        <v/>
      </c>
      <c r="E406" s="86"/>
      <c r="F406" s="86"/>
      <c r="G406" s="86"/>
      <c r="H406" s="86"/>
      <c r="I406" s="86"/>
      <c r="J406" s="86"/>
      <c r="K406" s="117" t="str">
        <f aca="false">IF(AND(A406&lt;&gt;"",E406=CONSULTA_UNIDADE!$B$4),MAX($K$1:$K$405)+1,"")</f>
        <v/>
      </c>
      <c r="L406" s="86"/>
      <c r="M406" s="86"/>
      <c r="N406" s="86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customFormat="false" ht="16.5" hidden="false" customHeight="true" outlineLevel="0" collapsed="false">
      <c r="A407" s="86"/>
      <c r="B407" s="88"/>
      <c r="C407" s="86"/>
      <c r="D407" s="87" t="str">
        <f aca="false">IF(E407="","",IFERROR(INDEX(CADASTRO_VIVO_3CRE!$B$2:$B$150,MATCH(E407,CADASTRO_VIVO_3CRE!$E$2:$E$150,0)),""))</f>
        <v/>
      </c>
      <c r="E407" s="86"/>
      <c r="F407" s="86"/>
      <c r="G407" s="86"/>
      <c r="H407" s="86"/>
      <c r="I407" s="86"/>
      <c r="J407" s="86"/>
      <c r="K407" s="117" t="str">
        <f aca="false">IF(AND(A407&lt;&gt;"",E407=CONSULTA_UNIDADE!$B$4),MAX($K$1:$K$406)+1,"")</f>
        <v/>
      </c>
      <c r="L407" s="86"/>
      <c r="M407" s="86"/>
      <c r="N407" s="86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customFormat="false" ht="16.5" hidden="false" customHeight="true" outlineLevel="0" collapsed="false">
      <c r="A408" s="86"/>
      <c r="B408" s="88"/>
      <c r="C408" s="86"/>
      <c r="D408" s="87" t="str">
        <f aca="false">IF(E408="","",IFERROR(INDEX(CADASTRO_VIVO_3CRE!$B$2:$B$150,MATCH(E408,CADASTRO_VIVO_3CRE!$E$2:$E$150,0)),""))</f>
        <v/>
      </c>
      <c r="E408" s="86"/>
      <c r="F408" s="86"/>
      <c r="G408" s="86"/>
      <c r="H408" s="86"/>
      <c r="I408" s="86"/>
      <c r="J408" s="86"/>
      <c r="K408" s="117" t="str">
        <f aca="false">IF(AND(A408&lt;&gt;"",E408=CONSULTA_UNIDADE!$B$4),MAX($K$1:$K$407)+1,"")</f>
        <v/>
      </c>
      <c r="L408" s="86"/>
      <c r="M408" s="86"/>
      <c r="N408" s="86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customFormat="false" ht="16.5" hidden="false" customHeight="true" outlineLevel="0" collapsed="false">
      <c r="A409" s="86"/>
      <c r="B409" s="88"/>
      <c r="C409" s="86"/>
      <c r="D409" s="87" t="str">
        <f aca="false">IF(E409="","",IFERROR(INDEX(CADASTRO_VIVO_3CRE!$B$2:$B$150,MATCH(E409,CADASTRO_VIVO_3CRE!$E$2:$E$150,0)),""))</f>
        <v/>
      </c>
      <c r="E409" s="86"/>
      <c r="F409" s="86"/>
      <c r="G409" s="86"/>
      <c r="H409" s="86"/>
      <c r="I409" s="86"/>
      <c r="J409" s="86"/>
      <c r="K409" s="117" t="str">
        <f aca="false">IF(AND(A409&lt;&gt;"",E409=CONSULTA_UNIDADE!$B$4),MAX($K$1:$K$408)+1,"")</f>
        <v/>
      </c>
      <c r="L409" s="86"/>
      <c r="M409" s="86"/>
      <c r="N409" s="86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customFormat="false" ht="16.5" hidden="false" customHeight="true" outlineLevel="0" collapsed="false">
      <c r="A410" s="86"/>
      <c r="B410" s="88"/>
      <c r="C410" s="86"/>
      <c r="D410" s="87" t="str">
        <f aca="false">IF(E410="","",IFERROR(INDEX(CADASTRO_VIVO_3CRE!$B$2:$B$150,MATCH(E410,CADASTRO_VIVO_3CRE!$E$2:$E$150,0)),""))</f>
        <v/>
      </c>
      <c r="E410" s="86"/>
      <c r="F410" s="86"/>
      <c r="G410" s="86"/>
      <c r="H410" s="86"/>
      <c r="I410" s="86"/>
      <c r="J410" s="86"/>
      <c r="K410" s="117" t="str">
        <f aca="false">IF(AND(A410&lt;&gt;"",E410=CONSULTA_UNIDADE!$B$4),MAX($K$1:$K$409)+1,"")</f>
        <v/>
      </c>
      <c r="L410" s="86"/>
      <c r="M410" s="86"/>
      <c r="N410" s="86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customFormat="false" ht="16.5" hidden="false" customHeight="true" outlineLevel="0" collapsed="false">
      <c r="A411" s="86"/>
      <c r="B411" s="88"/>
      <c r="C411" s="86"/>
      <c r="D411" s="87" t="str">
        <f aca="false">IF(E411="","",IFERROR(INDEX(CADASTRO_VIVO_3CRE!$B$2:$B$150,MATCH(E411,CADASTRO_VIVO_3CRE!$E$2:$E$150,0)),""))</f>
        <v/>
      </c>
      <c r="E411" s="86"/>
      <c r="F411" s="86"/>
      <c r="G411" s="86"/>
      <c r="H411" s="86"/>
      <c r="I411" s="86"/>
      <c r="J411" s="86"/>
      <c r="K411" s="117" t="str">
        <f aca="false">IF(AND(A411&lt;&gt;"",E411=CONSULTA_UNIDADE!$B$4),MAX($K$1:$K$410)+1,"")</f>
        <v/>
      </c>
      <c r="L411" s="86"/>
      <c r="M411" s="86"/>
      <c r="N411" s="86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customFormat="false" ht="16.5" hidden="false" customHeight="true" outlineLevel="0" collapsed="false">
      <c r="A412" s="86"/>
      <c r="B412" s="88"/>
      <c r="C412" s="86"/>
      <c r="D412" s="87" t="str">
        <f aca="false">IF(E412="","",IFERROR(INDEX(CADASTRO_VIVO_3CRE!$B$2:$B$150,MATCH(E412,CADASTRO_VIVO_3CRE!$E$2:$E$150,0)),""))</f>
        <v/>
      </c>
      <c r="E412" s="86"/>
      <c r="F412" s="86"/>
      <c r="G412" s="86"/>
      <c r="H412" s="86"/>
      <c r="I412" s="86"/>
      <c r="J412" s="86"/>
      <c r="K412" s="117" t="str">
        <f aca="false">IF(AND(A412&lt;&gt;"",E412=CONSULTA_UNIDADE!$B$4),MAX($K$1:$K$411)+1,"")</f>
        <v/>
      </c>
      <c r="L412" s="86"/>
      <c r="M412" s="86"/>
      <c r="N412" s="86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customFormat="false" ht="16.5" hidden="false" customHeight="true" outlineLevel="0" collapsed="false">
      <c r="A413" s="86"/>
      <c r="B413" s="88"/>
      <c r="C413" s="86"/>
      <c r="D413" s="87" t="str">
        <f aca="false">IF(E413="","",IFERROR(INDEX(CADASTRO_VIVO_3CRE!$B$2:$B$150,MATCH(E413,CADASTRO_VIVO_3CRE!$E$2:$E$150,0)),""))</f>
        <v/>
      </c>
      <c r="E413" s="86"/>
      <c r="F413" s="86"/>
      <c r="G413" s="86"/>
      <c r="H413" s="86"/>
      <c r="I413" s="86"/>
      <c r="J413" s="86"/>
      <c r="K413" s="117" t="str">
        <f aca="false">IF(AND(A413&lt;&gt;"",E413=CONSULTA_UNIDADE!$B$4),MAX($K$1:$K$412)+1,"")</f>
        <v/>
      </c>
      <c r="L413" s="86"/>
      <c r="M413" s="86"/>
      <c r="N413" s="86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customFormat="false" ht="16.5" hidden="false" customHeight="true" outlineLevel="0" collapsed="false">
      <c r="A414" s="86"/>
      <c r="B414" s="88"/>
      <c r="C414" s="86"/>
      <c r="D414" s="87" t="str">
        <f aca="false">IF(E414="","",IFERROR(INDEX(CADASTRO_VIVO_3CRE!$B$2:$B$150,MATCH(E414,CADASTRO_VIVO_3CRE!$E$2:$E$150,0)),""))</f>
        <v/>
      </c>
      <c r="E414" s="86"/>
      <c r="F414" s="86"/>
      <c r="G414" s="86"/>
      <c r="H414" s="86"/>
      <c r="I414" s="86"/>
      <c r="J414" s="86"/>
      <c r="K414" s="117" t="str">
        <f aca="false">IF(AND(A414&lt;&gt;"",E414=CONSULTA_UNIDADE!$B$4),MAX($K$1:$K$413)+1,"")</f>
        <v/>
      </c>
      <c r="L414" s="86"/>
      <c r="M414" s="86"/>
      <c r="N414" s="86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customFormat="false" ht="16.5" hidden="false" customHeight="true" outlineLevel="0" collapsed="false">
      <c r="A415" s="86"/>
      <c r="B415" s="88"/>
      <c r="C415" s="86"/>
      <c r="D415" s="87" t="str">
        <f aca="false">IF(E415="","",IFERROR(INDEX(CADASTRO_VIVO_3CRE!$B$2:$B$150,MATCH(E415,CADASTRO_VIVO_3CRE!$E$2:$E$150,0)),""))</f>
        <v/>
      </c>
      <c r="E415" s="86"/>
      <c r="F415" s="86"/>
      <c r="G415" s="86"/>
      <c r="H415" s="86"/>
      <c r="I415" s="86"/>
      <c r="J415" s="86"/>
      <c r="K415" s="117" t="str">
        <f aca="false">IF(AND(A415&lt;&gt;"",E415=CONSULTA_UNIDADE!$B$4),MAX($K$1:$K$414)+1,"")</f>
        <v/>
      </c>
      <c r="L415" s="86"/>
      <c r="M415" s="86"/>
      <c r="N415" s="86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customFormat="false" ht="16.5" hidden="false" customHeight="true" outlineLevel="0" collapsed="false">
      <c r="A416" s="86"/>
      <c r="B416" s="88"/>
      <c r="C416" s="86"/>
      <c r="D416" s="87" t="str">
        <f aca="false">IF(E416="","",IFERROR(INDEX(CADASTRO_VIVO_3CRE!$B$2:$B$150,MATCH(E416,CADASTRO_VIVO_3CRE!$E$2:$E$150,0)),""))</f>
        <v/>
      </c>
      <c r="E416" s="86"/>
      <c r="F416" s="86"/>
      <c r="G416" s="86"/>
      <c r="H416" s="86"/>
      <c r="I416" s="86"/>
      <c r="J416" s="86"/>
      <c r="K416" s="117" t="str">
        <f aca="false">IF(AND(A416&lt;&gt;"",E416=CONSULTA_UNIDADE!$B$4),MAX($K$1:$K$415)+1,"")</f>
        <v/>
      </c>
      <c r="L416" s="86"/>
      <c r="M416" s="86"/>
      <c r="N416" s="86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customFormat="false" ht="16.5" hidden="false" customHeight="true" outlineLevel="0" collapsed="false">
      <c r="A417" s="86"/>
      <c r="B417" s="88"/>
      <c r="C417" s="86"/>
      <c r="D417" s="87" t="str">
        <f aca="false">IF(E417="","",IFERROR(INDEX(CADASTRO_VIVO_3CRE!$B$2:$B$150,MATCH(E417,CADASTRO_VIVO_3CRE!$E$2:$E$150,0)),""))</f>
        <v/>
      </c>
      <c r="E417" s="86"/>
      <c r="F417" s="86"/>
      <c r="G417" s="86"/>
      <c r="H417" s="86"/>
      <c r="I417" s="86"/>
      <c r="J417" s="86"/>
      <c r="K417" s="117" t="str">
        <f aca="false">IF(AND(A417&lt;&gt;"",E417=CONSULTA_UNIDADE!$B$4),MAX($K$1:$K$416)+1,"")</f>
        <v/>
      </c>
      <c r="L417" s="86"/>
      <c r="M417" s="86"/>
      <c r="N417" s="86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customFormat="false" ht="16.5" hidden="false" customHeight="true" outlineLevel="0" collapsed="false">
      <c r="A418" s="86"/>
      <c r="B418" s="88"/>
      <c r="C418" s="86"/>
      <c r="D418" s="87" t="str">
        <f aca="false">IF(E418="","",IFERROR(INDEX(CADASTRO_VIVO_3CRE!$B$2:$B$150,MATCH(E418,CADASTRO_VIVO_3CRE!$E$2:$E$150,0)),""))</f>
        <v/>
      </c>
      <c r="E418" s="86"/>
      <c r="F418" s="86"/>
      <c r="G418" s="86"/>
      <c r="H418" s="86"/>
      <c r="I418" s="86"/>
      <c r="J418" s="86"/>
      <c r="K418" s="117" t="str">
        <f aca="false">IF(AND(A418&lt;&gt;"",E418=CONSULTA_UNIDADE!$B$4),MAX($K$1:$K$417)+1,"")</f>
        <v/>
      </c>
      <c r="L418" s="86"/>
      <c r="M418" s="86"/>
      <c r="N418" s="86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customFormat="false" ht="16.5" hidden="false" customHeight="true" outlineLevel="0" collapsed="false">
      <c r="A419" s="86"/>
      <c r="B419" s="88"/>
      <c r="C419" s="86"/>
      <c r="D419" s="87" t="str">
        <f aca="false">IF(E419="","",IFERROR(INDEX(CADASTRO_VIVO_3CRE!$B$2:$B$150,MATCH(E419,CADASTRO_VIVO_3CRE!$E$2:$E$150,0)),""))</f>
        <v/>
      </c>
      <c r="E419" s="86"/>
      <c r="F419" s="86"/>
      <c r="G419" s="86"/>
      <c r="H419" s="86"/>
      <c r="I419" s="86"/>
      <c r="J419" s="86"/>
      <c r="K419" s="117" t="str">
        <f aca="false">IF(AND(A419&lt;&gt;"",E419=CONSULTA_UNIDADE!$B$4),MAX($K$1:$K$418)+1,"")</f>
        <v/>
      </c>
      <c r="L419" s="86"/>
      <c r="M419" s="86"/>
      <c r="N419" s="86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customFormat="false" ht="16.5" hidden="false" customHeight="true" outlineLevel="0" collapsed="false">
      <c r="A420" s="86"/>
      <c r="B420" s="88"/>
      <c r="C420" s="86"/>
      <c r="D420" s="87" t="str">
        <f aca="false">IF(E420="","",IFERROR(INDEX(CADASTRO_VIVO_3CRE!$B$2:$B$150,MATCH(E420,CADASTRO_VIVO_3CRE!$E$2:$E$150,0)),""))</f>
        <v/>
      </c>
      <c r="E420" s="86"/>
      <c r="F420" s="86"/>
      <c r="G420" s="86"/>
      <c r="H420" s="86"/>
      <c r="I420" s="86"/>
      <c r="J420" s="86"/>
      <c r="K420" s="117" t="str">
        <f aca="false">IF(AND(A420&lt;&gt;"",E420=CONSULTA_UNIDADE!$B$4),MAX($K$1:$K$419)+1,"")</f>
        <v/>
      </c>
      <c r="L420" s="86"/>
      <c r="M420" s="86"/>
      <c r="N420" s="86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customFormat="false" ht="16.5" hidden="false" customHeight="true" outlineLevel="0" collapsed="false">
      <c r="A421" s="86"/>
      <c r="B421" s="88"/>
      <c r="C421" s="86"/>
      <c r="D421" s="87" t="str">
        <f aca="false">IF(E421="","",IFERROR(INDEX(CADASTRO_VIVO_3CRE!$B$2:$B$150,MATCH(E421,CADASTRO_VIVO_3CRE!$E$2:$E$150,0)),""))</f>
        <v/>
      </c>
      <c r="E421" s="86"/>
      <c r="F421" s="86"/>
      <c r="G421" s="86"/>
      <c r="H421" s="86"/>
      <c r="I421" s="86"/>
      <c r="J421" s="86"/>
      <c r="K421" s="117" t="str">
        <f aca="false">IF(AND(A421&lt;&gt;"",E421=CONSULTA_UNIDADE!$B$4),MAX($K$1:$K$420)+1,"")</f>
        <v/>
      </c>
      <c r="L421" s="86"/>
      <c r="M421" s="86"/>
      <c r="N421" s="86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customFormat="false" ht="16.5" hidden="false" customHeight="true" outlineLevel="0" collapsed="false">
      <c r="A422" s="86"/>
      <c r="B422" s="88"/>
      <c r="C422" s="86"/>
      <c r="D422" s="87" t="str">
        <f aca="false">IF(E422="","",IFERROR(INDEX(CADASTRO_VIVO_3CRE!$B$2:$B$150,MATCH(E422,CADASTRO_VIVO_3CRE!$E$2:$E$150,0)),""))</f>
        <v/>
      </c>
      <c r="E422" s="86"/>
      <c r="F422" s="86"/>
      <c r="G422" s="86"/>
      <c r="H422" s="86"/>
      <c r="I422" s="86"/>
      <c r="J422" s="86"/>
      <c r="K422" s="117" t="str">
        <f aca="false">IF(AND(A422&lt;&gt;"",E422=CONSULTA_UNIDADE!$B$4),MAX($K$1:$K$421)+1,"")</f>
        <v/>
      </c>
      <c r="L422" s="86"/>
      <c r="M422" s="86"/>
      <c r="N422" s="86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customFormat="false" ht="16.5" hidden="false" customHeight="true" outlineLevel="0" collapsed="false">
      <c r="A423" s="86"/>
      <c r="B423" s="88"/>
      <c r="C423" s="86"/>
      <c r="D423" s="87" t="str">
        <f aca="false">IF(E423="","",IFERROR(INDEX(CADASTRO_VIVO_3CRE!$B$2:$B$150,MATCH(E423,CADASTRO_VIVO_3CRE!$E$2:$E$150,0)),""))</f>
        <v/>
      </c>
      <c r="E423" s="86"/>
      <c r="F423" s="86"/>
      <c r="G423" s="86"/>
      <c r="H423" s="86"/>
      <c r="I423" s="86"/>
      <c r="J423" s="86"/>
      <c r="K423" s="117" t="str">
        <f aca="false">IF(AND(A423&lt;&gt;"",E423=CONSULTA_UNIDADE!$B$4),MAX($K$1:$K$422)+1,"")</f>
        <v/>
      </c>
      <c r="L423" s="86"/>
      <c r="M423" s="86"/>
      <c r="N423" s="86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customFormat="false" ht="16.5" hidden="false" customHeight="true" outlineLevel="0" collapsed="false">
      <c r="A424" s="86"/>
      <c r="B424" s="88"/>
      <c r="C424" s="86"/>
      <c r="D424" s="87" t="str">
        <f aca="false">IF(E424="","",IFERROR(INDEX(CADASTRO_VIVO_3CRE!$B$2:$B$150,MATCH(E424,CADASTRO_VIVO_3CRE!$E$2:$E$150,0)),""))</f>
        <v/>
      </c>
      <c r="E424" s="86"/>
      <c r="F424" s="86"/>
      <c r="G424" s="86"/>
      <c r="H424" s="86"/>
      <c r="I424" s="86"/>
      <c r="J424" s="86"/>
      <c r="K424" s="117" t="str">
        <f aca="false">IF(AND(A424&lt;&gt;"",E424=CONSULTA_UNIDADE!$B$4),MAX($K$1:$K$423)+1,"")</f>
        <v/>
      </c>
      <c r="L424" s="86"/>
      <c r="M424" s="86"/>
      <c r="N424" s="86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customFormat="false" ht="16.5" hidden="false" customHeight="true" outlineLevel="0" collapsed="false">
      <c r="A425" s="86"/>
      <c r="B425" s="88"/>
      <c r="C425" s="86"/>
      <c r="D425" s="87" t="str">
        <f aca="false">IF(E425="","",IFERROR(INDEX(CADASTRO_VIVO_3CRE!$B$2:$B$150,MATCH(E425,CADASTRO_VIVO_3CRE!$E$2:$E$150,0)),""))</f>
        <v/>
      </c>
      <c r="E425" s="86"/>
      <c r="F425" s="86"/>
      <c r="G425" s="86"/>
      <c r="H425" s="86"/>
      <c r="I425" s="86"/>
      <c r="J425" s="86"/>
      <c r="K425" s="117" t="str">
        <f aca="false">IF(AND(A425&lt;&gt;"",E425=CONSULTA_UNIDADE!$B$4),MAX($K$1:$K$424)+1,"")</f>
        <v/>
      </c>
      <c r="L425" s="86"/>
      <c r="M425" s="86"/>
      <c r="N425" s="86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customFormat="false" ht="16.5" hidden="false" customHeight="true" outlineLevel="0" collapsed="false">
      <c r="A426" s="86"/>
      <c r="B426" s="88"/>
      <c r="C426" s="86"/>
      <c r="D426" s="87" t="str">
        <f aca="false">IF(E426="","",IFERROR(INDEX(CADASTRO_VIVO_3CRE!$B$2:$B$150,MATCH(E426,CADASTRO_VIVO_3CRE!$E$2:$E$150,0)),""))</f>
        <v/>
      </c>
      <c r="E426" s="86"/>
      <c r="F426" s="86"/>
      <c r="G426" s="86"/>
      <c r="H426" s="86"/>
      <c r="I426" s="86"/>
      <c r="J426" s="86"/>
      <c r="K426" s="117" t="str">
        <f aca="false">IF(AND(A426&lt;&gt;"",E426=CONSULTA_UNIDADE!$B$4),MAX($K$1:$K$425)+1,"")</f>
        <v/>
      </c>
      <c r="L426" s="86"/>
      <c r="M426" s="86"/>
      <c r="N426" s="86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customFormat="false" ht="16.5" hidden="false" customHeight="true" outlineLevel="0" collapsed="false">
      <c r="A427" s="86"/>
      <c r="B427" s="88"/>
      <c r="C427" s="86"/>
      <c r="D427" s="87" t="str">
        <f aca="false">IF(E427="","",IFERROR(INDEX(CADASTRO_VIVO_3CRE!$B$2:$B$150,MATCH(E427,CADASTRO_VIVO_3CRE!$E$2:$E$150,0)),""))</f>
        <v/>
      </c>
      <c r="E427" s="86"/>
      <c r="F427" s="86"/>
      <c r="G427" s="86"/>
      <c r="H427" s="86"/>
      <c r="I427" s="86"/>
      <c r="J427" s="86"/>
      <c r="K427" s="117" t="str">
        <f aca="false">IF(AND(A427&lt;&gt;"",E427=CONSULTA_UNIDADE!$B$4),MAX($K$1:$K$426)+1,"")</f>
        <v/>
      </c>
      <c r="L427" s="86"/>
      <c r="M427" s="86"/>
      <c r="N427" s="86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customFormat="false" ht="16.5" hidden="false" customHeight="true" outlineLevel="0" collapsed="false">
      <c r="A428" s="86"/>
      <c r="B428" s="88"/>
      <c r="C428" s="86"/>
      <c r="D428" s="87" t="str">
        <f aca="false">IF(E428="","",IFERROR(INDEX(CADASTRO_VIVO_3CRE!$B$2:$B$150,MATCH(E428,CADASTRO_VIVO_3CRE!$E$2:$E$150,0)),""))</f>
        <v/>
      </c>
      <c r="E428" s="86"/>
      <c r="F428" s="86"/>
      <c r="G428" s="86"/>
      <c r="H428" s="86"/>
      <c r="I428" s="86"/>
      <c r="J428" s="86"/>
      <c r="K428" s="117" t="str">
        <f aca="false">IF(AND(A428&lt;&gt;"",E428=CONSULTA_UNIDADE!$B$4),MAX($K$1:$K$427)+1,"")</f>
        <v/>
      </c>
      <c r="L428" s="86"/>
      <c r="M428" s="86"/>
      <c r="N428" s="86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customFormat="false" ht="16.5" hidden="false" customHeight="true" outlineLevel="0" collapsed="false">
      <c r="A429" s="86"/>
      <c r="B429" s="88"/>
      <c r="C429" s="86"/>
      <c r="D429" s="87" t="str">
        <f aca="false">IF(E429="","",IFERROR(INDEX(CADASTRO_VIVO_3CRE!$B$2:$B$150,MATCH(E429,CADASTRO_VIVO_3CRE!$E$2:$E$150,0)),""))</f>
        <v/>
      </c>
      <c r="E429" s="86"/>
      <c r="F429" s="86"/>
      <c r="G429" s="86"/>
      <c r="H429" s="86"/>
      <c r="I429" s="86"/>
      <c r="J429" s="86"/>
      <c r="K429" s="117" t="str">
        <f aca="false">IF(AND(A429&lt;&gt;"",E429=CONSULTA_UNIDADE!$B$4),MAX($K$1:$K$428)+1,"")</f>
        <v/>
      </c>
      <c r="L429" s="86"/>
      <c r="M429" s="86"/>
      <c r="N429" s="86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customFormat="false" ht="16.5" hidden="false" customHeight="true" outlineLevel="0" collapsed="false">
      <c r="A430" s="86"/>
      <c r="B430" s="88"/>
      <c r="C430" s="86"/>
      <c r="D430" s="87" t="str">
        <f aca="false">IF(E430="","",IFERROR(INDEX(CADASTRO_VIVO_3CRE!$B$2:$B$150,MATCH(E430,CADASTRO_VIVO_3CRE!$E$2:$E$150,0)),""))</f>
        <v/>
      </c>
      <c r="E430" s="86"/>
      <c r="F430" s="86"/>
      <c r="G430" s="86"/>
      <c r="H430" s="86"/>
      <c r="I430" s="86"/>
      <c r="J430" s="86"/>
      <c r="K430" s="117" t="str">
        <f aca="false">IF(AND(A430&lt;&gt;"",E430=CONSULTA_UNIDADE!$B$4),MAX($K$1:$K$429)+1,"")</f>
        <v/>
      </c>
      <c r="L430" s="86"/>
      <c r="M430" s="86"/>
      <c r="N430" s="86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customFormat="false" ht="16.5" hidden="false" customHeight="true" outlineLevel="0" collapsed="false">
      <c r="A431" s="86"/>
      <c r="B431" s="88"/>
      <c r="C431" s="86"/>
      <c r="D431" s="87" t="str">
        <f aca="false">IF(E431="","",IFERROR(INDEX(CADASTRO_VIVO_3CRE!$B$2:$B$150,MATCH(E431,CADASTRO_VIVO_3CRE!$E$2:$E$150,0)),""))</f>
        <v/>
      </c>
      <c r="E431" s="86"/>
      <c r="F431" s="86"/>
      <c r="G431" s="86"/>
      <c r="H431" s="86"/>
      <c r="I431" s="86"/>
      <c r="J431" s="86"/>
      <c r="K431" s="117" t="str">
        <f aca="false">IF(AND(A431&lt;&gt;"",E431=CONSULTA_UNIDADE!$B$4),MAX($K$1:$K$430)+1,"")</f>
        <v/>
      </c>
      <c r="L431" s="86"/>
      <c r="M431" s="86"/>
      <c r="N431" s="86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customFormat="false" ht="16.5" hidden="false" customHeight="true" outlineLevel="0" collapsed="false">
      <c r="A432" s="86"/>
      <c r="B432" s="88"/>
      <c r="C432" s="86"/>
      <c r="D432" s="87" t="str">
        <f aca="false">IF(E432="","",IFERROR(INDEX(CADASTRO_VIVO_3CRE!$B$2:$B$150,MATCH(E432,CADASTRO_VIVO_3CRE!$E$2:$E$150,0)),""))</f>
        <v/>
      </c>
      <c r="E432" s="86"/>
      <c r="F432" s="86"/>
      <c r="G432" s="86"/>
      <c r="H432" s="86"/>
      <c r="I432" s="86"/>
      <c r="J432" s="86"/>
      <c r="K432" s="117" t="str">
        <f aca="false">IF(AND(A432&lt;&gt;"",E432=CONSULTA_UNIDADE!$B$4),MAX($K$1:$K$431)+1,"")</f>
        <v/>
      </c>
      <c r="L432" s="86"/>
      <c r="M432" s="86"/>
      <c r="N432" s="86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customFormat="false" ht="16.5" hidden="false" customHeight="true" outlineLevel="0" collapsed="false">
      <c r="A433" s="86"/>
      <c r="B433" s="88"/>
      <c r="C433" s="86"/>
      <c r="D433" s="87" t="str">
        <f aca="false">IF(E433="","",IFERROR(INDEX(CADASTRO_VIVO_3CRE!$B$2:$B$150,MATCH(E433,CADASTRO_VIVO_3CRE!$E$2:$E$150,0)),""))</f>
        <v/>
      </c>
      <c r="E433" s="86"/>
      <c r="F433" s="86"/>
      <c r="G433" s="86"/>
      <c r="H433" s="86"/>
      <c r="I433" s="86"/>
      <c r="J433" s="86"/>
      <c r="K433" s="117" t="str">
        <f aca="false">IF(AND(A433&lt;&gt;"",E433=CONSULTA_UNIDADE!$B$4),MAX($K$1:$K$432)+1,"")</f>
        <v/>
      </c>
      <c r="L433" s="86"/>
      <c r="M433" s="86"/>
      <c r="N433" s="86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customFormat="false" ht="16.5" hidden="false" customHeight="true" outlineLevel="0" collapsed="false">
      <c r="A434" s="86"/>
      <c r="B434" s="88"/>
      <c r="C434" s="86"/>
      <c r="D434" s="87" t="str">
        <f aca="false">IF(E434="","",IFERROR(INDEX(CADASTRO_VIVO_3CRE!$B$2:$B$150,MATCH(E434,CADASTRO_VIVO_3CRE!$E$2:$E$150,0)),""))</f>
        <v/>
      </c>
      <c r="E434" s="86"/>
      <c r="F434" s="86"/>
      <c r="G434" s="86"/>
      <c r="H434" s="86"/>
      <c r="I434" s="86"/>
      <c r="J434" s="86"/>
      <c r="K434" s="117" t="str">
        <f aca="false">IF(AND(A434&lt;&gt;"",E434=CONSULTA_UNIDADE!$B$4),MAX($K$1:$K$433)+1,"")</f>
        <v/>
      </c>
      <c r="L434" s="86"/>
      <c r="M434" s="86"/>
      <c r="N434" s="86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customFormat="false" ht="16.5" hidden="false" customHeight="true" outlineLevel="0" collapsed="false">
      <c r="A435" s="86"/>
      <c r="B435" s="88"/>
      <c r="C435" s="86"/>
      <c r="D435" s="87" t="str">
        <f aca="false">IF(E435="","",IFERROR(INDEX(CADASTRO_VIVO_3CRE!$B$2:$B$150,MATCH(E435,CADASTRO_VIVO_3CRE!$E$2:$E$150,0)),""))</f>
        <v/>
      </c>
      <c r="E435" s="86"/>
      <c r="F435" s="86"/>
      <c r="G435" s="86"/>
      <c r="H435" s="86"/>
      <c r="I435" s="86"/>
      <c r="J435" s="86"/>
      <c r="K435" s="117" t="str">
        <f aca="false">IF(AND(A435&lt;&gt;"",E435=CONSULTA_UNIDADE!$B$4),MAX($K$1:$K$434)+1,"")</f>
        <v/>
      </c>
      <c r="L435" s="86"/>
      <c r="M435" s="86"/>
      <c r="N435" s="86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customFormat="false" ht="16.5" hidden="false" customHeight="true" outlineLevel="0" collapsed="false">
      <c r="A436" s="86"/>
      <c r="B436" s="88"/>
      <c r="C436" s="86"/>
      <c r="D436" s="87" t="str">
        <f aca="false">IF(E436="","",IFERROR(INDEX(CADASTRO_VIVO_3CRE!$B$2:$B$150,MATCH(E436,CADASTRO_VIVO_3CRE!$E$2:$E$150,0)),""))</f>
        <v/>
      </c>
      <c r="E436" s="86"/>
      <c r="F436" s="86"/>
      <c r="G436" s="86"/>
      <c r="H436" s="86"/>
      <c r="I436" s="86"/>
      <c r="J436" s="86"/>
      <c r="K436" s="117" t="str">
        <f aca="false">IF(AND(A436&lt;&gt;"",E436=CONSULTA_UNIDADE!$B$4),MAX($K$1:$K$435)+1,"")</f>
        <v/>
      </c>
      <c r="L436" s="86"/>
      <c r="M436" s="86"/>
      <c r="N436" s="86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customFormat="false" ht="16.5" hidden="false" customHeight="true" outlineLevel="0" collapsed="false">
      <c r="A437" s="86"/>
      <c r="B437" s="88"/>
      <c r="C437" s="86"/>
      <c r="D437" s="87" t="str">
        <f aca="false">IF(E437="","",IFERROR(INDEX(CADASTRO_VIVO_3CRE!$B$2:$B$150,MATCH(E437,CADASTRO_VIVO_3CRE!$E$2:$E$150,0)),""))</f>
        <v/>
      </c>
      <c r="E437" s="86"/>
      <c r="F437" s="86"/>
      <c r="G437" s="86"/>
      <c r="H437" s="86"/>
      <c r="I437" s="86"/>
      <c r="J437" s="86"/>
      <c r="K437" s="117" t="str">
        <f aca="false">IF(AND(A437&lt;&gt;"",E437=CONSULTA_UNIDADE!$B$4),MAX($K$1:$K$436)+1,"")</f>
        <v/>
      </c>
      <c r="L437" s="86"/>
      <c r="M437" s="86"/>
      <c r="N437" s="86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customFormat="false" ht="16.5" hidden="false" customHeight="true" outlineLevel="0" collapsed="false">
      <c r="A438" s="86"/>
      <c r="B438" s="88"/>
      <c r="C438" s="86"/>
      <c r="D438" s="87" t="str">
        <f aca="false">IF(E438="","",IFERROR(INDEX(CADASTRO_VIVO_3CRE!$B$2:$B$150,MATCH(E438,CADASTRO_VIVO_3CRE!$E$2:$E$150,0)),""))</f>
        <v/>
      </c>
      <c r="E438" s="86"/>
      <c r="F438" s="86"/>
      <c r="G438" s="86"/>
      <c r="H438" s="86"/>
      <c r="I438" s="86"/>
      <c r="J438" s="86"/>
      <c r="K438" s="117" t="str">
        <f aca="false">IF(AND(A438&lt;&gt;"",E438=CONSULTA_UNIDADE!$B$4),MAX($K$1:$K$437)+1,"")</f>
        <v/>
      </c>
      <c r="L438" s="86"/>
      <c r="M438" s="86"/>
      <c r="N438" s="86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customFormat="false" ht="16.5" hidden="false" customHeight="true" outlineLevel="0" collapsed="false">
      <c r="A439" s="86"/>
      <c r="B439" s="88"/>
      <c r="C439" s="86"/>
      <c r="D439" s="87" t="str">
        <f aca="false">IF(E439="","",IFERROR(INDEX(CADASTRO_VIVO_3CRE!$B$2:$B$150,MATCH(E439,CADASTRO_VIVO_3CRE!$E$2:$E$150,0)),""))</f>
        <v/>
      </c>
      <c r="E439" s="86"/>
      <c r="F439" s="86"/>
      <c r="G439" s="86"/>
      <c r="H439" s="86"/>
      <c r="I439" s="86"/>
      <c r="J439" s="86"/>
      <c r="K439" s="117" t="str">
        <f aca="false">IF(AND(A439&lt;&gt;"",E439=CONSULTA_UNIDADE!$B$4),MAX($K$1:$K$438)+1,"")</f>
        <v/>
      </c>
      <c r="L439" s="86"/>
      <c r="M439" s="86"/>
      <c r="N439" s="86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customFormat="false" ht="16.5" hidden="false" customHeight="true" outlineLevel="0" collapsed="false">
      <c r="A440" s="86"/>
      <c r="B440" s="88"/>
      <c r="C440" s="86"/>
      <c r="D440" s="87" t="str">
        <f aca="false">IF(E440="","",IFERROR(INDEX(CADASTRO_VIVO_3CRE!$B$2:$B$150,MATCH(E440,CADASTRO_VIVO_3CRE!$E$2:$E$150,0)),""))</f>
        <v/>
      </c>
      <c r="E440" s="86"/>
      <c r="F440" s="86"/>
      <c r="G440" s="86"/>
      <c r="H440" s="86"/>
      <c r="I440" s="86"/>
      <c r="J440" s="86"/>
      <c r="K440" s="117" t="str">
        <f aca="false">IF(AND(A440&lt;&gt;"",E440=CONSULTA_UNIDADE!$B$4),MAX($K$1:$K$439)+1,"")</f>
        <v/>
      </c>
      <c r="L440" s="86"/>
      <c r="M440" s="86"/>
      <c r="N440" s="86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customFormat="false" ht="16.5" hidden="false" customHeight="true" outlineLevel="0" collapsed="false">
      <c r="A441" s="86"/>
      <c r="B441" s="88"/>
      <c r="C441" s="86"/>
      <c r="D441" s="87" t="str">
        <f aca="false">IF(E441="","",IFERROR(INDEX(CADASTRO_VIVO_3CRE!$B$2:$B$150,MATCH(E441,CADASTRO_VIVO_3CRE!$E$2:$E$150,0)),""))</f>
        <v/>
      </c>
      <c r="E441" s="86"/>
      <c r="F441" s="86"/>
      <c r="G441" s="86"/>
      <c r="H441" s="86"/>
      <c r="I441" s="86"/>
      <c r="J441" s="86"/>
      <c r="K441" s="117" t="str">
        <f aca="false">IF(AND(A441&lt;&gt;"",E441=CONSULTA_UNIDADE!$B$4),MAX($K$1:$K$440)+1,"")</f>
        <v/>
      </c>
      <c r="L441" s="86"/>
      <c r="M441" s="86"/>
      <c r="N441" s="86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customFormat="false" ht="16.5" hidden="false" customHeight="true" outlineLevel="0" collapsed="false">
      <c r="A442" s="86"/>
      <c r="B442" s="88"/>
      <c r="C442" s="86"/>
      <c r="D442" s="87" t="str">
        <f aca="false">IF(E442="","",IFERROR(INDEX(CADASTRO_VIVO_3CRE!$B$2:$B$150,MATCH(E442,CADASTRO_VIVO_3CRE!$E$2:$E$150,0)),""))</f>
        <v/>
      </c>
      <c r="E442" s="86"/>
      <c r="F442" s="86"/>
      <c r="G442" s="86"/>
      <c r="H442" s="86"/>
      <c r="I442" s="86"/>
      <c r="J442" s="86"/>
      <c r="K442" s="117" t="str">
        <f aca="false">IF(AND(A442&lt;&gt;"",E442=CONSULTA_UNIDADE!$B$4),MAX($K$1:$K$441)+1,"")</f>
        <v/>
      </c>
      <c r="L442" s="86"/>
      <c r="M442" s="86"/>
      <c r="N442" s="86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customFormat="false" ht="16.5" hidden="false" customHeight="true" outlineLevel="0" collapsed="false">
      <c r="A443" s="86"/>
      <c r="B443" s="88"/>
      <c r="C443" s="86"/>
      <c r="D443" s="87" t="str">
        <f aca="false">IF(E443="","",IFERROR(INDEX(CADASTRO_VIVO_3CRE!$B$2:$B$150,MATCH(E443,CADASTRO_VIVO_3CRE!$E$2:$E$150,0)),""))</f>
        <v/>
      </c>
      <c r="E443" s="86"/>
      <c r="F443" s="86"/>
      <c r="G443" s="86"/>
      <c r="H443" s="86"/>
      <c r="I443" s="86"/>
      <c r="J443" s="86"/>
      <c r="K443" s="117" t="str">
        <f aca="false">IF(AND(A443&lt;&gt;"",E443=CONSULTA_UNIDADE!$B$4),MAX($K$1:$K$442)+1,"")</f>
        <v/>
      </c>
      <c r="L443" s="86"/>
      <c r="M443" s="86"/>
      <c r="N443" s="86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customFormat="false" ht="16.5" hidden="false" customHeight="true" outlineLevel="0" collapsed="false">
      <c r="A444" s="86"/>
      <c r="B444" s="88"/>
      <c r="C444" s="86"/>
      <c r="D444" s="87" t="str">
        <f aca="false">IF(E444="","",IFERROR(INDEX(CADASTRO_VIVO_3CRE!$B$2:$B$150,MATCH(E444,CADASTRO_VIVO_3CRE!$E$2:$E$150,0)),""))</f>
        <v/>
      </c>
      <c r="E444" s="86"/>
      <c r="F444" s="86"/>
      <c r="G444" s="86"/>
      <c r="H444" s="86"/>
      <c r="I444" s="86"/>
      <c r="J444" s="86"/>
      <c r="K444" s="117" t="str">
        <f aca="false">IF(AND(A444&lt;&gt;"",E444=CONSULTA_UNIDADE!$B$4),MAX($K$1:$K$443)+1,"")</f>
        <v/>
      </c>
      <c r="L444" s="86"/>
      <c r="M444" s="86"/>
      <c r="N444" s="86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customFormat="false" ht="16.5" hidden="false" customHeight="true" outlineLevel="0" collapsed="false">
      <c r="A445" s="86"/>
      <c r="B445" s="88"/>
      <c r="C445" s="86"/>
      <c r="D445" s="87" t="str">
        <f aca="false">IF(E445="","",IFERROR(INDEX(CADASTRO_VIVO_3CRE!$B$2:$B$150,MATCH(E445,CADASTRO_VIVO_3CRE!$E$2:$E$150,0)),""))</f>
        <v/>
      </c>
      <c r="E445" s="86"/>
      <c r="F445" s="86"/>
      <c r="G445" s="86"/>
      <c r="H445" s="86"/>
      <c r="I445" s="86"/>
      <c r="J445" s="86"/>
      <c r="K445" s="117" t="str">
        <f aca="false">IF(AND(A445&lt;&gt;"",E445=CONSULTA_UNIDADE!$B$4),MAX($K$1:$K$444)+1,"")</f>
        <v/>
      </c>
      <c r="L445" s="86"/>
      <c r="M445" s="86"/>
      <c r="N445" s="86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customFormat="false" ht="16.5" hidden="false" customHeight="true" outlineLevel="0" collapsed="false">
      <c r="A446" s="86"/>
      <c r="B446" s="88"/>
      <c r="C446" s="86"/>
      <c r="D446" s="87" t="str">
        <f aca="false">IF(E446="","",IFERROR(INDEX(CADASTRO_VIVO_3CRE!$B$2:$B$150,MATCH(E446,CADASTRO_VIVO_3CRE!$E$2:$E$150,0)),""))</f>
        <v/>
      </c>
      <c r="E446" s="86"/>
      <c r="F446" s="86"/>
      <c r="G446" s="86"/>
      <c r="H446" s="86"/>
      <c r="I446" s="86"/>
      <c r="J446" s="86"/>
      <c r="K446" s="117" t="str">
        <f aca="false">IF(AND(A446&lt;&gt;"",E446=CONSULTA_UNIDADE!$B$4),MAX($K$1:$K$445)+1,"")</f>
        <v/>
      </c>
      <c r="L446" s="86"/>
      <c r="M446" s="86"/>
      <c r="N446" s="86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customFormat="false" ht="16.5" hidden="false" customHeight="true" outlineLevel="0" collapsed="false">
      <c r="A447" s="86"/>
      <c r="B447" s="88"/>
      <c r="C447" s="86"/>
      <c r="D447" s="87" t="str">
        <f aca="false">IF(E447="","",IFERROR(INDEX(CADASTRO_VIVO_3CRE!$B$2:$B$150,MATCH(E447,CADASTRO_VIVO_3CRE!$E$2:$E$150,0)),""))</f>
        <v/>
      </c>
      <c r="E447" s="86"/>
      <c r="F447" s="86"/>
      <c r="G447" s="86"/>
      <c r="H447" s="86"/>
      <c r="I447" s="86"/>
      <c r="J447" s="86"/>
      <c r="K447" s="117" t="str">
        <f aca="false">IF(AND(A447&lt;&gt;"",E447=CONSULTA_UNIDADE!$B$4),MAX($K$1:$K$446)+1,"")</f>
        <v/>
      </c>
      <c r="L447" s="86"/>
      <c r="M447" s="86"/>
      <c r="N447" s="86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customFormat="false" ht="16.5" hidden="false" customHeight="true" outlineLevel="0" collapsed="false">
      <c r="A448" s="86"/>
      <c r="B448" s="88"/>
      <c r="C448" s="86"/>
      <c r="D448" s="87" t="str">
        <f aca="false">IF(E448="","",IFERROR(INDEX(CADASTRO_VIVO_3CRE!$B$2:$B$150,MATCH(E448,CADASTRO_VIVO_3CRE!$E$2:$E$150,0)),""))</f>
        <v/>
      </c>
      <c r="E448" s="86"/>
      <c r="F448" s="86"/>
      <c r="G448" s="86"/>
      <c r="H448" s="86"/>
      <c r="I448" s="86"/>
      <c r="J448" s="86"/>
      <c r="K448" s="117" t="str">
        <f aca="false">IF(AND(A448&lt;&gt;"",E448=CONSULTA_UNIDADE!$B$4),MAX($K$1:$K$447)+1,"")</f>
        <v/>
      </c>
      <c r="L448" s="86"/>
      <c r="M448" s="86"/>
      <c r="N448" s="86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customFormat="false" ht="16.5" hidden="false" customHeight="true" outlineLevel="0" collapsed="false">
      <c r="A449" s="86"/>
      <c r="B449" s="88"/>
      <c r="C449" s="86"/>
      <c r="D449" s="87" t="str">
        <f aca="false">IF(E449="","",IFERROR(INDEX(CADASTRO_VIVO_3CRE!$B$2:$B$150,MATCH(E449,CADASTRO_VIVO_3CRE!$E$2:$E$150,0)),""))</f>
        <v/>
      </c>
      <c r="E449" s="86"/>
      <c r="F449" s="86"/>
      <c r="G449" s="86"/>
      <c r="H449" s="86"/>
      <c r="I449" s="86"/>
      <c r="J449" s="86"/>
      <c r="K449" s="117" t="str">
        <f aca="false">IF(AND(A449&lt;&gt;"",E449=CONSULTA_UNIDADE!$B$4),MAX($K$1:$K$448)+1,"")</f>
        <v/>
      </c>
      <c r="L449" s="86"/>
      <c r="M449" s="86"/>
      <c r="N449" s="86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customFormat="false" ht="16.5" hidden="false" customHeight="true" outlineLevel="0" collapsed="false">
      <c r="A450" s="86"/>
      <c r="B450" s="88"/>
      <c r="C450" s="86"/>
      <c r="D450" s="87" t="str">
        <f aca="false">IF(E450="","",IFERROR(INDEX(CADASTRO_VIVO_3CRE!$B$2:$B$150,MATCH(E450,CADASTRO_VIVO_3CRE!$E$2:$E$150,0)),""))</f>
        <v/>
      </c>
      <c r="E450" s="86"/>
      <c r="F450" s="86"/>
      <c r="G450" s="86"/>
      <c r="H450" s="86"/>
      <c r="I450" s="86"/>
      <c r="J450" s="86"/>
      <c r="K450" s="117" t="str">
        <f aca="false">IF(AND(A450&lt;&gt;"",E450=CONSULTA_UNIDADE!$B$4),MAX($K$1:$K$449)+1,"")</f>
        <v/>
      </c>
      <c r="L450" s="86"/>
      <c r="M450" s="86"/>
      <c r="N450" s="86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customFormat="false" ht="16.5" hidden="false" customHeight="true" outlineLevel="0" collapsed="false">
      <c r="A451" s="86"/>
      <c r="B451" s="88"/>
      <c r="C451" s="86"/>
      <c r="D451" s="87" t="str">
        <f aca="false">IF(E451="","",IFERROR(INDEX(CADASTRO_VIVO_3CRE!$B$2:$B$150,MATCH(E451,CADASTRO_VIVO_3CRE!$E$2:$E$150,0)),""))</f>
        <v/>
      </c>
      <c r="E451" s="86"/>
      <c r="F451" s="86"/>
      <c r="G451" s="86"/>
      <c r="H451" s="86"/>
      <c r="I451" s="86"/>
      <c r="J451" s="86"/>
      <c r="K451" s="117" t="str">
        <f aca="false">IF(AND(A451&lt;&gt;"",E451=CONSULTA_UNIDADE!$B$4),MAX($K$1:$K$450)+1,"")</f>
        <v/>
      </c>
      <c r="L451" s="86"/>
      <c r="M451" s="86"/>
      <c r="N451" s="86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customFormat="false" ht="16.5" hidden="false" customHeight="true" outlineLevel="0" collapsed="false">
      <c r="A452" s="86"/>
      <c r="B452" s="88"/>
      <c r="C452" s="86"/>
      <c r="D452" s="87" t="str">
        <f aca="false">IF(E452="","",IFERROR(INDEX(CADASTRO_VIVO_3CRE!$B$2:$B$150,MATCH(E452,CADASTRO_VIVO_3CRE!$E$2:$E$150,0)),""))</f>
        <v/>
      </c>
      <c r="E452" s="86"/>
      <c r="F452" s="86"/>
      <c r="G452" s="86"/>
      <c r="H452" s="86"/>
      <c r="I452" s="86"/>
      <c r="J452" s="86"/>
      <c r="K452" s="117" t="str">
        <f aca="false">IF(AND(A452&lt;&gt;"",E452=CONSULTA_UNIDADE!$B$4),MAX($K$1:$K$451)+1,"")</f>
        <v/>
      </c>
      <c r="L452" s="86"/>
      <c r="M452" s="86"/>
      <c r="N452" s="86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customFormat="false" ht="16.5" hidden="false" customHeight="true" outlineLevel="0" collapsed="false">
      <c r="A453" s="86"/>
      <c r="B453" s="88"/>
      <c r="C453" s="86"/>
      <c r="D453" s="87" t="str">
        <f aca="false">IF(E453="","",IFERROR(INDEX(CADASTRO_VIVO_3CRE!$B$2:$B$150,MATCH(E453,CADASTRO_VIVO_3CRE!$E$2:$E$150,0)),""))</f>
        <v/>
      </c>
      <c r="E453" s="86"/>
      <c r="F453" s="86"/>
      <c r="G453" s="86"/>
      <c r="H453" s="86"/>
      <c r="I453" s="86"/>
      <c r="J453" s="86"/>
      <c r="K453" s="117" t="str">
        <f aca="false">IF(AND(A453&lt;&gt;"",E453=CONSULTA_UNIDADE!$B$4),MAX($K$1:$K$452)+1,"")</f>
        <v/>
      </c>
      <c r="L453" s="86"/>
      <c r="M453" s="86"/>
      <c r="N453" s="86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customFormat="false" ht="16.5" hidden="false" customHeight="true" outlineLevel="0" collapsed="false">
      <c r="A454" s="86"/>
      <c r="B454" s="88"/>
      <c r="C454" s="86"/>
      <c r="D454" s="87" t="str">
        <f aca="false">IF(E454="","",IFERROR(INDEX(CADASTRO_VIVO_3CRE!$B$2:$B$150,MATCH(E454,CADASTRO_VIVO_3CRE!$E$2:$E$150,0)),""))</f>
        <v/>
      </c>
      <c r="E454" s="86"/>
      <c r="F454" s="86"/>
      <c r="G454" s="86"/>
      <c r="H454" s="86"/>
      <c r="I454" s="86"/>
      <c r="J454" s="86"/>
      <c r="K454" s="117" t="str">
        <f aca="false">IF(AND(A454&lt;&gt;"",E454=CONSULTA_UNIDADE!$B$4),MAX($K$1:$K$453)+1,"")</f>
        <v/>
      </c>
      <c r="L454" s="86"/>
      <c r="M454" s="86"/>
      <c r="N454" s="86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customFormat="false" ht="16.5" hidden="false" customHeight="true" outlineLevel="0" collapsed="false">
      <c r="A455" s="86"/>
      <c r="B455" s="88"/>
      <c r="C455" s="86"/>
      <c r="D455" s="87" t="str">
        <f aca="false">IF(E455="","",IFERROR(INDEX(CADASTRO_VIVO_3CRE!$B$2:$B$150,MATCH(E455,CADASTRO_VIVO_3CRE!$E$2:$E$150,0)),""))</f>
        <v/>
      </c>
      <c r="E455" s="86"/>
      <c r="F455" s="86"/>
      <c r="G455" s="86"/>
      <c r="H455" s="86"/>
      <c r="I455" s="86"/>
      <c r="J455" s="86"/>
      <c r="K455" s="117" t="str">
        <f aca="false">IF(AND(A455&lt;&gt;"",E455=CONSULTA_UNIDADE!$B$4),MAX($K$1:$K$454)+1,"")</f>
        <v/>
      </c>
      <c r="L455" s="86"/>
      <c r="M455" s="86"/>
      <c r="N455" s="86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customFormat="false" ht="16.5" hidden="false" customHeight="true" outlineLevel="0" collapsed="false">
      <c r="A456" s="86"/>
      <c r="B456" s="88"/>
      <c r="C456" s="86"/>
      <c r="D456" s="87" t="str">
        <f aca="false">IF(E456="","",IFERROR(INDEX(CADASTRO_VIVO_3CRE!$B$2:$B$150,MATCH(E456,CADASTRO_VIVO_3CRE!$E$2:$E$150,0)),""))</f>
        <v/>
      </c>
      <c r="E456" s="86"/>
      <c r="F456" s="86"/>
      <c r="G456" s="86"/>
      <c r="H456" s="86"/>
      <c r="I456" s="86"/>
      <c r="J456" s="86"/>
      <c r="K456" s="117" t="str">
        <f aca="false">IF(AND(A456&lt;&gt;"",E456=CONSULTA_UNIDADE!$B$4),MAX($K$1:$K$455)+1,"")</f>
        <v/>
      </c>
      <c r="L456" s="86"/>
      <c r="M456" s="86"/>
      <c r="N456" s="86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customFormat="false" ht="16.5" hidden="false" customHeight="true" outlineLevel="0" collapsed="false">
      <c r="A457" s="86"/>
      <c r="B457" s="88"/>
      <c r="C457" s="86"/>
      <c r="D457" s="87" t="str">
        <f aca="false">IF(E457="","",IFERROR(INDEX(CADASTRO_VIVO_3CRE!$B$2:$B$150,MATCH(E457,CADASTRO_VIVO_3CRE!$E$2:$E$150,0)),""))</f>
        <v/>
      </c>
      <c r="E457" s="86"/>
      <c r="F457" s="86"/>
      <c r="G457" s="86"/>
      <c r="H457" s="86"/>
      <c r="I457" s="86"/>
      <c r="J457" s="86"/>
      <c r="K457" s="117" t="str">
        <f aca="false">IF(AND(A457&lt;&gt;"",E457=CONSULTA_UNIDADE!$B$4),MAX($K$1:$K$456)+1,"")</f>
        <v/>
      </c>
      <c r="L457" s="86"/>
      <c r="M457" s="86"/>
      <c r="N457" s="86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customFormat="false" ht="16.5" hidden="false" customHeight="true" outlineLevel="0" collapsed="false">
      <c r="A458" s="86"/>
      <c r="B458" s="88"/>
      <c r="C458" s="86"/>
      <c r="D458" s="87" t="str">
        <f aca="false">IF(E458="","",IFERROR(INDEX(CADASTRO_VIVO_3CRE!$B$2:$B$150,MATCH(E458,CADASTRO_VIVO_3CRE!$E$2:$E$150,0)),""))</f>
        <v/>
      </c>
      <c r="E458" s="86"/>
      <c r="F458" s="86"/>
      <c r="G458" s="86"/>
      <c r="H458" s="86"/>
      <c r="I458" s="86"/>
      <c r="J458" s="86"/>
      <c r="K458" s="117" t="str">
        <f aca="false">IF(AND(A458&lt;&gt;"",E458=CONSULTA_UNIDADE!$B$4),MAX($K$1:$K$457)+1,"")</f>
        <v/>
      </c>
      <c r="L458" s="86"/>
      <c r="M458" s="86"/>
      <c r="N458" s="86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customFormat="false" ht="16.5" hidden="false" customHeight="true" outlineLevel="0" collapsed="false">
      <c r="A459" s="86"/>
      <c r="B459" s="88"/>
      <c r="C459" s="86"/>
      <c r="D459" s="87" t="str">
        <f aca="false">IF(E459="","",IFERROR(INDEX(CADASTRO_VIVO_3CRE!$B$2:$B$150,MATCH(E459,CADASTRO_VIVO_3CRE!$E$2:$E$150,0)),""))</f>
        <v/>
      </c>
      <c r="E459" s="86"/>
      <c r="F459" s="86"/>
      <c r="G459" s="86"/>
      <c r="H459" s="86"/>
      <c r="I459" s="86"/>
      <c r="J459" s="86"/>
      <c r="K459" s="117" t="str">
        <f aca="false">IF(AND(A459&lt;&gt;"",E459=CONSULTA_UNIDADE!$B$4),MAX($K$1:$K$458)+1,"")</f>
        <v/>
      </c>
      <c r="L459" s="86"/>
      <c r="M459" s="86"/>
      <c r="N459" s="86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customFormat="false" ht="16.5" hidden="false" customHeight="true" outlineLevel="0" collapsed="false">
      <c r="A460" s="86"/>
      <c r="B460" s="88"/>
      <c r="C460" s="86"/>
      <c r="D460" s="87" t="str">
        <f aca="false">IF(E460="","",IFERROR(INDEX(CADASTRO_VIVO_3CRE!$B$2:$B$150,MATCH(E460,CADASTRO_VIVO_3CRE!$E$2:$E$150,0)),""))</f>
        <v/>
      </c>
      <c r="E460" s="86"/>
      <c r="F460" s="86"/>
      <c r="G460" s="86"/>
      <c r="H460" s="86"/>
      <c r="I460" s="86"/>
      <c r="J460" s="86"/>
      <c r="K460" s="117" t="str">
        <f aca="false">IF(AND(A460&lt;&gt;"",E460=CONSULTA_UNIDADE!$B$4),MAX($K$1:$K$459)+1,"")</f>
        <v/>
      </c>
      <c r="L460" s="86"/>
      <c r="M460" s="86"/>
      <c r="N460" s="86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customFormat="false" ht="16.5" hidden="false" customHeight="true" outlineLevel="0" collapsed="false">
      <c r="A461" s="86"/>
      <c r="B461" s="88"/>
      <c r="C461" s="86"/>
      <c r="D461" s="87" t="str">
        <f aca="false">IF(E461="","",IFERROR(INDEX(CADASTRO_VIVO_3CRE!$B$2:$B$150,MATCH(E461,CADASTRO_VIVO_3CRE!$E$2:$E$150,0)),""))</f>
        <v/>
      </c>
      <c r="E461" s="86"/>
      <c r="F461" s="86"/>
      <c r="G461" s="86"/>
      <c r="H461" s="86"/>
      <c r="I461" s="86"/>
      <c r="J461" s="86"/>
      <c r="K461" s="117" t="str">
        <f aca="false">IF(AND(A461&lt;&gt;"",E461=CONSULTA_UNIDADE!$B$4),MAX($K$1:$K$460)+1,"")</f>
        <v/>
      </c>
      <c r="L461" s="86"/>
      <c r="M461" s="86"/>
      <c r="N461" s="86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customFormat="false" ht="16.5" hidden="false" customHeight="true" outlineLevel="0" collapsed="false">
      <c r="A462" s="86"/>
      <c r="B462" s="88"/>
      <c r="C462" s="86"/>
      <c r="D462" s="87" t="str">
        <f aca="false">IF(E462="","",IFERROR(INDEX(CADASTRO_VIVO_3CRE!$B$2:$B$150,MATCH(E462,CADASTRO_VIVO_3CRE!$E$2:$E$150,0)),""))</f>
        <v/>
      </c>
      <c r="E462" s="86"/>
      <c r="F462" s="86"/>
      <c r="G462" s="86"/>
      <c r="H462" s="86"/>
      <c r="I462" s="86"/>
      <c r="J462" s="86"/>
      <c r="K462" s="117" t="str">
        <f aca="false">IF(AND(A462&lt;&gt;"",E462=CONSULTA_UNIDADE!$B$4),MAX($K$1:$K$461)+1,"")</f>
        <v/>
      </c>
      <c r="L462" s="86"/>
      <c r="M462" s="86"/>
      <c r="N462" s="86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customFormat="false" ht="16.5" hidden="false" customHeight="true" outlineLevel="0" collapsed="false">
      <c r="A463" s="86"/>
      <c r="B463" s="88"/>
      <c r="C463" s="86"/>
      <c r="D463" s="87" t="str">
        <f aca="false">IF(E463="","",IFERROR(INDEX(CADASTRO_VIVO_3CRE!$B$2:$B$150,MATCH(E463,CADASTRO_VIVO_3CRE!$E$2:$E$150,0)),""))</f>
        <v/>
      </c>
      <c r="E463" s="86"/>
      <c r="F463" s="86"/>
      <c r="G463" s="86"/>
      <c r="H463" s="86"/>
      <c r="I463" s="86"/>
      <c r="J463" s="86"/>
      <c r="K463" s="117" t="str">
        <f aca="false">IF(AND(A463&lt;&gt;"",E463=CONSULTA_UNIDADE!$B$4),MAX($K$1:$K$462)+1,"")</f>
        <v/>
      </c>
      <c r="L463" s="86"/>
      <c r="M463" s="86"/>
      <c r="N463" s="86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customFormat="false" ht="16.5" hidden="false" customHeight="true" outlineLevel="0" collapsed="false">
      <c r="A464" s="86"/>
      <c r="B464" s="88"/>
      <c r="C464" s="86"/>
      <c r="D464" s="87" t="str">
        <f aca="false">IF(E464="","",IFERROR(INDEX(CADASTRO_VIVO_3CRE!$B$2:$B$150,MATCH(E464,CADASTRO_VIVO_3CRE!$E$2:$E$150,0)),""))</f>
        <v/>
      </c>
      <c r="E464" s="86"/>
      <c r="F464" s="86"/>
      <c r="G464" s="86"/>
      <c r="H464" s="86"/>
      <c r="I464" s="86"/>
      <c r="J464" s="86"/>
      <c r="K464" s="117" t="str">
        <f aca="false">IF(AND(A464&lt;&gt;"",E464=CONSULTA_UNIDADE!$B$4),MAX($K$1:$K$463)+1,"")</f>
        <v/>
      </c>
      <c r="L464" s="86"/>
      <c r="M464" s="86"/>
      <c r="N464" s="86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customFormat="false" ht="16.5" hidden="false" customHeight="true" outlineLevel="0" collapsed="false">
      <c r="A465" s="86"/>
      <c r="B465" s="88"/>
      <c r="C465" s="86"/>
      <c r="D465" s="87" t="str">
        <f aca="false">IF(E465="","",IFERROR(INDEX(CADASTRO_VIVO_3CRE!$B$2:$B$150,MATCH(E465,CADASTRO_VIVO_3CRE!$E$2:$E$150,0)),""))</f>
        <v/>
      </c>
      <c r="E465" s="86"/>
      <c r="F465" s="86"/>
      <c r="G465" s="86"/>
      <c r="H465" s="86"/>
      <c r="I465" s="86"/>
      <c r="J465" s="86"/>
      <c r="K465" s="117" t="str">
        <f aca="false">IF(AND(A465&lt;&gt;"",E465=CONSULTA_UNIDADE!$B$4),MAX($K$1:$K$464)+1,"")</f>
        <v/>
      </c>
      <c r="L465" s="86"/>
      <c r="M465" s="86"/>
      <c r="N465" s="86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customFormat="false" ht="16.5" hidden="false" customHeight="true" outlineLevel="0" collapsed="false">
      <c r="A466" s="86"/>
      <c r="B466" s="88"/>
      <c r="C466" s="86"/>
      <c r="D466" s="87" t="str">
        <f aca="false">IF(E466="","",IFERROR(INDEX(CADASTRO_VIVO_3CRE!$B$2:$B$150,MATCH(E466,CADASTRO_VIVO_3CRE!$E$2:$E$150,0)),""))</f>
        <v/>
      </c>
      <c r="E466" s="86"/>
      <c r="F466" s="86"/>
      <c r="G466" s="86"/>
      <c r="H466" s="86"/>
      <c r="I466" s="86"/>
      <c r="J466" s="86"/>
      <c r="K466" s="117" t="str">
        <f aca="false">IF(AND(A466&lt;&gt;"",E466=CONSULTA_UNIDADE!$B$4),MAX($K$1:$K$465)+1,"")</f>
        <v/>
      </c>
      <c r="L466" s="86"/>
      <c r="M466" s="86"/>
      <c r="N466" s="86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customFormat="false" ht="16.5" hidden="false" customHeight="true" outlineLevel="0" collapsed="false">
      <c r="A467" s="86"/>
      <c r="B467" s="88"/>
      <c r="C467" s="86"/>
      <c r="D467" s="87" t="str">
        <f aca="false">IF(E467="","",IFERROR(INDEX(CADASTRO_VIVO_3CRE!$B$2:$B$150,MATCH(E467,CADASTRO_VIVO_3CRE!$E$2:$E$150,0)),""))</f>
        <v/>
      </c>
      <c r="E467" s="86"/>
      <c r="F467" s="86"/>
      <c r="G467" s="86"/>
      <c r="H467" s="86"/>
      <c r="I467" s="86"/>
      <c r="J467" s="86"/>
      <c r="K467" s="117" t="str">
        <f aca="false">IF(AND(A467&lt;&gt;"",E467=CONSULTA_UNIDADE!$B$4),MAX($K$1:$K$466)+1,"")</f>
        <v/>
      </c>
      <c r="L467" s="86"/>
      <c r="M467" s="86"/>
      <c r="N467" s="86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customFormat="false" ht="16.5" hidden="false" customHeight="true" outlineLevel="0" collapsed="false">
      <c r="A468" s="86"/>
      <c r="B468" s="88"/>
      <c r="C468" s="86"/>
      <c r="D468" s="87" t="str">
        <f aca="false">IF(E468="","",IFERROR(INDEX(CADASTRO_VIVO_3CRE!$B$2:$B$150,MATCH(E468,CADASTRO_VIVO_3CRE!$E$2:$E$150,0)),""))</f>
        <v/>
      </c>
      <c r="E468" s="86"/>
      <c r="F468" s="86"/>
      <c r="G468" s="86"/>
      <c r="H468" s="86"/>
      <c r="I468" s="86"/>
      <c r="J468" s="86"/>
      <c r="K468" s="117" t="str">
        <f aca="false">IF(AND(A468&lt;&gt;"",E468=CONSULTA_UNIDADE!$B$4),MAX($K$1:$K$467)+1,"")</f>
        <v/>
      </c>
      <c r="L468" s="86"/>
      <c r="M468" s="86"/>
      <c r="N468" s="86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customFormat="false" ht="16.5" hidden="false" customHeight="true" outlineLevel="0" collapsed="false">
      <c r="A469" s="86"/>
      <c r="B469" s="88"/>
      <c r="C469" s="86"/>
      <c r="D469" s="87" t="str">
        <f aca="false">IF(E469="","",IFERROR(INDEX(CADASTRO_VIVO_3CRE!$B$2:$B$150,MATCH(E469,CADASTRO_VIVO_3CRE!$E$2:$E$150,0)),""))</f>
        <v/>
      </c>
      <c r="E469" s="86"/>
      <c r="F469" s="86"/>
      <c r="G469" s="86"/>
      <c r="H469" s="86"/>
      <c r="I469" s="86"/>
      <c r="J469" s="86"/>
      <c r="K469" s="117" t="str">
        <f aca="false">IF(AND(A469&lt;&gt;"",E469=CONSULTA_UNIDADE!$B$4),MAX($K$1:$K$468)+1,"")</f>
        <v/>
      </c>
      <c r="L469" s="86"/>
      <c r="M469" s="86"/>
      <c r="N469" s="86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customFormat="false" ht="16.5" hidden="false" customHeight="true" outlineLevel="0" collapsed="false">
      <c r="A470" s="86"/>
      <c r="B470" s="88"/>
      <c r="C470" s="86"/>
      <c r="D470" s="87" t="str">
        <f aca="false">IF(E470="","",IFERROR(INDEX(CADASTRO_VIVO_3CRE!$B$2:$B$150,MATCH(E470,CADASTRO_VIVO_3CRE!$E$2:$E$150,0)),""))</f>
        <v/>
      </c>
      <c r="E470" s="86"/>
      <c r="F470" s="86"/>
      <c r="G470" s="86"/>
      <c r="H470" s="86"/>
      <c r="I470" s="86"/>
      <c r="J470" s="86"/>
      <c r="K470" s="117" t="str">
        <f aca="false">IF(AND(A470&lt;&gt;"",E470=CONSULTA_UNIDADE!$B$4),MAX($K$1:$K$469)+1,"")</f>
        <v/>
      </c>
      <c r="L470" s="86"/>
      <c r="M470" s="86"/>
      <c r="N470" s="86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customFormat="false" ht="16.5" hidden="false" customHeight="true" outlineLevel="0" collapsed="false">
      <c r="A471" s="86"/>
      <c r="B471" s="88"/>
      <c r="C471" s="86"/>
      <c r="D471" s="87" t="str">
        <f aca="false">IF(E471="","",IFERROR(INDEX(CADASTRO_VIVO_3CRE!$B$2:$B$150,MATCH(E471,CADASTRO_VIVO_3CRE!$E$2:$E$150,0)),""))</f>
        <v/>
      </c>
      <c r="E471" s="86"/>
      <c r="F471" s="86"/>
      <c r="G471" s="86"/>
      <c r="H471" s="86"/>
      <c r="I471" s="86"/>
      <c r="J471" s="86"/>
      <c r="K471" s="117" t="str">
        <f aca="false">IF(AND(A471&lt;&gt;"",E471=CONSULTA_UNIDADE!$B$4),MAX($K$1:$K$470)+1,"")</f>
        <v/>
      </c>
      <c r="L471" s="86"/>
      <c r="M471" s="86"/>
      <c r="N471" s="86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customFormat="false" ht="16.5" hidden="false" customHeight="true" outlineLevel="0" collapsed="false">
      <c r="A472" s="86"/>
      <c r="B472" s="88"/>
      <c r="C472" s="86"/>
      <c r="D472" s="87" t="str">
        <f aca="false">IF(E472="","",IFERROR(INDEX(CADASTRO_VIVO_3CRE!$B$2:$B$150,MATCH(E472,CADASTRO_VIVO_3CRE!$E$2:$E$150,0)),""))</f>
        <v/>
      </c>
      <c r="E472" s="86"/>
      <c r="F472" s="86"/>
      <c r="G472" s="86"/>
      <c r="H472" s="86"/>
      <c r="I472" s="86"/>
      <c r="J472" s="86"/>
      <c r="K472" s="117" t="str">
        <f aca="false">IF(AND(A472&lt;&gt;"",E472=CONSULTA_UNIDADE!$B$4),MAX($K$1:$K$471)+1,"")</f>
        <v/>
      </c>
      <c r="L472" s="86"/>
      <c r="M472" s="86"/>
      <c r="N472" s="86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customFormat="false" ht="16.5" hidden="false" customHeight="true" outlineLevel="0" collapsed="false">
      <c r="A473" s="86"/>
      <c r="B473" s="88"/>
      <c r="C473" s="86"/>
      <c r="D473" s="87" t="str">
        <f aca="false">IF(E473="","",IFERROR(INDEX(CADASTRO_VIVO_3CRE!$B$2:$B$150,MATCH(E473,CADASTRO_VIVO_3CRE!$E$2:$E$150,0)),""))</f>
        <v/>
      </c>
      <c r="E473" s="86"/>
      <c r="F473" s="86"/>
      <c r="G473" s="86"/>
      <c r="H473" s="86"/>
      <c r="I473" s="86"/>
      <c r="J473" s="86"/>
      <c r="K473" s="117" t="str">
        <f aca="false">IF(AND(A473&lt;&gt;"",E473=CONSULTA_UNIDADE!$B$4),MAX($K$1:$K$472)+1,"")</f>
        <v/>
      </c>
      <c r="L473" s="86"/>
      <c r="M473" s="86"/>
      <c r="N473" s="86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customFormat="false" ht="16.5" hidden="false" customHeight="true" outlineLevel="0" collapsed="false">
      <c r="A474" s="86"/>
      <c r="B474" s="88"/>
      <c r="C474" s="86"/>
      <c r="D474" s="87" t="str">
        <f aca="false">IF(E474="","",IFERROR(INDEX(CADASTRO_VIVO_3CRE!$B$2:$B$150,MATCH(E474,CADASTRO_VIVO_3CRE!$E$2:$E$150,0)),""))</f>
        <v/>
      </c>
      <c r="E474" s="86"/>
      <c r="F474" s="86"/>
      <c r="G474" s="86"/>
      <c r="H474" s="86"/>
      <c r="I474" s="86"/>
      <c r="J474" s="86"/>
      <c r="K474" s="117" t="str">
        <f aca="false">IF(AND(A474&lt;&gt;"",E474=CONSULTA_UNIDADE!$B$4),MAX($K$1:$K$473)+1,"")</f>
        <v/>
      </c>
      <c r="L474" s="86"/>
      <c r="M474" s="86"/>
      <c r="N474" s="86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customFormat="false" ht="16.5" hidden="false" customHeight="true" outlineLevel="0" collapsed="false">
      <c r="A475" s="86"/>
      <c r="B475" s="88"/>
      <c r="C475" s="86"/>
      <c r="D475" s="87" t="str">
        <f aca="false">IF(E475="","",IFERROR(INDEX(CADASTRO_VIVO_3CRE!$B$2:$B$150,MATCH(E475,CADASTRO_VIVO_3CRE!$E$2:$E$150,0)),""))</f>
        <v/>
      </c>
      <c r="E475" s="86"/>
      <c r="F475" s="86"/>
      <c r="G475" s="86"/>
      <c r="H475" s="86"/>
      <c r="I475" s="86"/>
      <c r="J475" s="86"/>
      <c r="K475" s="117" t="str">
        <f aca="false">IF(AND(A475&lt;&gt;"",E475=CONSULTA_UNIDADE!$B$4),MAX($K$1:$K$474)+1,"")</f>
        <v/>
      </c>
      <c r="L475" s="86"/>
      <c r="M475" s="86"/>
      <c r="N475" s="86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customFormat="false" ht="16.5" hidden="false" customHeight="true" outlineLevel="0" collapsed="false">
      <c r="A476" s="86"/>
      <c r="B476" s="88"/>
      <c r="C476" s="86"/>
      <c r="D476" s="87" t="str">
        <f aca="false">IF(E476="","",IFERROR(INDEX(CADASTRO_VIVO_3CRE!$B$2:$B$150,MATCH(E476,CADASTRO_VIVO_3CRE!$E$2:$E$150,0)),""))</f>
        <v/>
      </c>
      <c r="E476" s="86"/>
      <c r="F476" s="86"/>
      <c r="G476" s="86"/>
      <c r="H476" s="86"/>
      <c r="I476" s="86"/>
      <c r="J476" s="86"/>
      <c r="K476" s="117" t="str">
        <f aca="false">IF(AND(A476&lt;&gt;"",E476=CONSULTA_UNIDADE!$B$4),MAX($K$1:$K$475)+1,"")</f>
        <v/>
      </c>
      <c r="L476" s="86"/>
      <c r="M476" s="86"/>
      <c r="N476" s="86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customFormat="false" ht="16.5" hidden="false" customHeight="true" outlineLevel="0" collapsed="false">
      <c r="A477" s="86"/>
      <c r="B477" s="88"/>
      <c r="C477" s="86"/>
      <c r="D477" s="87" t="str">
        <f aca="false">IF(E477="","",IFERROR(INDEX(CADASTRO_VIVO_3CRE!$B$2:$B$150,MATCH(E477,CADASTRO_VIVO_3CRE!$E$2:$E$150,0)),""))</f>
        <v/>
      </c>
      <c r="E477" s="86"/>
      <c r="F477" s="86"/>
      <c r="G477" s="86"/>
      <c r="H477" s="86"/>
      <c r="I477" s="86"/>
      <c r="J477" s="86"/>
      <c r="K477" s="117" t="str">
        <f aca="false">IF(AND(A477&lt;&gt;"",E477=CONSULTA_UNIDADE!$B$4),MAX($K$1:$K$476)+1,"")</f>
        <v/>
      </c>
      <c r="L477" s="86"/>
      <c r="M477" s="86"/>
      <c r="N477" s="86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customFormat="false" ht="16.5" hidden="false" customHeight="true" outlineLevel="0" collapsed="false">
      <c r="A478" s="86"/>
      <c r="B478" s="88"/>
      <c r="C478" s="86"/>
      <c r="D478" s="87" t="str">
        <f aca="false">IF(E478="","",IFERROR(INDEX(CADASTRO_VIVO_3CRE!$B$2:$B$150,MATCH(E478,CADASTRO_VIVO_3CRE!$E$2:$E$150,0)),""))</f>
        <v/>
      </c>
      <c r="E478" s="86"/>
      <c r="F478" s="86"/>
      <c r="G478" s="86"/>
      <c r="H478" s="86"/>
      <c r="I478" s="86"/>
      <c r="J478" s="86"/>
      <c r="K478" s="117" t="str">
        <f aca="false">IF(AND(A478&lt;&gt;"",E478=CONSULTA_UNIDADE!$B$4),MAX($K$1:$K$477)+1,"")</f>
        <v/>
      </c>
      <c r="L478" s="86"/>
      <c r="M478" s="86"/>
      <c r="N478" s="86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customFormat="false" ht="16.5" hidden="false" customHeight="true" outlineLevel="0" collapsed="false">
      <c r="A479" s="86"/>
      <c r="B479" s="88"/>
      <c r="C479" s="86"/>
      <c r="D479" s="87" t="str">
        <f aca="false">IF(E479="","",IFERROR(INDEX(CADASTRO_VIVO_3CRE!$B$2:$B$150,MATCH(E479,CADASTRO_VIVO_3CRE!$E$2:$E$150,0)),""))</f>
        <v/>
      </c>
      <c r="E479" s="86"/>
      <c r="F479" s="86"/>
      <c r="G479" s="86"/>
      <c r="H479" s="86"/>
      <c r="I479" s="86"/>
      <c r="J479" s="86"/>
      <c r="K479" s="117" t="str">
        <f aca="false">IF(AND(A479&lt;&gt;"",E479=CONSULTA_UNIDADE!$B$4),MAX($K$1:$K$478)+1,"")</f>
        <v/>
      </c>
      <c r="L479" s="86"/>
      <c r="M479" s="86"/>
      <c r="N479" s="86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customFormat="false" ht="16.5" hidden="false" customHeight="true" outlineLevel="0" collapsed="false">
      <c r="A480" s="86"/>
      <c r="B480" s="88"/>
      <c r="C480" s="86"/>
      <c r="D480" s="87" t="str">
        <f aca="false">IF(E480="","",IFERROR(INDEX(CADASTRO_VIVO_3CRE!$B$2:$B$150,MATCH(E480,CADASTRO_VIVO_3CRE!$E$2:$E$150,0)),""))</f>
        <v/>
      </c>
      <c r="E480" s="86"/>
      <c r="F480" s="86"/>
      <c r="G480" s="86"/>
      <c r="H480" s="86"/>
      <c r="I480" s="86"/>
      <c r="J480" s="86"/>
      <c r="K480" s="117" t="str">
        <f aca="false">IF(AND(A480&lt;&gt;"",E480=CONSULTA_UNIDADE!$B$4),MAX($K$1:$K$479)+1,"")</f>
        <v/>
      </c>
      <c r="L480" s="86"/>
      <c r="M480" s="86"/>
      <c r="N480" s="86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customFormat="false" ht="16.5" hidden="false" customHeight="true" outlineLevel="0" collapsed="false">
      <c r="A481" s="86"/>
      <c r="B481" s="88"/>
      <c r="C481" s="86"/>
      <c r="D481" s="87" t="str">
        <f aca="false">IF(E481="","",IFERROR(INDEX(CADASTRO_VIVO_3CRE!$B$2:$B$150,MATCH(E481,CADASTRO_VIVO_3CRE!$E$2:$E$150,0)),""))</f>
        <v/>
      </c>
      <c r="E481" s="86"/>
      <c r="F481" s="86"/>
      <c r="G481" s="86"/>
      <c r="H481" s="86"/>
      <c r="I481" s="86"/>
      <c r="J481" s="86"/>
      <c r="K481" s="117" t="str">
        <f aca="false">IF(AND(A481&lt;&gt;"",E481=CONSULTA_UNIDADE!$B$4),MAX($K$1:$K$480)+1,"")</f>
        <v/>
      </c>
      <c r="L481" s="86"/>
      <c r="M481" s="86"/>
      <c r="N481" s="86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customFormat="false" ht="16.5" hidden="false" customHeight="true" outlineLevel="0" collapsed="false">
      <c r="A482" s="86"/>
      <c r="B482" s="88"/>
      <c r="C482" s="86"/>
      <c r="D482" s="87" t="str">
        <f aca="false">IF(E482="","",IFERROR(INDEX(CADASTRO_VIVO_3CRE!$B$2:$B$150,MATCH(E482,CADASTRO_VIVO_3CRE!$E$2:$E$150,0)),""))</f>
        <v/>
      </c>
      <c r="E482" s="86"/>
      <c r="F482" s="86"/>
      <c r="G482" s="86"/>
      <c r="H482" s="86"/>
      <c r="I482" s="86"/>
      <c r="J482" s="86"/>
      <c r="K482" s="117" t="str">
        <f aca="false">IF(AND(A482&lt;&gt;"",E482=CONSULTA_UNIDADE!$B$4),MAX($K$1:$K$481)+1,"")</f>
        <v/>
      </c>
      <c r="L482" s="86"/>
      <c r="M482" s="86"/>
      <c r="N482" s="86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customFormat="false" ht="16.5" hidden="false" customHeight="true" outlineLevel="0" collapsed="false">
      <c r="A483" s="86"/>
      <c r="B483" s="88"/>
      <c r="C483" s="86"/>
      <c r="D483" s="87" t="str">
        <f aca="false">IF(E483="","",IFERROR(INDEX(CADASTRO_VIVO_3CRE!$B$2:$B$150,MATCH(E483,CADASTRO_VIVO_3CRE!$E$2:$E$150,0)),""))</f>
        <v/>
      </c>
      <c r="E483" s="86"/>
      <c r="F483" s="86"/>
      <c r="G483" s="86"/>
      <c r="H483" s="86"/>
      <c r="I483" s="86"/>
      <c r="J483" s="86"/>
      <c r="K483" s="117" t="str">
        <f aca="false">IF(AND(A483&lt;&gt;"",E483=CONSULTA_UNIDADE!$B$4),MAX($K$1:$K$482)+1,"")</f>
        <v/>
      </c>
      <c r="L483" s="86"/>
      <c r="M483" s="86"/>
      <c r="N483" s="86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customFormat="false" ht="16.5" hidden="false" customHeight="true" outlineLevel="0" collapsed="false">
      <c r="A484" s="86"/>
      <c r="B484" s="88"/>
      <c r="C484" s="86"/>
      <c r="D484" s="87" t="str">
        <f aca="false">IF(E484="","",IFERROR(INDEX(CADASTRO_VIVO_3CRE!$B$2:$B$150,MATCH(E484,CADASTRO_VIVO_3CRE!$E$2:$E$150,0)),""))</f>
        <v/>
      </c>
      <c r="E484" s="86"/>
      <c r="F484" s="86"/>
      <c r="G484" s="86"/>
      <c r="H484" s="86"/>
      <c r="I484" s="86"/>
      <c r="J484" s="86"/>
      <c r="K484" s="117" t="str">
        <f aca="false">IF(AND(A484&lt;&gt;"",E484=CONSULTA_UNIDADE!$B$4),MAX($K$1:$K$483)+1,"")</f>
        <v/>
      </c>
      <c r="L484" s="86"/>
      <c r="M484" s="86"/>
      <c r="N484" s="86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customFormat="false" ht="16.5" hidden="false" customHeight="true" outlineLevel="0" collapsed="false">
      <c r="A485" s="86"/>
      <c r="B485" s="88"/>
      <c r="C485" s="86"/>
      <c r="D485" s="87" t="str">
        <f aca="false">IF(E485="","",IFERROR(INDEX(CADASTRO_VIVO_3CRE!$B$2:$B$150,MATCH(E485,CADASTRO_VIVO_3CRE!$E$2:$E$150,0)),""))</f>
        <v/>
      </c>
      <c r="E485" s="86"/>
      <c r="F485" s="86"/>
      <c r="G485" s="86"/>
      <c r="H485" s="86"/>
      <c r="I485" s="86"/>
      <c r="J485" s="86"/>
      <c r="K485" s="117" t="str">
        <f aca="false">IF(AND(A485&lt;&gt;"",E485=CONSULTA_UNIDADE!$B$4),MAX($K$1:$K$484)+1,"")</f>
        <v/>
      </c>
      <c r="L485" s="86"/>
      <c r="M485" s="86"/>
      <c r="N485" s="86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customFormat="false" ht="16.5" hidden="false" customHeight="true" outlineLevel="0" collapsed="false">
      <c r="A486" s="86"/>
      <c r="B486" s="88"/>
      <c r="C486" s="86"/>
      <c r="D486" s="87" t="str">
        <f aca="false">IF(E486="","",IFERROR(INDEX(CADASTRO_VIVO_3CRE!$B$2:$B$150,MATCH(E486,CADASTRO_VIVO_3CRE!$E$2:$E$150,0)),""))</f>
        <v/>
      </c>
      <c r="E486" s="86"/>
      <c r="F486" s="86"/>
      <c r="G486" s="86"/>
      <c r="H486" s="86"/>
      <c r="I486" s="86"/>
      <c r="J486" s="86"/>
      <c r="K486" s="117" t="str">
        <f aca="false">IF(AND(A486&lt;&gt;"",E486=CONSULTA_UNIDADE!$B$4),MAX($K$1:$K$485)+1,"")</f>
        <v/>
      </c>
      <c r="L486" s="86"/>
      <c r="M486" s="86"/>
      <c r="N486" s="86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customFormat="false" ht="16.5" hidden="false" customHeight="true" outlineLevel="0" collapsed="false">
      <c r="A487" s="86"/>
      <c r="B487" s="88"/>
      <c r="C487" s="86"/>
      <c r="D487" s="87" t="str">
        <f aca="false">IF(E487="","",IFERROR(INDEX(CADASTRO_VIVO_3CRE!$B$2:$B$150,MATCH(E487,CADASTRO_VIVO_3CRE!$E$2:$E$150,0)),""))</f>
        <v/>
      </c>
      <c r="E487" s="86"/>
      <c r="F487" s="86"/>
      <c r="G487" s="86"/>
      <c r="H487" s="86"/>
      <c r="I487" s="86"/>
      <c r="J487" s="86"/>
      <c r="K487" s="117" t="str">
        <f aca="false">IF(AND(A487&lt;&gt;"",E487=CONSULTA_UNIDADE!$B$4),MAX($K$1:$K$486)+1,"")</f>
        <v/>
      </c>
      <c r="L487" s="86"/>
      <c r="M487" s="86"/>
      <c r="N487" s="86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customFormat="false" ht="16.5" hidden="false" customHeight="true" outlineLevel="0" collapsed="false">
      <c r="A488" s="86"/>
      <c r="B488" s="88"/>
      <c r="C488" s="86"/>
      <c r="D488" s="87" t="str">
        <f aca="false">IF(E488="","",IFERROR(INDEX(CADASTRO_VIVO_3CRE!$B$2:$B$150,MATCH(E488,CADASTRO_VIVO_3CRE!$E$2:$E$150,0)),""))</f>
        <v/>
      </c>
      <c r="E488" s="86"/>
      <c r="F488" s="86"/>
      <c r="G488" s="86"/>
      <c r="H488" s="86"/>
      <c r="I488" s="86"/>
      <c r="J488" s="86"/>
      <c r="K488" s="117" t="str">
        <f aca="false">IF(AND(A488&lt;&gt;"",E488=CONSULTA_UNIDADE!$B$4),MAX($K$1:$K$487)+1,"")</f>
        <v/>
      </c>
      <c r="L488" s="86"/>
      <c r="M488" s="86"/>
      <c r="N488" s="86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customFormat="false" ht="16.5" hidden="false" customHeight="true" outlineLevel="0" collapsed="false">
      <c r="A489" s="86"/>
      <c r="B489" s="88"/>
      <c r="C489" s="86"/>
      <c r="D489" s="87" t="str">
        <f aca="false">IF(E489="","",IFERROR(INDEX(CADASTRO_VIVO_3CRE!$B$2:$B$150,MATCH(E489,CADASTRO_VIVO_3CRE!$E$2:$E$150,0)),""))</f>
        <v/>
      </c>
      <c r="E489" s="86"/>
      <c r="F489" s="86"/>
      <c r="G489" s="86"/>
      <c r="H489" s="86"/>
      <c r="I489" s="86"/>
      <c r="J489" s="86"/>
      <c r="K489" s="117" t="str">
        <f aca="false">IF(AND(A489&lt;&gt;"",E489=CONSULTA_UNIDADE!$B$4),MAX($K$1:$K$488)+1,"")</f>
        <v/>
      </c>
      <c r="L489" s="86"/>
      <c r="M489" s="86"/>
      <c r="N489" s="86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customFormat="false" ht="16.5" hidden="false" customHeight="true" outlineLevel="0" collapsed="false">
      <c r="A490" s="86"/>
      <c r="B490" s="88"/>
      <c r="C490" s="86"/>
      <c r="D490" s="87" t="str">
        <f aca="false">IF(E490="","",IFERROR(INDEX(CADASTRO_VIVO_3CRE!$B$2:$B$150,MATCH(E490,CADASTRO_VIVO_3CRE!$E$2:$E$150,0)),""))</f>
        <v/>
      </c>
      <c r="E490" s="86"/>
      <c r="F490" s="86"/>
      <c r="G490" s="86"/>
      <c r="H490" s="86"/>
      <c r="I490" s="86"/>
      <c r="J490" s="86"/>
      <c r="K490" s="117" t="str">
        <f aca="false">IF(AND(A490&lt;&gt;"",E490=CONSULTA_UNIDADE!$B$4),MAX($K$1:$K$489)+1,"")</f>
        <v/>
      </c>
      <c r="L490" s="86"/>
      <c r="M490" s="86"/>
      <c r="N490" s="86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customFormat="false" ht="16.5" hidden="false" customHeight="true" outlineLevel="0" collapsed="false">
      <c r="A491" s="86"/>
      <c r="B491" s="88"/>
      <c r="C491" s="86"/>
      <c r="D491" s="87" t="str">
        <f aca="false">IF(E491="","",IFERROR(INDEX(CADASTRO_VIVO_3CRE!$B$2:$B$150,MATCH(E491,CADASTRO_VIVO_3CRE!$E$2:$E$150,0)),""))</f>
        <v/>
      </c>
      <c r="E491" s="86"/>
      <c r="F491" s="86"/>
      <c r="G491" s="86"/>
      <c r="H491" s="86"/>
      <c r="I491" s="86"/>
      <c r="J491" s="86"/>
      <c r="K491" s="117" t="str">
        <f aca="false">IF(AND(A491&lt;&gt;"",E491=CONSULTA_UNIDADE!$B$4),MAX($K$1:$K$490)+1,"")</f>
        <v/>
      </c>
      <c r="L491" s="86"/>
      <c r="M491" s="86"/>
      <c r="N491" s="86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customFormat="false" ht="16.5" hidden="false" customHeight="true" outlineLevel="0" collapsed="false">
      <c r="A492" s="86"/>
      <c r="B492" s="88"/>
      <c r="C492" s="86"/>
      <c r="D492" s="87" t="str">
        <f aca="false">IF(E492="","",IFERROR(INDEX(CADASTRO_VIVO_3CRE!$B$2:$B$150,MATCH(E492,CADASTRO_VIVO_3CRE!$E$2:$E$150,0)),""))</f>
        <v/>
      </c>
      <c r="E492" s="86"/>
      <c r="F492" s="86"/>
      <c r="G492" s="86"/>
      <c r="H492" s="86"/>
      <c r="I492" s="86"/>
      <c r="J492" s="86"/>
      <c r="K492" s="117" t="str">
        <f aca="false">IF(AND(A492&lt;&gt;"",E492=CONSULTA_UNIDADE!$B$4),MAX($K$1:$K$491)+1,"")</f>
        <v/>
      </c>
      <c r="L492" s="86"/>
      <c r="M492" s="86"/>
      <c r="N492" s="86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customFormat="false" ht="16.5" hidden="false" customHeight="true" outlineLevel="0" collapsed="false">
      <c r="A493" s="86"/>
      <c r="B493" s="88"/>
      <c r="C493" s="86"/>
      <c r="D493" s="87" t="str">
        <f aca="false">IF(E493="","",IFERROR(INDEX(CADASTRO_VIVO_3CRE!$B$2:$B$150,MATCH(E493,CADASTRO_VIVO_3CRE!$E$2:$E$150,0)),""))</f>
        <v/>
      </c>
      <c r="E493" s="86"/>
      <c r="F493" s="86"/>
      <c r="G493" s="86"/>
      <c r="H493" s="86"/>
      <c r="I493" s="86"/>
      <c r="J493" s="86"/>
      <c r="K493" s="117" t="str">
        <f aca="false">IF(AND(A493&lt;&gt;"",E493=CONSULTA_UNIDADE!$B$4),MAX($K$1:$K$492)+1,"")</f>
        <v/>
      </c>
      <c r="L493" s="86"/>
      <c r="M493" s="86"/>
      <c r="N493" s="86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customFormat="false" ht="16.5" hidden="false" customHeight="true" outlineLevel="0" collapsed="false">
      <c r="A494" s="86"/>
      <c r="B494" s="88"/>
      <c r="C494" s="86"/>
      <c r="D494" s="87" t="str">
        <f aca="false">IF(E494="","",IFERROR(INDEX(CADASTRO_VIVO_3CRE!$B$2:$B$150,MATCH(E494,CADASTRO_VIVO_3CRE!$E$2:$E$150,0)),""))</f>
        <v/>
      </c>
      <c r="E494" s="86"/>
      <c r="F494" s="86"/>
      <c r="G494" s="86"/>
      <c r="H494" s="86"/>
      <c r="I494" s="86"/>
      <c r="J494" s="86"/>
      <c r="K494" s="117" t="str">
        <f aca="false">IF(AND(A494&lt;&gt;"",E494=CONSULTA_UNIDADE!$B$4),MAX($K$1:$K$493)+1,"")</f>
        <v/>
      </c>
      <c r="L494" s="86"/>
      <c r="M494" s="86"/>
      <c r="N494" s="86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customFormat="false" ht="16.5" hidden="false" customHeight="true" outlineLevel="0" collapsed="false">
      <c r="A495" s="86"/>
      <c r="B495" s="88"/>
      <c r="C495" s="86"/>
      <c r="D495" s="87" t="str">
        <f aca="false">IF(E495="","",IFERROR(INDEX(CADASTRO_VIVO_3CRE!$B$2:$B$150,MATCH(E495,CADASTRO_VIVO_3CRE!$E$2:$E$150,0)),""))</f>
        <v/>
      </c>
      <c r="E495" s="86"/>
      <c r="F495" s="86"/>
      <c r="G495" s="86"/>
      <c r="H495" s="86"/>
      <c r="I495" s="86"/>
      <c r="J495" s="86"/>
      <c r="K495" s="117" t="str">
        <f aca="false">IF(AND(A495&lt;&gt;"",E495=CONSULTA_UNIDADE!$B$4),MAX($K$1:$K$494)+1,"")</f>
        <v/>
      </c>
      <c r="L495" s="86"/>
      <c r="M495" s="86"/>
      <c r="N495" s="86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customFormat="false" ht="16.5" hidden="false" customHeight="true" outlineLevel="0" collapsed="false">
      <c r="A496" s="86"/>
      <c r="B496" s="88"/>
      <c r="C496" s="86"/>
      <c r="D496" s="87" t="str">
        <f aca="false">IF(E496="","",IFERROR(INDEX(CADASTRO_VIVO_3CRE!$B$2:$B$150,MATCH(E496,CADASTRO_VIVO_3CRE!$E$2:$E$150,0)),""))</f>
        <v/>
      </c>
      <c r="E496" s="86"/>
      <c r="F496" s="86"/>
      <c r="G496" s="86"/>
      <c r="H496" s="86"/>
      <c r="I496" s="86"/>
      <c r="J496" s="86"/>
      <c r="K496" s="117" t="str">
        <f aca="false">IF(AND(A496&lt;&gt;"",E496=CONSULTA_UNIDADE!$B$4),MAX($K$1:$K$495)+1,"")</f>
        <v/>
      </c>
      <c r="L496" s="86"/>
      <c r="M496" s="86"/>
      <c r="N496" s="86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customFormat="false" ht="16.5" hidden="false" customHeight="true" outlineLevel="0" collapsed="false">
      <c r="A497" s="86"/>
      <c r="B497" s="88"/>
      <c r="C497" s="86"/>
      <c r="D497" s="87" t="str">
        <f aca="false">IF(E497="","",IFERROR(INDEX(CADASTRO_VIVO_3CRE!$B$2:$B$150,MATCH(E497,CADASTRO_VIVO_3CRE!$E$2:$E$150,0)),""))</f>
        <v/>
      </c>
      <c r="E497" s="86"/>
      <c r="F497" s="86"/>
      <c r="G497" s="86"/>
      <c r="H497" s="86"/>
      <c r="I497" s="86"/>
      <c r="J497" s="86"/>
      <c r="K497" s="117" t="str">
        <f aca="false">IF(AND(A497&lt;&gt;"",E497=CONSULTA_UNIDADE!$B$4),MAX($K$1:$K$496)+1,"")</f>
        <v/>
      </c>
      <c r="L497" s="86"/>
      <c r="M497" s="86"/>
      <c r="N497" s="86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customFormat="false" ht="16.5" hidden="false" customHeight="true" outlineLevel="0" collapsed="false">
      <c r="A498" s="86"/>
      <c r="B498" s="88"/>
      <c r="C498" s="86"/>
      <c r="D498" s="87" t="str">
        <f aca="false">IF(E498="","",IFERROR(INDEX(CADASTRO_VIVO_3CRE!$B$2:$B$150,MATCH(E498,CADASTRO_VIVO_3CRE!$E$2:$E$150,0)),""))</f>
        <v/>
      </c>
      <c r="E498" s="86"/>
      <c r="F498" s="86"/>
      <c r="G498" s="86"/>
      <c r="H498" s="86"/>
      <c r="I498" s="86"/>
      <c r="J498" s="86"/>
      <c r="K498" s="117" t="str">
        <f aca="false">IF(AND(A498&lt;&gt;"",E498=CONSULTA_UNIDADE!$B$4),MAX($K$1:$K$497)+1,"")</f>
        <v/>
      </c>
      <c r="L498" s="86"/>
      <c r="M498" s="86"/>
      <c r="N498" s="86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customFormat="false" ht="16.5" hidden="false" customHeight="true" outlineLevel="0" collapsed="false">
      <c r="A499" s="86"/>
      <c r="B499" s="88"/>
      <c r="C499" s="86"/>
      <c r="D499" s="87" t="str">
        <f aca="false">IF(E499="","",IFERROR(INDEX(CADASTRO_VIVO_3CRE!$B$2:$B$150,MATCH(E499,CADASTRO_VIVO_3CRE!$E$2:$E$150,0)),""))</f>
        <v/>
      </c>
      <c r="E499" s="86"/>
      <c r="F499" s="86"/>
      <c r="G499" s="86"/>
      <c r="H499" s="86"/>
      <c r="I499" s="86"/>
      <c r="J499" s="86"/>
      <c r="K499" s="117" t="str">
        <f aca="false">IF(AND(A499&lt;&gt;"",E499=CONSULTA_UNIDADE!$B$4),MAX($K$1:$K$498)+1,"")</f>
        <v/>
      </c>
      <c r="L499" s="86"/>
      <c r="M499" s="86"/>
      <c r="N499" s="86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customFormat="false" ht="16.5" hidden="false" customHeight="true" outlineLevel="0" collapsed="false">
      <c r="A500" s="86"/>
      <c r="B500" s="88"/>
      <c r="C500" s="86"/>
      <c r="D500" s="87" t="str">
        <f aca="false">IF(E500="","",IFERROR(INDEX(CADASTRO_VIVO_3CRE!$B$2:$B$150,MATCH(E500,CADASTRO_VIVO_3CRE!$E$2:$E$150,0)),""))</f>
        <v/>
      </c>
      <c r="E500" s="86"/>
      <c r="F500" s="86"/>
      <c r="G500" s="86"/>
      <c r="H500" s="86"/>
      <c r="I500" s="86"/>
      <c r="J500" s="86"/>
      <c r="K500" s="117" t="str">
        <f aca="false">IF(AND(A500&lt;&gt;"",E500=CONSULTA_UNIDADE!$B$4),MAX($K$1:$K$499)+1,"")</f>
        <v/>
      </c>
      <c r="L500" s="86"/>
      <c r="M500" s="86"/>
      <c r="N500" s="86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customFormat="false" ht="16.5" hidden="false" customHeight="true" outlineLevel="0" collapsed="false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</row>
    <row r="502" customFormat="false" ht="16.5" hidden="false" customHeight="true" outlineLevel="0" collapsed="false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</row>
    <row r="503" customFormat="false" ht="16.5" hidden="false" customHeight="true" outlineLevel="0" collapsed="false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</row>
    <row r="504" customFormat="false" ht="16.5" hidden="false" customHeight="true" outlineLevel="0" collapsed="false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</row>
    <row r="505" customFormat="false" ht="16.5" hidden="false" customHeight="true" outlineLevel="0" collapsed="false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</row>
    <row r="506" customFormat="false" ht="16.5" hidden="false" customHeight="true" outlineLevel="0" collapsed="false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</row>
    <row r="507" customFormat="false" ht="16.5" hidden="false" customHeight="true" outlineLevel="0" collapsed="false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</row>
    <row r="508" customFormat="false" ht="16.5" hidden="false" customHeight="true" outlineLevel="0" collapsed="false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</row>
    <row r="509" customFormat="false" ht="16.5" hidden="false" customHeight="true" outlineLevel="0" collapsed="false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</row>
    <row r="510" customFormat="false" ht="16.5" hidden="false" customHeight="true" outlineLevel="0" collapsed="false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</row>
    <row r="511" customFormat="false" ht="16.5" hidden="false" customHeight="true" outlineLevel="0" collapsed="false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</row>
    <row r="512" customFormat="false" ht="16.5" hidden="false" customHeight="true" outlineLevel="0" collapsed="false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</row>
    <row r="513" customFormat="false" ht="16.5" hidden="false" customHeight="true" outlineLevel="0" collapsed="false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</row>
    <row r="514" customFormat="false" ht="16.5" hidden="false" customHeight="true" outlineLevel="0" collapsed="false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</row>
    <row r="515" customFormat="false" ht="16.5" hidden="false" customHeight="true" outlineLevel="0" collapsed="false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</row>
    <row r="516" customFormat="false" ht="16.5" hidden="false" customHeight="true" outlineLevel="0" collapsed="false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</row>
    <row r="517" customFormat="false" ht="16.5" hidden="false" customHeight="true" outlineLevel="0" collapsed="false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</row>
    <row r="518" customFormat="false" ht="16.5" hidden="false" customHeight="true" outlineLevel="0" collapsed="false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</row>
    <row r="519" customFormat="false" ht="16.5" hidden="false" customHeight="true" outlineLevel="0" collapsed="false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</row>
    <row r="520" customFormat="false" ht="16.5" hidden="false" customHeight="true" outlineLevel="0" collapsed="false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</row>
    <row r="521" customFormat="false" ht="16.5" hidden="false" customHeight="true" outlineLevel="0" collapsed="false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</row>
    <row r="522" customFormat="false" ht="16.5" hidden="false" customHeight="true" outlineLevel="0" collapsed="false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</row>
    <row r="523" customFormat="false" ht="16.5" hidden="false" customHeight="true" outlineLevel="0" collapsed="false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</row>
    <row r="524" customFormat="false" ht="16.5" hidden="false" customHeight="true" outlineLevel="0" collapsed="false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</row>
    <row r="525" customFormat="false" ht="16.5" hidden="false" customHeight="true" outlineLevel="0" collapsed="false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</row>
    <row r="526" customFormat="false" ht="16.5" hidden="false" customHeight="true" outlineLevel="0" collapsed="false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</row>
    <row r="527" customFormat="false" ht="16.5" hidden="false" customHeight="true" outlineLevel="0" collapsed="false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</row>
    <row r="528" customFormat="false" ht="16.5" hidden="false" customHeight="true" outlineLevel="0" collapsed="false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</row>
    <row r="529" customFormat="false" ht="16.5" hidden="false" customHeight="true" outlineLevel="0" collapsed="false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</row>
    <row r="530" customFormat="false" ht="16.5" hidden="false" customHeight="true" outlineLevel="0" collapsed="false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</row>
    <row r="531" customFormat="false" ht="16.5" hidden="false" customHeight="true" outlineLevel="0" collapsed="false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</row>
    <row r="532" customFormat="false" ht="16.5" hidden="false" customHeight="true" outlineLevel="0" collapsed="false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</row>
    <row r="533" customFormat="false" ht="16.5" hidden="false" customHeight="true" outlineLevel="0" collapsed="false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</row>
    <row r="534" customFormat="false" ht="16.5" hidden="false" customHeight="true" outlineLevel="0" collapsed="false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</row>
    <row r="535" customFormat="false" ht="16.5" hidden="false" customHeight="true" outlineLevel="0" collapsed="false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</row>
    <row r="536" customFormat="false" ht="16.5" hidden="false" customHeight="true" outlineLevel="0" collapsed="false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</row>
    <row r="537" customFormat="false" ht="16.5" hidden="false" customHeight="true" outlineLevel="0" collapsed="false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</row>
    <row r="538" customFormat="false" ht="16.5" hidden="false" customHeight="true" outlineLevel="0" collapsed="false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</row>
    <row r="539" customFormat="false" ht="16.5" hidden="false" customHeight="true" outlineLevel="0" collapsed="false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</row>
    <row r="540" customFormat="false" ht="16.5" hidden="false" customHeight="true" outlineLevel="0" collapsed="false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</row>
    <row r="541" customFormat="false" ht="16.5" hidden="false" customHeight="true" outlineLevel="0" collapsed="false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</row>
    <row r="542" customFormat="false" ht="16.5" hidden="false" customHeight="true" outlineLevel="0" collapsed="false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</row>
    <row r="543" customFormat="false" ht="16.5" hidden="false" customHeight="true" outlineLevel="0" collapsed="false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</row>
    <row r="544" customFormat="false" ht="16.5" hidden="false" customHeight="true" outlineLevel="0" collapsed="false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</row>
    <row r="545" customFormat="false" ht="16.5" hidden="false" customHeight="true" outlineLevel="0" collapsed="false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</row>
    <row r="546" customFormat="false" ht="16.5" hidden="false" customHeight="true" outlineLevel="0" collapsed="false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</row>
    <row r="547" customFormat="false" ht="16.5" hidden="false" customHeight="true" outlineLevel="0" collapsed="false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</row>
    <row r="548" customFormat="false" ht="16.5" hidden="false" customHeight="true" outlineLevel="0" collapsed="false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</row>
    <row r="549" customFormat="false" ht="16.5" hidden="false" customHeight="true" outlineLevel="0" collapsed="false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</row>
    <row r="550" customFormat="false" ht="16.5" hidden="false" customHeight="true" outlineLevel="0" collapsed="false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</row>
    <row r="551" customFormat="false" ht="16.5" hidden="false" customHeight="true" outlineLevel="0" collapsed="false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</row>
    <row r="552" customFormat="false" ht="16.5" hidden="false" customHeight="true" outlineLevel="0" collapsed="false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</row>
    <row r="553" customFormat="false" ht="16.5" hidden="false" customHeight="true" outlineLevel="0" collapsed="false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</row>
    <row r="554" customFormat="false" ht="16.5" hidden="false" customHeight="true" outlineLevel="0" collapsed="false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</row>
    <row r="555" customFormat="false" ht="16.5" hidden="false" customHeight="true" outlineLevel="0" collapsed="false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</row>
    <row r="556" customFormat="false" ht="16.5" hidden="false" customHeight="true" outlineLevel="0" collapsed="false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</row>
    <row r="557" customFormat="false" ht="16.5" hidden="false" customHeight="true" outlineLevel="0" collapsed="false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</row>
    <row r="558" customFormat="false" ht="16.5" hidden="false" customHeight="true" outlineLevel="0" collapsed="false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</row>
    <row r="559" customFormat="false" ht="16.5" hidden="false" customHeight="true" outlineLevel="0" collapsed="false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</row>
    <row r="560" customFormat="false" ht="16.5" hidden="false" customHeight="true" outlineLevel="0" collapsed="false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</row>
    <row r="561" customFormat="false" ht="16.5" hidden="false" customHeight="true" outlineLevel="0" collapsed="false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</row>
    <row r="562" customFormat="false" ht="16.5" hidden="false" customHeight="true" outlineLevel="0" collapsed="false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</row>
    <row r="563" customFormat="false" ht="16.5" hidden="false" customHeight="true" outlineLevel="0" collapsed="false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</row>
    <row r="564" customFormat="false" ht="16.5" hidden="false" customHeight="true" outlineLevel="0" collapsed="false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</row>
    <row r="565" customFormat="false" ht="16.5" hidden="false" customHeight="true" outlineLevel="0" collapsed="false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</row>
    <row r="566" customFormat="false" ht="16.5" hidden="false" customHeight="true" outlineLevel="0" collapsed="false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</row>
    <row r="567" customFormat="false" ht="16.5" hidden="false" customHeight="true" outlineLevel="0" collapsed="false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</row>
    <row r="568" customFormat="false" ht="16.5" hidden="false" customHeight="true" outlineLevel="0" collapsed="false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</row>
    <row r="569" customFormat="false" ht="16.5" hidden="false" customHeight="true" outlineLevel="0" collapsed="false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</row>
    <row r="570" customFormat="false" ht="16.5" hidden="false" customHeight="true" outlineLevel="0" collapsed="false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</row>
    <row r="571" customFormat="false" ht="16.5" hidden="false" customHeight="true" outlineLevel="0" collapsed="false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</row>
    <row r="572" customFormat="false" ht="16.5" hidden="false" customHeight="true" outlineLevel="0" collapsed="false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</row>
    <row r="573" customFormat="false" ht="16.5" hidden="false" customHeight="true" outlineLevel="0" collapsed="false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</row>
    <row r="574" customFormat="false" ht="16.5" hidden="false" customHeight="true" outlineLevel="0" collapsed="false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</row>
    <row r="575" customFormat="false" ht="16.5" hidden="false" customHeight="true" outlineLevel="0" collapsed="false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</row>
    <row r="576" customFormat="false" ht="16.5" hidden="false" customHeight="true" outlineLevel="0" collapsed="false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</row>
    <row r="577" customFormat="false" ht="16.5" hidden="false" customHeight="true" outlineLevel="0" collapsed="false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</row>
    <row r="578" customFormat="false" ht="16.5" hidden="false" customHeight="true" outlineLevel="0" collapsed="false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</row>
    <row r="579" customFormat="false" ht="16.5" hidden="false" customHeight="true" outlineLevel="0" collapsed="false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</row>
    <row r="580" customFormat="false" ht="16.5" hidden="false" customHeight="true" outlineLevel="0" collapsed="false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</row>
    <row r="581" customFormat="false" ht="16.5" hidden="false" customHeight="true" outlineLevel="0" collapsed="false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</row>
    <row r="582" customFormat="false" ht="16.5" hidden="false" customHeight="true" outlineLevel="0" collapsed="false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</row>
    <row r="583" customFormat="false" ht="16.5" hidden="false" customHeight="true" outlineLevel="0" collapsed="false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</row>
    <row r="584" customFormat="false" ht="16.5" hidden="false" customHeight="true" outlineLevel="0" collapsed="false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</row>
    <row r="585" customFormat="false" ht="16.5" hidden="false" customHeight="true" outlineLevel="0" collapsed="false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</row>
    <row r="586" customFormat="false" ht="16.5" hidden="false" customHeight="true" outlineLevel="0" collapsed="false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</row>
    <row r="587" customFormat="false" ht="16.5" hidden="false" customHeight="true" outlineLevel="0" collapsed="false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</row>
    <row r="588" customFormat="false" ht="16.5" hidden="false" customHeight="true" outlineLevel="0" collapsed="false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</row>
    <row r="589" customFormat="false" ht="16.5" hidden="false" customHeight="true" outlineLevel="0" collapsed="false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</row>
    <row r="590" customFormat="false" ht="16.5" hidden="false" customHeight="true" outlineLevel="0" collapsed="false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</row>
    <row r="591" customFormat="false" ht="16.5" hidden="false" customHeight="true" outlineLevel="0" collapsed="false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</row>
    <row r="592" customFormat="false" ht="16.5" hidden="false" customHeight="true" outlineLevel="0" collapsed="false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</row>
    <row r="593" customFormat="false" ht="16.5" hidden="false" customHeight="true" outlineLevel="0" collapsed="false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</row>
    <row r="594" customFormat="false" ht="16.5" hidden="false" customHeight="true" outlineLevel="0" collapsed="false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</row>
    <row r="595" customFormat="false" ht="16.5" hidden="false" customHeight="true" outlineLevel="0" collapsed="false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</row>
    <row r="596" customFormat="false" ht="16.5" hidden="false" customHeight="true" outlineLevel="0" collapsed="false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</row>
    <row r="597" customFormat="false" ht="16.5" hidden="false" customHeight="true" outlineLevel="0" collapsed="false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</row>
    <row r="598" customFormat="false" ht="16.5" hidden="false" customHeight="true" outlineLevel="0" collapsed="false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</row>
    <row r="599" customFormat="false" ht="16.5" hidden="false" customHeight="true" outlineLevel="0" collapsed="false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</row>
    <row r="600" customFormat="false" ht="16.5" hidden="false" customHeight="true" outlineLevel="0" collapsed="false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</row>
    <row r="601" customFormat="false" ht="16.5" hidden="false" customHeight="true" outlineLevel="0" collapsed="false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</row>
    <row r="602" customFormat="false" ht="16.5" hidden="false" customHeight="true" outlineLevel="0" collapsed="false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</row>
    <row r="603" customFormat="false" ht="16.5" hidden="false" customHeight="true" outlineLevel="0" collapsed="false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</row>
    <row r="604" customFormat="false" ht="16.5" hidden="false" customHeight="true" outlineLevel="0" collapsed="false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</row>
    <row r="605" customFormat="false" ht="16.5" hidden="false" customHeight="true" outlineLevel="0" collapsed="false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</row>
    <row r="606" customFormat="false" ht="16.5" hidden="false" customHeight="true" outlineLevel="0" collapsed="false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</row>
    <row r="607" customFormat="false" ht="16.5" hidden="false" customHeight="true" outlineLevel="0" collapsed="false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</row>
    <row r="608" customFormat="false" ht="16.5" hidden="false" customHeight="true" outlineLevel="0" collapsed="false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</row>
    <row r="609" customFormat="false" ht="16.5" hidden="false" customHeight="true" outlineLevel="0" collapsed="false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</row>
    <row r="610" customFormat="false" ht="16.5" hidden="false" customHeight="true" outlineLevel="0" collapsed="false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</row>
    <row r="611" customFormat="false" ht="16.5" hidden="false" customHeight="true" outlineLevel="0" collapsed="false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</row>
    <row r="612" customFormat="false" ht="16.5" hidden="false" customHeight="true" outlineLevel="0" collapsed="false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</row>
    <row r="613" customFormat="false" ht="16.5" hidden="false" customHeight="true" outlineLevel="0" collapsed="false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</row>
    <row r="614" customFormat="false" ht="16.5" hidden="false" customHeight="true" outlineLevel="0" collapsed="false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</row>
    <row r="615" customFormat="false" ht="16.5" hidden="false" customHeight="true" outlineLevel="0" collapsed="false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</row>
    <row r="616" customFormat="false" ht="16.5" hidden="false" customHeight="true" outlineLevel="0" collapsed="false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</row>
    <row r="617" customFormat="false" ht="16.5" hidden="false" customHeight="true" outlineLevel="0" collapsed="false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</row>
    <row r="618" customFormat="false" ht="16.5" hidden="false" customHeight="true" outlineLevel="0" collapsed="false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</row>
    <row r="619" customFormat="false" ht="16.5" hidden="false" customHeight="true" outlineLevel="0" collapsed="false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</row>
    <row r="620" customFormat="false" ht="16.5" hidden="false" customHeight="true" outlineLevel="0" collapsed="false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</row>
    <row r="621" customFormat="false" ht="16.5" hidden="false" customHeight="true" outlineLevel="0" collapsed="false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</row>
    <row r="622" customFormat="false" ht="16.5" hidden="false" customHeight="true" outlineLevel="0" collapsed="false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</row>
    <row r="623" customFormat="false" ht="16.5" hidden="false" customHeight="true" outlineLevel="0" collapsed="false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</row>
    <row r="624" customFormat="false" ht="16.5" hidden="false" customHeight="true" outlineLevel="0" collapsed="false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</row>
    <row r="625" customFormat="false" ht="16.5" hidden="false" customHeight="true" outlineLevel="0" collapsed="false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</row>
    <row r="626" customFormat="false" ht="16.5" hidden="false" customHeight="true" outlineLevel="0" collapsed="false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</row>
    <row r="627" customFormat="false" ht="16.5" hidden="false" customHeight="true" outlineLevel="0" collapsed="false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</row>
    <row r="628" customFormat="false" ht="16.5" hidden="false" customHeight="true" outlineLevel="0" collapsed="false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</row>
    <row r="629" customFormat="false" ht="16.5" hidden="false" customHeight="true" outlineLevel="0" collapsed="false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</row>
    <row r="630" customFormat="false" ht="16.5" hidden="false" customHeight="true" outlineLevel="0" collapsed="false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</row>
    <row r="631" customFormat="false" ht="16.5" hidden="false" customHeight="true" outlineLevel="0" collapsed="false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</row>
    <row r="632" customFormat="false" ht="16.5" hidden="false" customHeight="true" outlineLevel="0" collapsed="false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</row>
    <row r="633" customFormat="false" ht="16.5" hidden="false" customHeight="true" outlineLevel="0" collapsed="false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</row>
    <row r="634" customFormat="false" ht="16.5" hidden="false" customHeight="true" outlineLevel="0" collapsed="false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</row>
    <row r="635" customFormat="false" ht="16.5" hidden="false" customHeight="true" outlineLevel="0" collapsed="false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</row>
    <row r="636" customFormat="false" ht="16.5" hidden="false" customHeight="true" outlineLevel="0" collapsed="false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</row>
    <row r="637" customFormat="false" ht="16.5" hidden="false" customHeight="true" outlineLevel="0" collapsed="false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</row>
    <row r="638" customFormat="false" ht="16.5" hidden="false" customHeight="true" outlineLevel="0" collapsed="false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</row>
    <row r="639" customFormat="false" ht="16.5" hidden="false" customHeight="true" outlineLevel="0" collapsed="false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</row>
    <row r="640" customFormat="false" ht="16.5" hidden="false" customHeight="true" outlineLevel="0" collapsed="false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</row>
    <row r="641" customFormat="false" ht="16.5" hidden="false" customHeight="true" outlineLevel="0" collapsed="false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</row>
    <row r="642" customFormat="false" ht="16.5" hidden="false" customHeight="true" outlineLevel="0" collapsed="false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</row>
    <row r="643" customFormat="false" ht="16.5" hidden="false" customHeight="true" outlineLevel="0" collapsed="false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</row>
    <row r="644" customFormat="false" ht="16.5" hidden="false" customHeight="true" outlineLevel="0" collapsed="false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</row>
    <row r="645" customFormat="false" ht="16.5" hidden="false" customHeight="true" outlineLevel="0" collapsed="false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</row>
    <row r="646" customFormat="false" ht="16.5" hidden="false" customHeight="true" outlineLevel="0" collapsed="false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</row>
    <row r="647" customFormat="false" ht="16.5" hidden="false" customHeight="true" outlineLevel="0" collapsed="false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</row>
    <row r="648" customFormat="false" ht="16.5" hidden="false" customHeight="true" outlineLevel="0" collapsed="false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</row>
    <row r="649" customFormat="false" ht="16.5" hidden="false" customHeight="true" outlineLevel="0" collapsed="false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</row>
    <row r="650" customFormat="false" ht="16.5" hidden="false" customHeight="true" outlineLevel="0" collapsed="false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</row>
    <row r="651" customFormat="false" ht="16.5" hidden="false" customHeight="true" outlineLevel="0" collapsed="false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</row>
    <row r="652" customFormat="false" ht="16.5" hidden="false" customHeight="true" outlineLevel="0" collapsed="false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</row>
    <row r="653" customFormat="false" ht="16.5" hidden="false" customHeight="true" outlineLevel="0" collapsed="false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</row>
    <row r="654" customFormat="false" ht="16.5" hidden="false" customHeight="true" outlineLevel="0" collapsed="false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</row>
    <row r="655" customFormat="false" ht="16.5" hidden="false" customHeight="true" outlineLevel="0" collapsed="false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</row>
    <row r="656" customFormat="false" ht="16.5" hidden="false" customHeight="true" outlineLevel="0" collapsed="false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</row>
    <row r="657" customFormat="false" ht="16.5" hidden="false" customHeight="true" outlineLevel="0" collapsed="false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</row>
    <row r="658" customFormat="false" ht="16.5" hidden="false" customHeight="true" outlineLevel="0" collapsed="false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</row>
    <row r="659" customFormat="false" ht="16.5" hidden="false" customHeight="true" outlineLevel="0" collapsed="false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</row>
    <row r="660" customFormat="false" ht="16.5" hidden="false" customHeight="true" outlineLevel="0" collapsed="false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</row>
    <row r="661" customFormat="false" ht="16.5" hidden="false" customHeight="true" outlineLevel="0" collapsed="false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</row>
    <row r="662" customFormat="false" ht="16.5" hidden="false" customHeight="true" outlineLevel="0" collapsed="false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</row>
    <row r="663" customFormat="false" ht="16.5" hidden="false" customHeight="true" outlineLevel="0" collapsed="false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</row>
    <row r="664" customFormat="false" ht="16.5" hidden="false" customHeight="true" outlineLevel="0" collapsed="false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</row>
    <row r="665" customFormat="false" ht="16.5" hidden="false" customHeight="true" outlineLevel="0" collapsed="false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</row>
    <row r="666" customFormat="false" ht="16.5" hidden="false" customHeight="true" outlineLevel="0" collapsed="false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</row>
    <row r="667" customFormat="false" ht="16.5" hidden="false" customHeight="true" outlineLevel="0" collapsed="false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</row>
    <row r="668" customFormat="false" ht="16.5" hidden="false" customHeight="true" outlineLevel="0" collapsed="false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</row>
    <row r="669" customFormat="false" ht="16.5" hidden="false" customHeight="true" outlineLevel="0" collapsed="false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</row>
    <row r="670" customFormat="false" ht="16.5" hidden="false" customHeight="true" outlineLevel="0" collapsed="false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</row>
    <row r="671" customFormat="false" ht="16.5" hidden="false" customHeight="true" outlineLevel="0" collapsed="false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</row>
    <row r="672" customFormat="false" ht="16.5" hidden="false" customHeight="true" outlineLevel="0" collapsed="false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</row>
    <row r="673" customFormat="false" ht="16.5" hidden="false" customHeight="true" outlineLevel="0" collapsed="false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</row>
    <row r="674" customFormat="false" ht="16.5" hidden="false" customHeight="true" outlineLevel="0" collapsed="false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</row>
    <row r="675" customFormat="false" ht="16.5" hidden="false" customHeight="true" outlineLevel="0" collapsed="false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</row>
    <row r="676" customFormat="false" ht="16.5" hidden="false" customHeight="true" outlineLevel="0" collapsed="false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</row>
    <row r="677" customFormat="false" ht="16.5" hidden="false" customHeight="true" outlineLevel="0" collapsed="false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</row>
    <row r="678" customFormat="false" ht="16.5" hidden="false" customHeight="true" outlineLevel="0" collapsed="false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</row>
    <row r="679" customFormat="false" ht="16.5" hidden="false" customHeight="true" outlineLevel="0" collapsed="false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</row>
    <row r="680" customFormat="false" ht="16.5" hidden="false" customHeight="true" outlineLevel="0" collapsed="false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</row>
    <row r="681" customFormat="false" ht="16.5" hidden="false" customHeight="true" outlineLevel="0" collapsed="false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</row>
    <row r="682" customFormat="false" ht="16.5" hidden="false" customHeight="true" outlineLevel="0" collapsed="false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</row>
    <row r="683" customFormat="false" ht="16.5" hidden="false" customHeight="true" outlineLevel="0" collapsed="false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</row>
    <row r="684" customFormat="false" ht="16.5" hidden="false" customHeight="true" outlineLevel="0" collapsed="false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</row>
    <row r="685" customFormat="false" ht="16.5" hidden="false" customHeight="true" outlineLevel="0" collapsed="false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</row>
    <row r="686" customFormat="false" ht="16.5" hidden="false" customHeight="true" outlineLevel="0" collapsed="false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</row>
    <row r="687" customFormat="false" ht="16.5" hidden="false" customHeight="true" outlineLevel="0" collapsed="false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</row>
    <row r="688" customFormat="false" ht="16.5" hidden="false" customHeight="true" outlineLevel="0" collapsed="false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</row>
    <row r="689" customFormat="false" ht="16.5" hidden="false" customHeight="true" outlineLevel="0" collapsed="false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</row>
    <row r="690" customFormat="false" ht="16.5" hidden="false" customHeight="true" outlineLevel="0" collapsed="false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</row>
    <row r="691" customFormat="false" ht="16.5" hidden="false" customHeight="true" outlineLevel="0" collapsed="false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</row>
    <row r="692" customFormat="false" ht="16.5" hidden="false" customHeight="true" outlineLevel="0" collapsed="false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</row>
    <row r="693" customFormat="false" ht="16.5" hidden="false" customHeight="true" outlineLevel="0" collapsed="false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</row>
    <row r="694" customFormat="false" ht="16.5" hidden="false" customHeight="true" outlineLevel="0" collapsed="false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</row>
    <row r="695" customFormat="false" ht="16.5" hidden="false" customHeight="true" outlineLevel="0" collapsed="false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</row>
    <row r="696" customFormat="false" ht="16.5" hidden="false" customHeight="true" outlineLevel="0" collapsed="false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</row>
    <row r="697" customFormat="false" ht="16.5" hidden="false" customHeight="true" outlineLevel="0" collapsed="false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</row>
    <row r="698" customFormat="false" ht="16.5" hidden="false" customHeight="true" outlineLevel="0" collapsed="false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</row>
    <row r="699" customFormat="false" ht="16.5" hidden="false" customHeight="true" outlineLevel="0" collapsed="false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</row>
    <row r="700" customFormat="false" ht="16.5" hidden="false" customHeight="true" outlineLevel="0" collapsed="false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</row>
    <row r="701" customFormat="false" ht="16.5" hidden="false" customHeight="true" outlineLevel="0" collapsed="false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</row>
    <row r="702" customFormat="false" ht="16.5" hidden="false" customHeight="true" outlineLevel="0" collapsed="false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</row>
    <row r="703" customFormat="false" ht="16.5" hidden="false" customHeight="true" outlineLevel="0" collapsed="false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</row>
    <row r="704" customFormat="false" ht="16.5" hidden="false" customHeight="true" outlineLevel="0" collapsed="false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</row>
    <row r="705" customFormat="false" ht="16.5" hidden="false" customHeight="true" outlineLevel="0" collapsed="false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</row>
    <row r="706" customFormat="false" ht="16.5" hidden="false" customHeight="true" outlineLevel="0" collapsed="false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</row>
    <row r="707" customFormat="false" ht="16.5" hidden="false" customHeight="true" outlineLevel="0" collapsed="false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</row>
    <row r="708" customFormat="false" ht="16.5" hidden="false" customHeight="true" outlineLevel="0" collapsed="false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</row>
    <row r="709" customFormat="false" ht="16.5" hidden="false" customHeight="true" outlineLevel="0" collapsed="false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</row>
    <row r="710" customFormat="false" ht="16.5" hidden="false" customHeight="true" outlineLevel="0" collapsed="false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</row>
    <row r="711" customFormat="false" ht="16.5" hidden="false" customHeight="true" outlineLevel="0" collapsed="false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</row>
    <row r="712" customFormat="false" ht="16.5" hidden="false" customHeight="true" outlineLevel="0" collapsed="false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</row>
    <row r="713" customFormat="false" ht="16.5" hidden="false" customHeight="true" outlineLevel="0" collapsed="false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</row>
    <row r="714" customFormat="false" ht="16.5" hidden="false" customHeight="true" outlineLevel="0" collapsed="false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</row>
    <row r="715" customFormat="false" ht="16.5" hidden="false" customHeight="true" outlineLevel="0" collapsed="false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</row>
    <row r="716" customFormat="false" ht="16.5" hidden="false" customHeight="true" outlineLevel="0" collapsed="false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</row>
    <row r="717" customFormat="false" ht="16.5" hidden="false" customHeight="true" outlineLevel="0" collapsed="false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</row>
    <row r="718" customFormat="false" ht="16.5" hidden="false" customHeight="true" outlineLevel="0" collapsed="false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</row>
    <row r="719" customFormat="false" ht="16.5" hidden="false" customHeight="true" outlineLevel="0" collapsed="false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</row>
    <row r="720" customFormat="false" ht="16.5" hidden="false" customHeight="true" outlineLevel="0" collapsed="false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</row>
    <row r="721" customFormat="false" ht="16.5" hidden="false" customHeight="true" outlineLevel="0" collapsed="false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</row>
    <row r="722" customFormat="false" ht="16.5" hidden="false" customHeight="true" outlineLevel="0" collapsed="false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</row>
    <row r="723" customFormat="false" ht="16.5" hidden="false" customHeight="true" outlineLevel="0" collapsed="false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</row>
    <row r="724" customFormat="false" ht="16.5" hidden="false" customHeight="true" outlineLevel="0" collapsed="false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</row>
    <row r="725" customFormat="false" ht="16.5" hidden="false" customHeight="true" outlineLevel="0" collapsed="false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</row>
    <row r="726" customFormat="false" ht="16.5" hidden="false" customHeight="true" outlineLevel="0" collapsed="false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</row>
    <row r="727" customFormat="false" ht="16.5" hidden="false" customHeight="true" outlineLevel="0" collapsed="false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</row>
    <row r="728" customFormat="false" ht="16.5" hidden="false" customHeight="true" outlineLevel="0" collapsed="false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</row>
    <row r="729" customFormat="false" ht="16.5" hidden="false" customHeight="true" outlineLevel="0" collapsed="false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</row>
    <row r="730" customFormat="false" ht="16.5" hidden="false" customHeight="true" outlineLevel="0" collapsed="false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</row>
    <row r="731" customFormat="false" ht="16.5" hidden="false" customHeight="true" outlineLevel="0" collapsed="false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</row>
    <row r="732" customFormat="false" ht="16.5" hidden="false" customHeight="true" outlineLevel="0" collapsed="false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</row>
    <row r="733" customFormat="false" ht="16.5" hidden="false" customHeight="true" outlineLevel="0" collapsed="false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</row>
    <row r="734" customFormat="false" ht="16.5" hidden="false" customHeight="true" outlineLevel="0" collapsed="false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</row>
    <row r="735" customFormat="false" ht="16.5" hidden="false" customHeight="true" outlineLevel="0" collapsed="false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</row>
    <row r="736" customFormat="false" ht="16.5" hidden="false" customHeight="true" outlineLevel="0" collapsed="false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</row>
    <row r="737" customFormat="false" ht="16.5" hidden="false" customHeight="true" outlineLevel="0" collapsed="false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</row>
    <row r="738" customFormat="false" ht="16.5" hidden="false" customHeight="true" outlineLevel="0" collapsed="false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</row>
    <row r="739" customFormat="false" ht="16.5" hidden="false" customHeight="true" outlineLevel="0" collapsed="false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</row>
    <row r="740" customFormat="false" ht="16.5" hidden="false" customHeight="true" outlineLevel="0" collapsed="false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</row>
    <row r="741" customFormat="false" ht="16.5" hidden="false" customHeight="true" outlineLevel="0" collapsed="false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</row>
    <row r="742" customFormat="false" ht="16.5" hidden="false" customHeight="true" outlineLevel="0" collapsed="false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</row>
    <row r="743" customFormat="false" ht="16.5" hidden="false" customHeight="true" outlineLevel="0" collapsed="false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</row>
    <row r="744" customFormat="false" ht="16.5" hidden="false" customHeight="true" outlineLevel="0" collapsed="false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</row>
    <row r="745" customFormat="false" ht="16.5" hidden="false" customHeight="true" outlineLevel="0" collapsed="false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</row>
    <row r="746" customFormat="false" ht="16.5" hidden="false" customHeight="true" outlineLevel="0" collapsed="false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</row>
    <row r="747" customFormat="false" ht="16.5" hidden="false" customHeight="true" outlineLevel="0" collapsed="false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</row>
    <row r="748" customFormat="false" ht="16.5" hidden="false" customHeight="true" outlineLevel="0" collapsed="false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</row>
    <row r="749" customFormat="false" ht="16.5" hidden="false" customHeight="true" outlineLevel="0" collapsed="false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</row>
    <row r="750" customFormat="false" ht="16.5" hidden="false" customHeight="true" outlineLevel="0" collapsed="false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</row>
    <row r="751" customFormat="false" ht="16.5" hidden="false" customHeight="true" outlineLevel="0" collapsed="false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</row>
    <row r="752" customFormat="false" ht="16.5" hidden="false" customHeight="true" outlineLevel="0" collapsed="false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</row>
    <row r="753" customFormat="false" ht="16.5" hidden="false" customHeight="true" outlineLevel="0" collapsed="false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</row>
    <row r="754" customFormat="false" ht="16.5" hidden="false" customHeight="true" outlineLevel="0" collapsed="false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</row>
    <row r="755" customFormat="false" ht="16.5" hidden="false" customHeight="true" outlineLevel="0" collapsed="false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</row>
    <row r="756" customFormat="false" ht="16.5" hidden="false" customHeight="true" outlineLevel="0" collapsed="false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</row>
    <row r="757" customFormat="false" ht="16.5" hidden="false" customHeight="true" outlineLevel="0" collapsed="false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</row>
    <row r="758" customFormat="false" ht="16.5" hidden="false" customHeight="true" outlineLevel="0" collapsed="false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</row>
    <row r="759" customFormat="false" ht="16.5" hidden="false" customHeight="true" outlineLevel="0" collapsed="false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</row>
    <row r="760" customFormat="false" ht="16.5" hidden="false" customHeight="true" outlineLevel="0" collapsed="false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</row>
    <row r="761" customFormat="false" ht="16.5" hidden="false" customHeight="true" outlineLevel="0" collapsed="false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</row>
    <row r="762" customFormat="false" ht="16.5" hidden="false" customHeight="true" outlineLevel="0" collapsed="false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</row>
    <row r="763" customFormat="false" ht="16.5" hidden="false" customHeight="true" outlineLevel="0" collapsed="false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</row>
    <row r="764" customFormat="false" ht="16.5" hidden="false" customHeight="true" outlineLevel="0" collapsed="false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</row>
    <row r="765" customFormat="false" ht="16.5" hidden="false" customHeight="true" outlineLevel="0" collapsed="false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</row>
    <row r="766" customFormat="false" ht="16.5" hidden="false" customHeight="true" outlineLevel="0" collapsed="false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</row>
    <row r="767" customFormat="false" ht="16.5" hidden="false" customHeight="true" outlineLevel="0" collapsed="false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</row>
    <row r="768" customFormat="false" ht="16.5" hidden="false" customHeight="true" outlineLevel="0" collapsed="false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</row>
    <row r="769" customFormat="false" ht="16.5" hidden="false" customHeight="true" outlineLevel="0" collapsed="false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</row>
    <row r="770" customFormat="false" ht="16.5" hidden="false" customHeight="true" outlineLevel="0" collapsed="false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</row>
    <row r="771" customFormat="false" ht="16.5" hidden="false" customHeight="true" outlineLevel="0" collapsed="false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</row>
    <row r="772" customFormat="false" ht="16.5" hidden="false" customHeight="true" outlineLevel="0" collapsed="false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</row>
    <row r="773" customFormat="false" ht="16.5" hidden="false" customHeight="true" outlineLevel="0" collapsed="false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</row>
    <row r="774" customFormat="false" ht="16.5" hidden="false" customHeight="true" outlineLevel="0" collapsed="false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</row>
    <row r="775" customFormat="false" ht="16.5" hidden="false" customHeight="true" outlineLevel="0" collapsed="false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</row>
    <row r="776" customFormat="false" ht="16.5" hidden="false" customHeight="true" outlineLevel="0" collapsed="false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</row>
    <row r="777" customFormat="false" ht="16.5" hidden="false" customHeight="true" outlineLevel="0" collapsed="false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</row>
    <row r="778" customFormat="false" ht="16.5" hidden="false" customHeight="true" outlineLevel="0" collapsed="false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</row>
    <row r="779" customFormat="false" ht="16.5" hidden="false" customHeight="true" outlineLevel="0" collapsed="false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</row>
    <row r="780" customFormat="false" ht="16.5" hidden="false" customHeight="true" outlineLevel="0" collapsed="false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</row>
    <row r="781" customFormat="false" ht="16.5" hidden="false" customHeight="true" outlineLevel="0" collapsed="false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</row>
    <row r="782" customFormat="false" ht="16.5" hidden="false" customHeight="true" outlineLevel="0" collapsed="false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</row>
    <row r="783" customFormat="false" ht="16.5" hidden="false" customHeight="true" outlineLevel="0" collapsed="false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</row>
    <row r="784" customFormat="false" ht="16.5" hidden="false" customHeight="true" outlineLevel="0" collapsed="false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</row>
    <row r="785" customFormat="false" ht="16.5" hidden="false" customHeight="true" outlineLevel="0" collapsed="false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</row>
    <row r="786" customFormat="false" ht="16.5" hidden="false" customHeight="true" outlineLevel="0" collapsed="false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</row>
    <row r="787" customFormat="false" ht="16.5" hidden="false" customHeight="true" outlineLevel="0" collapsed="false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</row>
    <row r="788" customFormat="false" ht="16.5" hidden="false" customHeight="true" outlineLevel="0" collapsed="false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</row>
    <row r="789" customFormat="false" ht="16.5" hidden="false" customHeight="true" outlineLevel="0" collapsed="false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</row>
    <row r="790" customFormat="false" ht="16.5" hidden="false" customHeight="true" outlineLevel="0" collapsed="false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</row>
    <row r="791" customFormat="false" ht="16.5" hidden="false" customHeight="true" outlineLevel="0" collapsed="false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</row>
    <row r="792" customFormat="false" ht="16.5" hidden="false" customHeight="true" outlineLevel="0" collapsed="false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</row>
    <row r="793" customFormat="false" ht="16.5" hidden="false" customHeight="true" outlineLevel="0" collapsed="false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</row>
    <row r="794" customFormat="false" ht="16.5" hidden="false" customHeight="true" outlineLevel="0" collapsed="false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</row>
    <row r="795" customFormat="false" ht="16.5" hidden="false" customHeight="true" outlineLevel="0" collapsed="false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</row>
    <row r="796" customFormat="false" ht="16.5" hidden="false" customHeight="true" outlineLevel="0" collapsed="false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</row>
    <row r="797" customFormat="false" ht="16.5" hidden="false" customHeight="true" outlineLevel="0" collapsed="false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</row>
    <row r="798" customFormat="false" ht="16.5" hidden="false" customHeight="true" outlineLevel="0" collapsed="false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</row>
    <row r="799" customFormat="false" ht="16.5" hidden="false" customHeight="true" outlineLevel="0" collapsed="false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</row>
    <row r="800" customFormat="false" ht="16.5" hidden="false" customHeight="true" outlineLevel="0" collapsed="false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</row>
    <row r="801" customFormat="false" ht="16.5" hidden="false" customHeight="true" outlineLevel="0" collapsed="false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</row>
    <row r="802" customFormat="false" ht="16.5" hidden="false" customHeight="true" outlineLevel="0" collapsed="false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</row>
    <row r="803" customFormat="false" ht="16.5" hidden="false" customHeight="true" outlineLevel="0" collapsed="false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</row>
    <row r="804" customFormat="false" ht="16.5" hidden="false" customHeight="true" outlineLevel="0" collapsed="false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</row>
    <row r="805" customFormat="false" ht="16.5" hidden="false" customHeight="true" outlineLevel="0" collapsed="false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</row>
    <row r="806" customFormat="false" ht="16.5" hidden="false" customHeight="true" outlineLevel="0" collapsed="false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</row>
    <row r="807" customFormat="false" ht="16.5" hidden="false" customHeight="true" outlineLevel="0" collapsed="false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</row>
    <row r="808" customFormat="false" ht="16.5" hidden="false" customHeight="true" outlineLevel="0" collapsed="false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</row>
    <row r="809" customFormat="false" ht="16.5" hidden="false" customHeight="true" outlineLevel="0" collapsed="false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</row>
    <row r="810" customFormat="false" ht="16.5" hidden="false" customHeight="true" outlineLevel="0" collapsed="false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</row>
    <row r="811" customFormat="false" ht="16.5" hidden="false" customHeight="true" outlineLevel="0" collapsed="false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</row>
    <row r="812" customFormat="false" ht="16.5" hidden="false" customHeight="true" outlineLevel="0" collapsed="false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</row>
    <row r="813" customFormat="false" ht="16.5" hidden="false" customHeight="true" outlineLevel="0" collapsed="false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</row>
    <row r="814" customFormat="false" ht="16.5" hidden="false" customHeight="true" outlineLevel="0" collapsed="false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</row>
    <row r="815" customFormat="false" ht="16.5" hidden="false" customHeight="true" outlineLevel="0" collapsed="false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</row>
    <row r="816" customFormat="false" ht="16.5" hidden="false" customHeight="true" outlineLevel="0" collapsed="false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</row>
    <row r="817" customFormat="false" ht="16.5" hidden="false" customHeight="true" outlineLevel="0" collapsed="false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</row>
    <row r="818" customFormat="false" ht="16.5" hidden="false" customHeight="true" outlineLevel="0" collapsed="false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</row>
    <row r="819" customFormat="false" ht="16.5" hidden="false" customHeight="true" outlineLevel="0" collapsed="false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</row>
    <row r="820" customFormat="false" ht="16.5" hidden="false" customHeight="true" outlineLevel="0" collapsed="false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</row>
    <row r="821" customFormat="false" ht="16.5" hidden="false" customHeight="true" outlineLevel="0" collapsed="false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</row>
    <row r="822" customFormat="false" ht="16.5" hidden="false" customHeight="true" outlineLevel="0" collapsed="false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</row>
    <row r="823" customFormat="false" ht="16.5" hidden="false" customHeight="true" outlineLevel="0" collapsed="false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</row>
    <row r="824" customFormat="false" ht="16.5" hidden="false" customHeight="true" outlineLevel="0" collapsed="false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</row>
    <row r="825" customFormat="false" ht="16.5" hidden="false" customHeight="true" outlineLevel="0" collapsed="false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</row>
    <row r="826" customFormat="false" ht="16.5" hidden="false" customHeight="true" outlineLevel="0" collapsed="false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</row>
    <row r="827" customFormat="false" ht="16.5" hidden="false" customHeight="true" outlineLevel="0" collapsed="false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</row>
    <row r="828" customFormat="false" ht="16.5" hidden="false" customHeight="true" outlineLevel="0" collapsed="false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</row>
    <row r="829" customFormat="false" ht="16.5" hidden="false" customHeight="true" outlineLevel="0" collapsed="false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</row>
    <row r="830" customFormat="false" ht="16.5" hidden="false" customHeight="true" outlineLevel="0" collapsed="false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</row>
    <row r="831" customFormat="false" ht="16.5" hidden="false" customHeight="true" outlineLevel="0" collapsed="false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</row>
    <row r="832" customFormat="false" ht="16.5" hidden="false" customHeight="true" outlineLevel="0" collapsed="false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</row>
    <row r="833" customFormat="false" ht="16.5" hidden="false" customHeight="true" outlineLevel="0" collapsed="false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</row>
    <row r="834" customFormat="false" ht="16.5" hidden="false" customHeight="true" outlineLevel="0" collapsed="false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</row>
    <row r="835" customFormat="false" ht="16.5" hidden="false" customHeight="true" outlineLevel="0" collapsed="false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</row>
    <row r="836" customFormat="false" ht="16.5" hidden="false" customHeight="true" outlineLevel="0" collapsed="false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</row>
    <row r="837" customFormat="false" ht="16.5" hidden="false" customHeight="true" outlineLevel="0" collapsed="false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</row>
    <row r="838" customFormat="false" ht="16.5" hidden="false" customHeight="true" outlineLevel="0" collapsed="false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</row>
    <row r="839" customFormat="false" ht="16.5" hidden="false" customHeight="true" outlineLevel="0" collapsed="false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</row>
    <row r="840" customFormat="false" ht="16.5" hidden="false" customHeight="true" outlineLevel="0" collapsed="false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</row>
    <row r="841" customFormat="false" ht="16.5" hidden="false" customHeight="true" outlineLevel="0" collapsed="false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</row>
    <row r="842" customFormat="false" ht="16.5" hidden="false" customHeight="true" outlineLevel="0" collapsed="false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</row>
    <row r="843" customFormat="false" ht="16.5" hidden="false" customHeight="true" outlineLevel="0" collapsed="false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</row>
    <row r="844" customFormat="false" ht="16.5" hidden="false" customHeight="true" outlineLevel="0" collapsed="false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</row>
    <row r="845" customFormat="false" ht="16.5" hidden="false" customHeight="true" outlineLevel="0" collapsed="false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</row>
    <row r="846" customFormat="false" ht="16.5" hidden="false" customHeight="true" outlineLevel="0" collapsed="false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</row>
    <row r="847" customFormat="false" ht="16.5" hidden="false" customHeight="true" outlineLevel="0" collapsed="false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</row>
    <row r="848" customFormat="false" ht="16.5" hidden="false" customHeight="true" outlineLevel="0" collapsed="false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</row>
    <row r="849" customFormat="false" ht="16.5" hidden="false" customHeight="true" outlineLevel="0" collapsed="false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</row>
    <row r="850" customFormat="false" ht="16.5" hidden="false" customHeight="true" outlineLevel="0" collapsed="false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</row>
    <row r="851" customFormat="false" ht="16.5" hidden="false" customHeight="true" outlineLevel="0" collapsed="false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</row>
    <row r="852" customFormat="false" ht="16.5" hidden="false" customHeight="true" outlineLevel="0" collapsed="false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</row>
    <row r="853" customFormat="false" ht="16.5" hidden="false" customHeight="true" outlineLevel="0" collapsed="false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</row>
    <row r="854" customFormat="false" ht="16.5" hidden="false" customHeight="true" outlineLevel="0" collapsed="false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</row>
    <row r="855" customFormat="false" ht="16.5" hidden="false" customHeight="true" outlineLevel="0" collapsed="false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</row>
    <row r="856" customFormat="false" ht="16.5" hidden="false" customHeight="true" outlineLevel="0" collapsed="false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</row>
    <row r="857" customFormat="false" ht="16.5" hidden="false" customHeight="true" outlineLevel="0" collapsed="false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</row>
    <row r="858" customFormat="false" ht="16.5" hidden="false" customHeight="true" outlineLevel="0" collapsed="false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</row>
    <row r="859" customFormat="false" ht="16.5" hidden="false" customHeight="true" outlineLevel="0" collapsed="false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</row>
    <row r="860" customFormat="false" ht="16.5" hidden="false" customHeight="true" outlineLevel="0" collapsed="false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</row>
    <row r="861" customFormat="false" ht="16.5" hidden="false" customHeight="true" outlineLevel="0" collapsed="false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</row>
    <row r="862" customFormat="false" ht="16.5" hidden="false" customHeight="true" outlineLevel="0" collapsed="false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</row>
    <row r="863" customFormat="false" ht="16.5" hidden="false" customHeight="true" outlineLevel="0" collapsed="false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</row>
    <row r="864" customFormat="false" ht="16.5" hidden="false" customHeight="true" outlineLevel="0" collapsed="false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</row>
    <row r="865" customFormat="false" ht="16.5" hidden="false" customHeight="true" outlineLevel="0" collapsed="false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</row>
    <row r="866" customFormat="false" ht="16.5" hidden="false" customHeight="true" outlineLevel="0" collapsed="false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</row>
    <row r="867" customFormat="false" ht="16.5" hidden="false" customHeight="true" outlineLevel="0" collapsed="false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</row>
    <row r="868" customFormat="false" ht="16.5" hidden="false" customHeight="true" outlineLevel="0" collapsed="false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</row>
    <row r="869" customFormat="false" ht="16.5" hidden="false" customHeight="true" outlineLevel="0" collapsed="false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</row>
    <row r="870" customFormat="false" ht="16.5" hidden="false" customHeight="true" outlineLevel="0" collapsed="false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</row>
    <row r="871" customFormat="false" ht="16.5" hidden="false" customHeight="true" outlineLevel="0" collapsed="false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</row>
    <row r="872" customFormat="false" ht="16.5" hidden="false" customHeight="true" outlineLevel="0" collapsed="false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</row>
    <row r="873" customFormat="false" ht="16.5" hidden="false" customHeight="true" outlineLevel="0" collapsed="false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</row>
    <row r="874" customFormat="false" ht="16.5" hidden="false" customHeight="true" outlineLevel="0" collapsed="false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</row>
    <row r="875" customFormat="false" ht="16.5" hidden="false" customHeight="true" outlineLevel="0" collapsed="false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</row>
    <row r="876" customFormat="false" ht="16.5" hidden="false" customHeight="true" outlineLevel="0" collapsed="false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</row>
    <row r="877" customFormat="false" ht="16.5" hidden="false" customHeight="true" outlineLevel="0" collapsed="false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</row>
    <row r="878" customFormat="false" ht="16.5" hidden="false" customHeight="true" outlineLevel="0" collapsed="false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</row>
    <row r="879" customFormat="false" ht="16.5" hidden="false" customHeight="true" outlineLevel="0" collapsed="false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</row>
    <row r="880" customFormat="false" ht="16.5" hidden="false" customHeight="true" outlineLevel="0" collapsed="false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</row>
    <row r="881" customFormat="false" ht="16.5" hidden="false" customHeight="true" outlineLevel="0" collapsed="false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</row>
    <row r="882" customFormat="false" ht="16.5" hidden="false" customHeight="true" outlineLevel="0" collapsed="false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</row>
    <row r="883" customFormat="false" ht="16.5" hidden="false" customHeight="true" outlineLevel="0" collapsed="false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</row>
    <row r="884" customFormat="false" ht="16.5" hidden="false" customHeight="true" outlineLevel="0" collapsed="false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</row>
    <row r="885" customFormat="false" ht="16.5" hidden="false" customHeight="true" outlineLevel="0" collapsed="false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</row>
    <row r="886" customFormat="false" ht="16.5" hidden="false" customHeight="true" outlineLevel="0" collapsed="false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</row>
    <row r="887" customFormat="false" ht="16.5" hidden="false" customHeight="true" outlineLevel="0" collapsed="false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</row>
    <row r="888" customFormat="false" ht="16.5" hidden="false" customHeight="true" outlineLevel="0" collapsed="false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</row>
    <row r="889" customFormat="false" ht="16.5" hidden="false" customHeight="true" outlineLevel="0" collapsed="false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</row>
    <row r="890" customFormat="false" ht="16.5" hidden="false" customHeight="true" outlineLevel="0" collapsed="false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</row>
    <row r="891" customFormat="false" ht="16.5" hidden="false" customHeight="true" outlineLevel="0" collapsed="false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</row>
    <row r="892" customFormat="false" ht="16.5" hidden="false" customHeight="true" outlineLevel="0" collapsed="false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</row>
    <row r="893" customFormat="false" ht="16.5" hidden="false" customHeight="true" outlineLevel="0" collapsed="false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</row>
    <row r="894" customFormat="false" ht="16.5" hidden="false" customHeight="true" outlineLevel="0" collapsed="false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</row>
    <row r="895" customFormat="false" ht="16.5" hidden="false" customHeight="true" outlineLevel="0" collapsed="false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</row>
    <row r="896" customFormat="false" ht="16.5" hidden="false" customHeight="true" outlineLevel="0" collapsed="false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</row>
    <row r="897" customFormat="false" ht="16.5" hidden="false" customHeight="true" outlineLevel="0" collapsed="false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</row>
    <row r="898" customFormat="false" ht="16.5" hidden="false" customHeight="true" outlineLevel="0" collapsed="false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</row>
    <row r="899" customFormat="false" ht="16.5" hidden="false" customHeight="true" outlineLevel="0" collapsed="false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</row>
    <row r="900" customFormat="false" ht="16.5" hidden="false" customHeight="true" outlineLevel="0" collapsed="false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</row>
    <row r="901" customFormat="false" ht="16.5" hidden="false" customHeight="true" outlineLevel="0" collapsed="false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</row>
    <row r="902" customFormat="false" ht="16.5" hidden="false" customHeight="true" outlineLevel="0" collapsed="false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</row>
    <row r="903" customFormat="false" ht="16.5" hidden="false" customHeight="true" outlineLevel="0" collapsed="false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</row>
    <row r="904" customFormat="false" ht="16.5" hidden="false" customHeight="true" outlineLevel="0" collapsed="false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</row>
    <row r="905" customFormat="false" ht="16.5" hidden="false" customHeight="true" outlineLevel="0" collapsed="false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</row>
    <row r="906" customFormat="false" ht="16.5" hidden="false" customHeight="true" outlineLevel="0" collapsed="false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</row>
    <row r="907" customFormat="false" ht="16.5" hidden="false" customHeight="true" outlineLevel="0" collapsed="false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</row>
    <row r="908" customFormat="false" ht="16.5" hidden="false" customHeight="true" outlineLevel="0" collapsed="false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</row>
    <row r="909" customFormat="false" ht="16.5" hidden="false" customHeight="true" outlineLevel="0" collapsed="false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</row>
    <row r="910" customFormat="false" ht="16.5" hidden="false" customHeight="true" outlineLevel="0" collapsed="false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</row>
    <row r="911" customFormat="false" ht="16.5" hidden="false" customHeight="true" outlineLevel="0" collapsed="false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</row>
    <row r="912" customFormat="false" ht="16.5" hidden="false" customHeight="true" outlineLevel="0" collapsed="false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</row>
    <row r="913" customFormat="false" ht="16.5" hidden="false" customHeight="true" outlineLevel="0" collapsed="false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</row>
    <row r="914" customFormat="false" ht="16.5" hidden="false" customHeight="true" outlineLevel="0" collapsed="false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</row>
    <row r="915" customFormat="false" ht="16.5" hidden="false" customHeight="true" outlineLevel="0" collapsed="false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</row>
    <row r="916" customFormat="false" ht="16.5" hidden="false" customHeight="true" outlineLevel="0" collapsed="false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</row>
    <row r="917" customFormat="false" ht="16.5" hidden="false" customHeight="true" outlineLevel="0" collapsed="false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</row>
    <row r="918" customFormat="false" ht="16.5" hidden="false" customHeight="true" outlineLevel="0" collapsed="false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</row>
    <row r="919" customFormat="false" ht="16.5" hidden="false" customHeight="true" outlineLevel="0" collapsed="false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</row>
    <row r="920" customFormat="false" ht="16.5" hidden="false" customHeight="true" outlineLevel="0" collapsed="false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</row>
    <row r="921" customFormat="false" ht="16.5" hidden="false" customHeight="true" outlineLevel="0" collapsed="false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</row>
    <row r="922" customFormat="false" ht="16.5" hidden="false" customHeight="true" outlineLevel="0" collapsed="false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</row>
    <row r="923" customFormat="false" ht="16.5" hidden="false" customHeight="true" outlineLevel="0" collapsed="false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</row>
    <row r="924" customFormat="false" ht="16.5" hidden="false" customHeight="true" outlineLevel="0" collapsed="false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</row>
    <row r="925" customFormat="false" ht="16.5" hidden="false" customHeight="true" outlineLevel="0" collapsed="false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</row>
    <row r="926" customFormat="false" ht="16.5" hidden="false" customHeight="true" outlineLevel="0" collapsed="false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</row>
    <row r="927" customFormat="false" ht="16.5" hidden="false" customHeight="true" outlineLevel="0" collapsed="false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</row>
    <row r="928" customFormat="false" ht="16.5" hidden="false" customHeight="true" outlineLevel="0" collapsed="false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</row>
    <row r="929" customFormat="false" ht="16.5" hidden="false" customHeight="true" outlineLevel="0" collapsed="false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</row>
    <row r="930" customFormat="false" ht="16.5" hidden="false" customHeight="true" outlineLevel="0" collapsed="false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</row>
    <row r="931" customFormat="false" ht="16.5" hidden="false" customHeight="true" outlineLevel="0" collapsed="false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</row>
    <row r="932" customFormat="false" ht="16.5" hidden="false" customHeight="true" outlineLevel="0" collapsed="false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</row>
    <row r="933" customFormat="false" ht="16.5" hidden="false" customHeight="true" outlineLevel="0" collapsed="false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</row>
    <row r="934" customFormat="false" ht="16.5" hidden="false" customHeight="true" outlineLevel="0" collapsed="false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</row>
    <row r="935" customFormat="false" ht="16.5" hidden="false" customHeight="true" outlineLevel="0" collapsed="false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</row>
    <row r="936" customFormat="false" ht="16.5" hidden="false" customHeight="true" outlineLevel="0" collapsed="false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</row>
    <row r="937" customFormat="false" ht="16.5" hidden="false" customHeight="true" outlineLevel="0" collapsed="false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</row>
    <row r="938" customFormat="false" ht="16.5" hidden="false" customHeight="true" outlineLevel="0" collapsed="false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</row>
    <row r="939" customFormat="false" ht="16.5" hidden="false" customHeight="true" outlineLevel="0" collapsed="false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</row>
    <row r="940" customFormat="false" ht="16.5" hidden="false" customHeight="true" outlineLevel="0" collapsed="false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</row>
    <row r="941" customFormat="false" ht="16.5" hidden="false" customHeight="true" outlineLevel="0" collapsed="false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</row>
    <row r="942" customFormat="false" ht="16.5" hidden="false" customHeight="true" outlineLevel="0" collapsed="false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</row>
    <row r="943" customFormat="false" ht="16.5" hidden="false" customHeight="true" outlineLevel="0" collapsed="false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</row>
    <row r="944" customFormat="false" ht="16.5" hidden="false" customHeight="true" outlineLevel="0" collapsed="false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</row>
    <row r="945" customFormat="false" ht="16.5" hidden="false" customHeight="true" outlineLevel="0" collapsed="false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</row>
    <row r="946" customFormat="false" ht="16.5" hidden="false" customHeight="true" outlineLevel="0" collapsed="false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</row>
    <row r="947" customFormat="false" ht="16.5" hidden="false" customHeight="true" outlineLevel="0" collapsed="false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</row>
    <row r="948" customFormat="false" ht="16.5" hidden="false" customHeight="true" outlineLevel="0" collapsed="false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</row>
    <row r="949" customFormat="false" ht="16.5" hidden="false" customHeight="true" outlineLevel="0" collapsed="false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</row>
    <row r="950" customFormat="false" ht="16.5" hidden="false" customHeight="true" outlineLevel="0" collapsed="false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</row>
    <row r="951" customFormat="false" ht="16.5" hidden="false" customHeight="true" outlineLevel="0" collapsed="false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</row>
    <row r="952" customFormat="false" ht="16.5" hidden="false" customHeight="true" outlineLevel="0" collapsed="false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</row>
    <row r="953" customFormat="false" ht="16.5" hidden="false" customHeight="true" outlineLevel="0" collapsed="false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</row>
    <row r="954" customFormat="false" ht="16.5" hidden="false" customHeight="true" outlineLevel="0" collapsed="false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</row>
    <row r="955" customFormat="false" ht="16.5" hidden="false" customHeight="true" outlineLevel="0" collapsed="false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</row>
    <row r="956" customFormat="false" ht="16.5" hidden="false" customHeight="true" outlineLevel="0" collapsed="false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</row>
    <row r="957" customFormat="false" ht="16.5" hidden="false" customHeight="true" outlineLevel="0" collapsed="false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</row>
    <row r="958" customFormat="false" ht="16.5" hidden="false" customHeight="true" outlineLevel="0" collapsed="false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</row>
    <row r="959" customFormat="false" ht="16.5" hidden="false" customHeight="true" outlineLevel="0" collapsed="false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</row>
    <row r="960" customFormat="false" ht="16.5" hidden="false" customHeight="true" outlineLevel="0" collapsed="false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</row>
    <row r="961" customFormat="false" ht="16.5" hidden="false" customHeight="true" outlineLevel="0" collapsed="false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</row>
    <row r="962" customFormat="false" ht="16.5" hidden="false" customHeight="true" outlineLevel="0" collapsed="false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</row>
    <row r="963" customFormat="false" ht="16.5" hidden="false" customHeight="true" outlineLevel="0" collapsed="false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</row>
    <row r="964" customFormat="false" ht="16.5" hidden="false" customHeight="true" outlineLevel="0" collapsed="false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</row>
    <row r="965" customFormat="false" ht="16.5" hidden="false" customHeight="true" outlineLevel="0" collapsed="false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</row>
    <row r="966" customFormat="false" ht="16.5" hidden="false" customHeight="true" outlineLevel="0" collapsed="false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</row>
    <row r="967" customFormat="false" ht="16.5" hidden="false" customHeight="true" outlineLevel="0" collapsed="false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</row>
    <row r="968" customFormat="false" ht="16.5" hidden="false" customHeight="true" outlineLevel="0" collapsed="false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</row>
    <row r="969" customFormat="false" ht="16.5" hidden="false" customHeight="true" outlineLevel="0" collapsed="false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</row>
    <row r="970" customFormat="false" ht="16.5" hidden="false" customHeight="true" outlineLevel="0" collapsed="false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</row>
    <row r="971" customFormat="false" ht="16.5" hidden="false" customHeight="true" outlineLevel="0" collapsed="false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</row>
    <row r="972" customFormat="false" ht="16.5" hidden="false" customHeight="true" outlineLevel="0" collapsed="false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</row>
    <row r="973" customFormat="false" ht="16.5" hidden="false" customHeight="true" outlineLevel="0" collapsed="false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</row>
    <row r="974" customFormat="false" ht="16.5" hidden="false" customHeight="true" outlineLevel="0" collapsed="false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</row>
    <row r="975" customFormat="false" ht="16.5" hidden="false" customHeight="true" outlineLevel="0" collapsed="false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</row>
    <row r="976" customFormat="false" ht="16.5" hidden="false" customHeight="true" outlineLevel="0" collapsed="false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</row>
    <row r="977" customFormat="false" ht="16.5" hidden="false" customHeight="true" outlineLevel="0" collapsed="false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</row>
    <row r="978" customFormat="false" ht="16.5" hidden="false" customHeight="true" outlineLevel="0" collapsed="false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</row>
    <row r="979" customFormat="false" ht="16.5" hidden="false" customHeight="true" outlineLevel="0" collapsed="false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</row>
    <row r="980" customFormat="false" ht="16.5" hidden="false" customHeight="true" outlineLevel="0" collapsed="false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</row>
    <row r="981" customFormat="false" ht="16.5" hidden="false" customHeight="true" outlineLevel="0" collapsed="false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</row>
    <row r="982" customFormat="false" ht="16.5" hidden="false" customHeight="true" outlineLevel="0" collapsed="false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</row>
    <row r="983" customFormat="false" ht="16.5" hidden="false" customHeight="true" outlineLevel="0" collapsed="false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</row>
    <row r="984" customFormat="false" ht="16.5" hidden="false" customHeight="true" outlineLevel="0" collapsed="false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</row>
    <row r="985" customFormat="false" ht="16.5" hidden="false" customHeight="true" outlineLevel="0" collapsed="false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</row>
    <row r="986" customFormat="false" ht="16.5" hidden="false" customHeight="true" outlineLevel="0" collapsed="false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</row>
    <row r="987" customFormat="false" ht="16.5" hidden="false" customHeight="true" outlineLevel="0" collapsed="false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</row>
    <row r="988" customFormat="false" ht="16.5" hidden="false" customHeight="true" outlineLevel="0" collapsed="false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</row>
    <row r="989" customFormat="false" ht="16.5" hidden="false" customHeight="true" outlineLevel="0" collapsed="false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</row>
    <row r="990" customFormat="false" ht="16.5" hidden="false" customHeight="true" outlineLevel="0" collapsed="false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</row>
    <row r="991" customFormat="false" ht="16.5" hidden="false" customHeight="true" outlineLevel="0" collapsed="false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</row>
    <row r="992" customFormat="false" ht="16.5" hidden="false" customHeight="true" outlineLevel="0" collapsed="false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</row>
    <row r="993" customFormat="false" ht="16.5" hidden="false" customHeight="true" outlineLevel="0" collapsed="false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</row>
    <row r="994" customFormat="false" ht="16.5" hidden="false" customHeight="true" outlineLevel="0" collapsed="false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</row>
    <row r="995" customFormat="false" ht="16.5" hidden="false" customHeight="true" outlineLevel="0" collapsed="false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</row>
    <row r="996" customFormat="false" ht="16.5" hidden="false" customHeight="true" outlineLevel="0" collapsed="false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</row>
    <row r="997" customFormat="false" ht="16.5" hidden="false" customHeight="true" outlineLevel="0" collapsed="false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</row>
    <row r="998" customFormat="false" ht="16.5" hidden="false" customHeight="true" outlineLevel="0" collapsed="false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</row>
    <row r="999" customFormat="false" ht="16.5" hidden="false" customHeight="true" outlineLevel="0" collapsed="false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</row>
    <row r="1000" customFormat="false" ht="16.5" hidden="false" customHeight="true" outlineLevel="0" collapsed="false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</row>
  </sheetData>
  <sheetProtection sheet="true" formatCells="false" formatColumns="false" formatRows="false" insertColumns="false" insertRows="false" insertHyperlinks="false" deleteColumns="false" deleteRows="false" sort="false" autoFilter="false"/>
  <autoFilter ref="A1:I1000"/>
  <conditionalFormatting sqref="F2:F500">
    <cfRule type="expression" priority="2" aboveAverage="0" equalAverage="0" bottom="0" percent="0" rank="0" text="" dxfId="25">
      <formula>ISNUMBER(SEARCH("Vistoria",F2))</formula>
    </cfRule>
    <cfRule type="expression" priority="3" aboveAverage="0" equalAverage="0" bottom="0" percent="0" rank="0" text="" dxfId="1">
      <formula>ISNUMBER(SEARCH("Orçamento",F2))</formula>
    </cfRule>
    <cfRule type="expression" priority="4" aboveAverage="0" equalAverage="0" bottom="0" percent="0" rank="0" text="" dxfId="26">
      <formula>ISNUMBER(SEARCH("Aparelho",F2))</formula>
    </cfRule>
    <cfRule type="expression" priority="5" aboveAverage="0" equalAverage="0" bottom="0" percent="0" rank="0" text="" dxfId="27">
      <formula>ISNUMBER(SEARCH("Instalação",F2))</formula>
    </cfRule>
    <cfRule type="expression" priority="6" aboveAverage="0" equalAverage="0" bottom="0" percent="0" rank="0" text="" dxfId="20">
      <formula>ISNUMBER(SEARCH("Recurso",F2))</formula>
    </cfRule>
    <cfRule type="expression" priority="7" aboveAverage="0" equalAverage="0" bottom="0" percent="0" rank="0" text="" dxfId="27">
      <formula>ISNUMBER(SEARCH("Aprovação",F2))</formula>
    </cfRule>
    <cfRule type="expression" priority="8" aboveAverage="0" equalAverage="0" bottom="0" percent="0" rank="0" text="" dxfId="27">
      <formula>ISNUMBER(SEARCH("Aprovado",F2))</formula>
    </cfRule>
    <cfRule type="expression" priority="9" aboveAverage="0" equalAverage="0" bottom="0" percent="0" rank="0" text="" dxfId="0">
      <formula>ISNUMBER(SEARCH("Reprovado",F2))</formula>
    </cfRule>
    <cfRule type="expression" priority="10" aboveAverage="0" equalAverage="0" bottom="0" percent="0" rank="0" text="" dxfId="27">
      <formula>ISNUMBER(SEARCH("Conclusão",F2))</formula>
    </cfRule>
    <cfRule type="expression" priority="11" aboveAverage="0" equalAverage="0" bottom="0" percent="0" rank="0" text="" dxfId="27">
      <formula>ISNUMBER(SEARCH("Concluída",F2))</formula>
    </cfRule>
    <cfRule type="expression" priority="12" aboveAverage="0" equalAverage="0" bottom="0" percent="0" rank="0" text="" dxfId="28">
      <formula>ISNUMBER(SEARCH("Solicitada",F2))</formula>
    </cfRule>
    <cfRule type="expression" priority="13" aboveAverage="0" equalAverage="0" bottom="0" percent="0" rank="0" text="" dxfId="28">
      <formula>ISNUMBER(SEARCH("Solicitado",F2))</formula>
    </cfRule>
  </conditionalFormatting>
  <dataValidations count="2">
    <dataValidation allowBlank="true" errorStyle="stop" operator="between" showDropDown="false" showErrorMessage="false" showInputMessage="false" sqref="G2:G1000" type="list">
      <formula1>lista_setores</formula1>
      <formula2>0</formula2>
    </dataValidation>
    <dataValidation allowBlank="true" errorStyle="stop" operator="between" showDropDown="false" showErrorMessage="false" showInputMessage="false" sqref="F2:F1000" type="list">
      <formula1>"Vistoria solicitada,Relatório recebido,Orçamento aprovado,Orçamento reprovado,Recurso verificado,CTO comunicada,Aparelho requisitado,Aparelho entregue,Instalação concluída,Chamado encerrado"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&amp;R&amp;"Calibri,Bold"&amp;K1f3864Controle Vivo de Climatização&amp;"Calibri,Regular"&amp;10 &amp;K595959  ·  GOP / 3ª CRE</oddHeader>
    <oddFooter>&amp;C&amp;9 &amp;K595959Página &amp;P de &amp;N  ·  &amp;D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70"/>
    <col collapsed="false" customWidth="true" hidden="false" outlineLevel="0" max="5" min="5" style="1" width="2"/>
  </cols>
  <sheetData>
    <row r="1" customFormat="false" ht="6" hidden="false" customHeight="true" outlineLevel="0" collapsed="false">
      <c r="B1" s="2"/>
      <c r="C1" s="2"/>
      <c r="D1" s="2"/>
    </row>
    <row r="2" customFormat="false" ht="37.5" hidden="false" customHeight="true" outlineLevel="0" collapsed="false">
      <c r="B2" s="93" t="s">
        <v>372</v>
      </c>
      <c r="C2" s="93"/>
      <c r="D2" s="93"/>
    </row>
    <row r="3" customFormat="false" ht="30" hidden="false" customHeight="true" outlineLevel="0" collapsed="false">
      <c r="B3" s="118" t="s">
        <v>373</v>
      </c>
      <c r="C3" s="118"/>
      <c r="D3" s="118"/>
    </row>
    <row r="4" customFormat="false" ht="15.75" hidden="false" customHeight="true" outlineLevel="0" collapsed="false"/>
    <row r="5" customFormat="false" ht="30" hidden="false" customHeight="true" outlineLevel="0" collapsed="false">
      <c r="B5" s="68" t="s">
        <v>374</v>
      </c>
      <c r="C5" s="68" t="s">
        <v>375</v>
      </c>
      <c r="D5" s="68" t="s">
        <v>376</v>
      </c>
    </row>
    <row r="6" customFormat="false" ht="204" hidden="false" customHeight="true" outlineLevel="0" collapsed="false">
      <c r="B6" s="119" t="s">
        <v>377</v>
      </c>
      <c r="C6" s="120" t="s">
        <v>378</v>
      </c>
      <c r="D6" s="121" t="s">
        <v>379</v>
      </c>
    </row>
    <row r="7" customFormat="false" ht="129" hidden="false" customHeight="true" outlineLevel="0" collapsed="false">
      <c r="B7" s="122" t="s">
        <v>380</v>
      </c>
      <c r="C7" s="123" t="s">
        <v>381</v>
      </c>
      <c r="D7" s="124" t="s">
        <v>382</v>
      </c>
    </row>
    <row r="8" customFormat="false" ht="129" hidden="false" customHeight="true" outlineLevel="0" collapsed="false">
      <c r="B8" s="119" t="s">
        <v>383</v>
      </c>
      <c r="C8" s="120" t="s">
        <v>384</v>
      </c>
      <c r="D8" s="121" t="s">
        <v>385</v>
      </c>
    </row>
    <row r="9" customFormat="false" ht="129" hidden="false" customHeight="true" outlineLevel="0" collapsed="false">
      <c r="B9" s="122" t="s">
        <v>386</v>
      </c>
      <c r="C9" s="123" t="s">
        <v>387</v>
      </c>
      <c r="D9" s="124" t="s">
        <v>388</v>
      </c>
    </row>
    <row r="10" customFormat="false" ht="129" hidden="false" customHeight="true" outlineLevel="0" collapsed="false">
      <c r="B10" s="119" t="s">
        <v>389</v>
      </c>
      <c r="C10" s="120" t="s">
        <v>390</v>
      </c>
      <c r="D10" s="121" t="s">
        <v>391</v>
      </c>
    </row>
    <row r="11" customFormat="false" ht="129" hidden="false" customHeight="true" outlineLevel="0" collapsed="false">
      <c r="B11" s="122" t="s">
        <v>392</v>
      </c>
      <c r="C11" s="123" t="s">
        <v>393</v>
      </c>
      <c r="D11" s="124" t="s">
        <v>394</v>
      </c>
    </row>
    <row r="12" customFormat="false" ht="129" hidden="false" customHeight="true" outlineLevel="0" collapsed="false">
      <c r="B12" s="119" t="s">
        <v>395</v>
      </c>
      <c r="C12" s="120" t="s">
        <v>396</v>
      </c>
      <c r="D12" s="121" t="s">
        <v>397</v>
      </c>
    </row>
  </sheetData>
  <mergeCells count="2">
    <mergeCell ref="B2:D2"/>
    <mergeCell ref="B3:D3"/>
  </mergeCells>
  <printOptions headings="false" gridLines="false" gridLinesSet="true" horizontalCentered="true" verticalCentered="false"/>
  <pageMargins left="0.4" right="0.4" top="0.6" bottom="0.6" header="0.3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&amp;R&amp;"Calibri,Bold"&amp;K1f3864Controle Vivo de Climatização&amp;"Calibri,Regular"&amp;10 &amp;K595959  ·  GOP / 3ª CRE</oddHeader>
    <oddFooter>&amp;C&amp;9 &amp;K595959Página &amp;P de &amp;N  ·  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3.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13"/>
    <col collapsed="false" customWidth="true" hidden="false" outlineLevel="0" max="6" min="6" style="1" width="34"/>
    <col collapsed="false" customWidth="true" hidden="false" outlineLevel="0" max="7" min="7" style="1" width="26"/>
    <col collapsed="false" customWidth="true" hidden="false" outlineLevel="0" max="8" min="8" style="1" width="28"/>
    <col collapsed="false" customWidth="true" hidden="false" outlineLevel="0" max="13" min="9" style="1" width="18"/>
    <col collapsed="false" customWidth="true" hidden="false" outlineLevel="0" max="18" min="14" style="1" width="16"/>
    <col collapsed="false" customWidth="true" hidden="false" outlineLevel="0" max="19" min="19" style="1" width="42"/>
    <col collapsed="false" customWidth="true" hidden="false" outlineLevel="0" max="20" min="20" style="1" width="24"/>
  </cols>
  <sheetData>
    <row r="1" customFormat="false" ht="29.25" hidden="false" customHeight="true" outlineLevel="0" collapsed="false">
      <c r="A1" s="125" t="s">
        <v>398</v>
      </c>
      <c r="B1" s="126" t="s">
        <v>399</v>
      </c>
      <c r="C1" s="126" t="s">
        <v>400</v>
      </c>
      <c r="D1" s="125" t="s">
        <v>401</v>
      </c>
      <c r="E1" s="125" t="s">
        <v>118</v>
      </c>
      <c r="F1" s="125" t="s">
        <v>402</v>
      </c>
      <c r="G1" s="125" t="s">
        <v>403</v>
      </c>
      <c r="H1" s="125" t="s">
        <v>404</v>
      </c>
      <c r="I1" s="125" t="s">
        <v>122</v>
      </c>
      <c r="J1" s="125" t="s">
        <v>123</v>
      </c>
      <c r="K1" s="125" t="s">
        <v>124</v>
      </c>
      <c r="L1" s="125" t="s">
        <v>125</v>
      </c>
      <c r="M1" s="125" t="s">
        <v>405</v>
      </c>
      <c r="N1" s="125" t="s">
        <v>406</v>
      </c>
      <c r="O1" s="125" t="s">
        <v>407</v>
      </c>
      <c r="P1" s="125" t="s">
        <v>408</v>
      </c>
      <c r="Q1" s="125" t="s">
        <v>409</v>
      </c>
      <c r="R1" s="125" t="s">
        <v>410</v>
      </c>
      <c r="S1" s="125" t="s">
        <v>411</v>
      </c>
      <c r="T1" s="125" t="s">
        <v>412</v>
      </c>
      <c r="U1" s="125"/>
      <c r="V1" s="125"/>
      <c r="W1" s="125"/>
      <c r="X1" s="125"/>
      <c r="Y1" s="125"/>
      <c r="Z1" s="125"/>
    </row>
    <row r="2" customFormat="false" ht="19.5" hidden="false" customHeight="true" outlineLevel="0" collapsed="false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8"/>
      <c r="V2" s="128"/>
      <c r="W2" s="128"/>
      <c r="X2" s="128"/>
      <c r="Y2" s="128"/>
      <c r="Z2" s="128"/>
    </row>
    <row r="3" customFormat="false" ht="19.5" hidden="false" customHeight="true" outlineLevel="0" collapsed="false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8"/>
      <c r="V3" s="128"/>
      <c r="W3" s="128"/>
      <c r="X3" s="128"/>
      <c r="Y3" s="128"/>
      <c r="Z3" s="128"/>
    </row>
    <row r="4" customFormat="false" ht="19.5" hidden="false" customHeight="true" outlineLevel="0" collapsed="false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8"/>
      <c r="V4" s="128"/>
      <c r="W4" s="128"/>
      <c r="X4" s="128"/>
      <c r="Y4" s="128"/>
      <c r="Z4" s="128"/>
    </row>
    <row r="5" customFormat="false" ht="19.5" hidden="false" customHeight="true" outlineLevel="0" collapsed="false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8"/>
      <c r="V5" s="128"/>
      <c r="W5" s="128"/>
      <c r="X5" s="128"/>
      <c r="Y5" s="128"/>
      <c r="Z5" s="128"/>
    </row>
    <row r="6" customFormat="false" ht="19.5" hidden="false" customHeight="true" outlineLevel="0" collapsed="false">
      <c r="A6" s="127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8"/>
      <c r="V6" s="128"/>
      <c r="W6" s="128"/>
      <c r="X6" s="128"/>
      <c r="Y6" s="128"/>
      <c r="Z6" s="128"/>
    </row>
    <row r="7" customFormat="false" ht="19.5" hidden="false" customHeight="true" outlineLevel="0" collapsed="false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8"/>
      <c r="V7" s="128"/>
      <c r="W7" s="128"/>
      <c r="X7" s="128"/>
      <c r="Y7" s="128"/>
      <c r="Z7" s="128"/>
    </row>
    <row r="8" customFormat="false" ht="19.5" hidden="false" customHeight="true" outlineLevel="0" collapsed="false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8"/>
      <c r="V8" s="128"/>
      <c r="W8" s="128"/>
      <c r="X8" s="128"/>
      <c r="Y8" s="128"/>
      <c r="Z8" s="128"/>
    </row>
    <row r="9" customFormat="false" ht="19.5" hidden="false" customHeight="true" outlineLevel="0" collapsed="false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8"/>
      <c r="V9" s="128"/>
      <c r="W9" s="128"/>
      <c r="X9" s="128"/>
      <c r="Y9" s="128"/>
      <c r="Z9" s="128"/>
    </row>
    <row r="10" customFormat="false" ht="19.5" hidden="false" customHeight="true" outlineLevel="0" collapsed="false">
      <c r="A10" s="127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8"/>
      <c r="V10" s="128"/>
      <c r="W10" s="128"/>
      <c r="X10" s="128"/>
      <c r="Y10" s="128"/>
      <c r="Z10" s="128"/>
    </row>
    <row r="11" customFormat="false" ht="19.5" hidden="false" customHeight="true" outlineLevel="0" collapsed="false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8"/>
      <c r="V11" s="128"/>
      <c r="W11" s="128"/>
      <c r="X11" s="128"/>
      <c r="Y11" s="128"/>
      <c r="Z11" s="128"/>
    </row>
    <row r="12" customFormat="false" ht="19.5" hidden="false" customHeight="true" outlineLevel="0" collapsed="false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8"/>
      <c r="V12" s="128"/>
      <c r="W12" s="128"/>
      <c r="X12" s="128"/>
      <c r="Y12" s="128"/>
      <c r="Z12" s="128"/>
    </row>
    <row r="13" customFormat="false" ht="19.5" hidden="false" customHeight="true" outlineLevel="0" collapsed="false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8"/>
      <c r="V13" s="128"/>
      <c r="W13" s="128"/>
      <c r="X13" s="128"/>
      <c r="Y13" s="128"/>
      <c r="Z13" s="128"/>
    </row>
    <row r="14" customFormat="false" ht="19.5" hidden="false" customHeight="true" outlineLevel="0" collapsed="false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8"/>
      <c r="V14" s="128"/>
      <c r="W14" s="128"/>
      <c r="X14" s="128"/>
      <c r="Y14" s="128"/>
      <c r="Z14" s="128"/>
    </row>
    <row r="15" customFormat="false" ht="19.5" hidden="false" customHeight="true" outlineLevel="0" collapsed="false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8"/>
      <c r="V15" s="128"/>
      <c r="W15" s="128"/>
      <c r="X15" s="128"/>
      <c r="Y15" s="128"/>
      <c r="Z15" s="128"/>
    </row>
    <row r="16" customFormat="false" ht="19.5" hidden="false" customHeight="true" outlineLevel="0" collapsed="false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8"/>
      <c r="V16" s="128"/>
      <c r="W16" s="128"/>
      <c r="X16" s="128"/>
      <c r="Y16" s="128"/>
      <c r="Z16" s="128"/>
    </row>
    <row r="17" customFormat="false" ht="19.5" hidden="false" customHeight="true" outlineLevel="0" collapsed="false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8"/>
      <c r="V17" s="128"/>
      <c r="W17" s="128"/>
      <c r="X17" s="128"/>
      <c r="Y17" s="128"/>
      <c r="Z17" s="128"/>
    </row>
    <row r="18" customFormat="false" ht="19.5" hidden="false" customHeight="true" outlineLevel="0" collapsed="false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8"/>
      <c r="V18" s="128"/>
      <c r="W18" s="128"/>
      <c r="X18" s="128"/>
      <c r="Y18" s="128"/>
      <c r="Z18" s="128"/>
    </row>
    <row r="19" customFormat="false" ht="19.5" hidden="false" customHeight="true" outlineLevel="0" collapsed="false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8"/>
      <c r="V19" s="128"/>
      <c r="W19" s="128"/>
      <c r="X19" s="128"/>
      <c r="Y19" s="128"/>
      <c r="Z19" s="128"/>
    </row>
    <row r="20" customFormat="false" ht="19.5" hidden="false" customHeight="true" outlineLevel="0" collapsed="false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8"/>
      <c r="V20" s="128"/>
      <c r="W20" s="128"/>
      <c r="X20" s="128"/>
      <c r="Y20" s="128"/>
      <c r="Z20" s="128"/>
    </row>
    <row r="21" customFormat="false" ht="19.5" hidden="false" customHeight="true" outlineLevel="0" collapsed="false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8"/>
      <c r="V21" s="128"/>
      <c r="W21" s="128"/>
      <c r="X21" s="128"/>
      <c r="Y21" s="128"/>
      <c r="Z21" s="128"/>
    </row>
    <row r="22" customFormat="false" ht="19.5" hidden="false" customHeight="true" outlineLevel="0" collapsed="false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8"/>
      <c r="V22" s="128"/>
      <c r="W22" s="128"/>
      <c r="X22" s="128"/>
      <c r="Y22" s="128"/>
      <c r="Z22" s="128"/>
    </row>
    <row r="23" customFormat="false" ht="19.5" hidden="false" customHeight="true" outlineLevel="0" collapsed="false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8"/>
      <c r="V23" s="128"/>
      <c r="W23" s="128"/>
      <c r="X23" s="128"/>
      <c r="Y23" s="128"/>
      <c r="Z23" s="128"/>
    </row>
    <row r="24" customFormat="false" ht="19.5" hidden="false" customHeight="true" outlineLevel="0" collapsed="false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8"/>
      <c r="V24" s="128"/>
      <c r="W24" s="128"/>
      <c r="X24" s="128"/>
      <c r="Y24" s="128"/>
      <c r="Z24" s="128"/>
    </row>
    <row r="25" customFormat="false" ht="19.5" hidden="false" customHeight="true" outlineLevel="0" collapsed="false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8"/>
      <c r="V25" s="128"/>
      <c r="W25" s="128"/>
      <c r="X25" s="128"/>
      <c r="Y25" s="128"/>
      <c r="Z25" s="128"/>
    </row>
    <row r="26" customFormat="false" ht="19.5" hidden="false" customHeight="true" outlineLevel="0" collapsed="false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8"/>
      <c r="V26" s="128"/>
      <c r="W26" s="128"/>
      <c r="X26" s="128"/>
      <c r="Y26" s="128"/>
      <c r="Z26" s="128"/>
    </row>
    <row r="27" customFormat="false" ht="19.5" hidden="false" customHeight="true" outlineLevel="0" collapsed="false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8"/>
      <c r="V27" s="128"/>
      <c r="W27" s="128"/>
      <c r="X27" s="128"/>
      <c r="Y27" s="128"/>
      <c r="Z27" s="128"/>
    </row>
    <row r="28" customFormat="false" ht="19.5" hidden="false" customHeight="true" outlineLevel="0" collapsed="false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8"/>
      <c r="V28" s="128"/>
      <c r="W28" s="128"/>
      <c r="X28" s="128"/>
      <c r="Y28" s="128"/>
      <c r="Z28" s="128"/>
    </row>
    <row r="29" customFormat="false" ht="19.5" hidden="false" customHeight="true" outlineLevel="0" collapsed="false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8"/>
      <c r="V29" s="128"/>
      <c r="W29" s="128"/>
      <c r="X29" s="128"/>
      <c r="Y29" s="128"/>
      <c r="Z29" s="128"/>
    </row>
    <row r="30" customFormat="false" ht="19.5" hidden="false" customHeight="true" outlineLevel="0" collapsed="false">
      <c r="A30" s="12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8"/>
      <c r="V30" s="128"/>
      <c r="W30" s="128"/>
      <c r="X30" s="128"/>
      <c r="Y30" s="128"/>
      <c r="Z30" s="128"/>
    </row>
    <row r="31" customFormat="false" ht="19.5" hidden="false" customHeight="true" outlineLevel="0" collapsed="false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8"/>
      <c r="V31" s="128"/>
      <c r="W31" s="128"/>
      <c r="X31" s="128"/>
      <c r="Y31" s="128"/>
      <c r="Z31" s="128"/>
    </row>
    <row r="32" customFormat="false" ht="19.5" hidden="false" customHeight="true" outlineLevel="0" collapsed="false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8"/>
      <c r="V32" s="128"/>
      <c r="W32" s="128"/>
      <c r="X32" s="128"/>
      <c r="Y32" s="128"/>
      <c r="Z32" s="128"/>
    </row>
    <row r="33" customFormat="false" ht="19.5" hidden="false" customHeight="true" outlineLevel="0" collapsed="false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8"/>
      <c r="V33" s="128"/>
      <c r="W33" s="128"/>
      <c r="X33" s="128"/>
      <c r="Y33" s="128"/>
      <c r="Z33" s="128"/>
    </row>
    <row r="34" customFormat="false" ht="19.5" hidden="false" customHeight="true" outlineLevel="0" collapsed="false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8"/>
      <c r="V34" s="128"/>
      <c r="W34" s="128"/>
      <c r="X34" s="128"/>
      <c r="Y34" s="128"/>
      <c r="Z34" s="128"/>
    </row>
    <row r="35" customFormat="false" ht="19.5" hidden="false" customHeight="true" outlineLevel="0" collapsed="false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8"/>
      <c r="V35" s="128"/>
      <c r="W35" s="128"/>
      <c r="X35" s="128"/>
      <c r="Y35" s="128"/>
      <c r="Z35" s="128"/>
    </row>
    <row r="36" customFormat="false" ht="19.5" hidden="false" customHeight="true" outlineLevel="0" collapsed="false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8"/>
      <c r="V36" s="128"/>
      <c r="W36" s="128"/>
      <c r="X36" s="128"/>
      <c r="Y36" s="128"/>
      <c r="Z36" s="128"/>
    </row>
    <row r="37" customFormat="false" ht="19.5" hidden="false" customHeight="true" outlineLevel="0" collapsed="false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8"/>
      <c r="V37" s="128"/>
      <c r="W37" s="128"/>
      <c r="X37" s="128"/>
      <c r="Y37" s="128"/>
      <c r="Z37" s="128"/>
    </row>
    <row r="38" customFormat="false" ht="19.5" hidden="false" customHeight="true" outlineLevel="0" collapsed="false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8"/>
      <c r="V38" s="128"/>
      <c r="W38" s="128"/>
      <c r="X38" s="128"/>
      <c r="Y38" s="128"/>
      <c r="Z38" s="128"/>
    </row>
    <row r="39" customFormat="false" ht="19.5" hidden="false" customHeight="true" outlineLevel="0" collapsed="false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8"/>
      <c r="V39" s="128"/>
      <c r="W39" s="128"/>
      <c r="X39" s="128"/>
      <c r="Y39" s="128"/>
      <c r="Z39" s="128"/>
    </row>
    <row r="40" customFormat="false" ht="19.5" hidden="false" customHeight="true" outlineLevel="0" collapsed="false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8"/>
      <c r="V40" s="128"/>
      <c r="W40" s="128"/>
      <c r="X40" s="128"/>
      <c r="Y40" s="128"/>
      <c r="Z40" s="128"/>
    </row>
    <row r="41" customFormat="false" ht="19.5" hidden="false" customHeight="true" outlineLevel="0" collapsed="false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8"/>
      <c r="V41" s="128"/>
      <c r="W41" s="128"/>
      <c r="X41" s="128"/>
      <c r="Y41" s="128"/>
      <c r="Z41" s="128"/>
    </row>
    <row r="42" customFormat="false" ht="19.5" hidden="false" customHeight="true" outlineLevel="0" collapsed="false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8"/>
      <c r="V42" s="128"/>
      <c r="W42" s="128"/>
      <c r="X42" s="128"/>
      <c r="Y42" s="128"/>
      <c r="Z42" s="128"/>
    </row>
    <row r="43" customFormat="false" ht="19.5" hidden="false" customHeight="true" outlineLevel="0" collapsed="false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8"/>
      <c r="V43" s="128"/>
      <c r="W43" s="128"/>
      <c r="X43" s="128"/>
      <c r="Y43" s="128"/>
      <c r="Z43" s="128"/>
    </row>
    <row r="44" customFormat="false" ht="19.5" hidden="false" customHeight="true" outlineLevel="0" collapsed="false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8"/>
      <c r="V44" s="128"/>
      <c r="W44" s="128"/>
      <c r="X44" s="128"/>
      <c r="Y44" s="128"/>
      <c r="Z44" s="128"/>
    </row>
    <row r="45" customFormat="false" ht="19.5" hidden="false" customHeight="true" outlineLevel="0" collapsed="false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8"/>
      <c r="V45" s="128"/>
      <c r="W45" s="128"/>
      <c r="X45" s="128"/>
      <c r="Y45" s="128"/>
      <c r="Z45" s="128"/>
    </row>
    <row r="46" customFormat="false" ht="19.5" hidden="false" customHeight="true" outlineLevel="0" collapsed="false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8"/>
      <c r="V46" s="128"/>
      <c r="W46" s="128"/>
      <c r="X46" s="128"/>
      <c r="Y46" s="128"/>
      <c r="Z46" s="128"/>
    </row>
    <row r="47" customFormat="false" ht="19.5" hidden="false" customHeight="true" outlineLevel="0" collapsed="false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8"/>
      <c r="V47" s="128"/>
      <c r="W47" s="128"/>
      <c r="X47" s="128"/>
      <c r="Y47" s="128"/>
      <c r="Z47" s="128"/>
    </row>
    <row r="48" customFormat="false" ht="19.5" hidden="false" customHeight="true" outlineLevel="0" collapsed="false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8"/>
      <c r="V48" s="128"/>
      <c r="W48" s="128"/>
      <c r="X48" s="128"/>
      <c r="Y48" s="128"/>
      <c r="Z48" s="128"/>
    </row>
    <row r="49" customFormat="false" ht="19.5" hidden="false" customHeight="true" outlineLevel="0" collapsed="false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8"/>
      <c r="V49" s="128"/>
      <c r="W49" s="128"/>
      <c r="X49" s="128"/>
      <c r="Y49" s="128"/>
      <c r="Z49" s="128"/>
    </row>
    <row r="50" customFormat="false" ht="19.5" hidden="false" customHeight="true" outlineLevel="0" collapsed="false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8"/>
      <c r="V50" s="128"/>
      <c r="W50" s="128"/>
      <c r="X50" s="128"/>
      <c r="Y50" s="128"/>
      <c r="Z50" s="128"/>
    </row>
    <row r="51" customFormat="false" ht="19.5" hidden="false" customHeight="true" outlineLevel="0" collapsed="false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8"/>
      <c r="V51" s="128"/>
      <c r="W51" s="128"/>
      <c r="X51" s="128"/>
      <c r="Y51" s="128"/>
      <c r="Z51" s="128"/>
    </row>
    <row r="52" customFormat="false" ht="19.5" hidden="false" customHeight="true" outlineLevel="0" collapsed="false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8"/>
      <c r="V52" s="128"/>
      <c r="W52" s="128"/>
      <c r="X52" s="128"/>
      <c r="Y52" s="128"/>
      <c r="Z52" s="128"/>
    </row>
    <row r="53" customFormat="false" ht="19.5" hidden="false" customHeight="true" outlineLevel="0" collapsed="false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8"/>
      <c r="V53" s="128"/>
      <c r="W53" s="128"/>
      <c r="X53" s="128"/>
      <c r="Y53" s="128"/>
      <c r="Z53" s="128"/>
    </row>
    <row r="54" customFormat="false" ht="19.5" hidden="false" customHeight="true" outlineLevel="0" collapsed="false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8"/>
      <c r="V54" s="128"/>
      <c r="W54" s="128"/>
      <c r="X54" s="128"/>
      <c r="Y54" s="128"/>
      <c r="Z54" s="128"/>
    </row>
    <row r="55" customFormat="false" ht="19.5" hidden="false" customHeight="true" outlineLevel="0" collapsed="false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8"/>
      <c r="V55" s="128"/>
      <c r="W55" s="128"/>
      <c r="X55" s="128"/>
      <c r="Y55" s="128"/>
      <c r="Z55" s="128"/>
    </row>
    <row r="56" customFormat="false" ht="19.5" hidden="false" customHeight="true" outlineLevel="0" collapsed="false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8"/>
      <c r="V56" s="128"/>
      <c r="W56" s="128"/>
      <c r="X56" s="128"/>
      <c r="Y56" s="128"/>
      <c r="Z56" s="128"/>
    </row>
    <row r="57" customFormat="false" ht="19.5" hidden="false" customHeight="true" outlineLevel="0" collapsed="false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8"/>
      <c r="V57" s="128"/>
      <c r="W57" s="128"/>
      <c r="X57" s="128"/>
      <c r="Y57" s="128"/>
      <c r="Z57" s="128"/>
    </row>
    <row r="58" customFormat="false" ht="19.5" hidden="false" customHeight="true" outlineLevel="0" collapsed="false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8"/>
      <c r="V58" s="128"/>
      <c r="W58" s="128"/>
      <c r="X58" s="128"/>
      <c r="Y58" s="128"/>
      <c r="Z58" s="128"/>
    </row>
    <row r="59" customFormat="false" ht="19.5" hidden="false" customHeight="true" outlineLevel="0" collapsed="false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8"/>
      <c r="V59" s="128"/>
      <c r="W59" s="128"/>
      <c r="X59" s="128"/>
      <c r="Y59" s="128"/>
      <c r="Z59" s="128"/>
    </row>
    <row r="60" customFormat="false" ht="19.5" hidden="false" customHeight="true" outlineLevel="0" collapsed="false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8"/>
      <c r="V60" s="128"/>
      <c r="W60" s="128"/>
      <c r="X60" s="128"/>
      <c r="Y60" s="128"/>
      <c r="Z60" s="128"/>
    </row>
    <row r="61" customFormat="false" ht="19.5" hidden="false" customHeight="true" outlineLevel="0" collapsed="false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8"/>
      <c r="V61" s="128"/>
      <c r="W61" s="128"/>
      <c r="X61" s="128"/>
      <c r="Y61" s="128"/>
      <c r="Z61" s="128"/>
    </row>
    <row r="62" customFormat="false" ht="19.5" hidden="false" customHeight="true" outlineLevel="0" collapsed="false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8"/>
      <c r="V62" s="128"/>
      <c r="W62" s="128"/>
      <c r="X62" s="128"/>
      <c r="Y62" s="128"/>
      <c r="Z62" s="128"/>
    </row>
    <row r="63" customFormat="false" ht="19.5" hidden="false" customHeight="true" outlineLevel="0" collapsed="false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8"/>
      <c r="V63" s="128"/>
      <c r="W63" s="128"/>
      <c r="X63" s="128"/>
      <c r="Y63" s="128"/>
      <c r="Z63" s="128"/>
    </row>
    <row r="64" customFormat="false" ht="19.5" hidden="false" customHeight="true" outlineLevel="0" collapsed="false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8"/>
      <c r="V64" s="128"/>
      <c r="W64" s="128"/>
      <c r="X64" s="128"/>
      <c r="Y64" s="128"/>
      <c r="Z64" s="128"/>
    </row>
    <row r="65" customFormat="false" ht="19.5" hidden="false" customHeight="true" outlineLevel="0" collapsed="false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8"/>
      <c r="V65" s="128"/>
      <c r="W65" s="128"/>
      <c r="X65" s="128"/>
      <c r="Y65" s="128"/>
      <c r="Z65" s="128"/>
    </row>
    <row r="66" customFormat="false" ht="19.5" hidden="false" customHeight="true" outlineLevel="0" collapsed="false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8"/>
      <c r="V66" s="128"/>
      <c r="W66" s="128"/>
      <c r="X66" s="128"/>
      <c r="Y66" s="128"/>
      <c r="Z66" s="128"/>
    </row>
    <row r="67" customFormat="false" ht="19.5" hidden="false" customHeight="true" outlineLevel="0" collapsed="false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8"/>
      <c r="V67" s="128"/>
      <c r="W67" s="128"/>
      <c r="X67" s="128"/>
      <c r="Y67" s="128"/>
      <c r="Z67" s="128"/>
    </row>
    <row r="68" customFormat="false" ht="19.5" hidden="false" customHeight="true" outlineLevel="0" collapsed="false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8"/>
      <c r="V68" s="128"/>
      <c r="W68" s="128"/>
      <c r="X68" s="128"/>
      <c r="Y68" s="128"/>
      <c r="Z68" s="128"/>
    </row>
    <row r="69" customFormat="false" ht="19.5" hidden="false" customHeight="true" outlineLevel="0" collapsed="false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8"/>
      <c r="V69" s="128"/>
      <c r="W69" s="128"/>
      <c r="X69" s="128"/>
      <c r="Y69" s="128"/>
      <c r="Z69" s="128"/>
    </row>
    <row r="70" customFormat="false" ht="19.5" hidden="false" customHeight="true" outlineLevel="0" collapsed="false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8"/>
      <c r="V70" s="128"/>
      <c r="W70" s="128"/>
      <c r="X70" s="128"/>
      <c r="Y70" s="128"/>
      <c r="Z70" s="128"/>
    </row>
    <row r="71" customFormat="false" ht="19.5" hidden="false" customHeight="true" outlineLevel="0" collapsed="false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8"/>
      <c r="V71" s="128"/>
      <c r="W71" s="128"/>
      <c r="X71" s="128"/>
      <c r="Y71" s="128"/>
      <c r="Z71" s="128"/>
    </row>
    <row r="72" customFormat="false" ht="19.5" hidden="false" customHeight="true" outlineLevel="0" collapsed="false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8"/>
      <c r="V72" s="128"/>
      <c r="W72" s="128"/>
      <c r="X72" s="128"/>
      <c r="Y72" s="128"/>
      <c r="Z72" s="128"/>
    </row>
    <row r="73" customFormat="false" ht="19.5" hidden="false" customHeight="true" outlineLevel="0" collapsed="false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8"/>
      <c r="V73" s="128"/>
      <c r="W73" s="128"/>
      <c r="X73" s="128"/>
      <c r="Y73" s="128"/>
      <c r="Z73" s="128"/>
    </row>
    <row r="74" customFormat="false" ht="19.5" hidden="false" customHeight="true" outlineLevel="0" collapsed="false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8"/>
      <c r="V74" s="128"/>
      <c r="W74" s="128"/>
      <c r="X74" s="128"/>
      <c r="Y74" s="128"/>
      <c r="Z74" s="128"/>
    </row>
    <row r="75" customFormat="false" ht="19.5" hidden="false" customHeight="true" outlineLevel="0" collapsed="false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8"/>
      <c r="V75" s="128"/>
      <c r="W75" s="128"/>
      <c r="X75" s="128"/>
      <c r="Y75" s="128"/>
      <c r="Z75" s="128"/>
    </row>
    <row r="76" customFormat="false" ht="19.5" hidden="false" customHeight="true" outlineLevel="0" collapsed="false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8"/>
      <c r="V76" s="128"/>
      <c r="W76" s="128"/>
      <c r="X76" s="128"/>
      <c r="Y76" s="128"/>
      <c r="Z76" s="128"/>
    </row>
    <row r="77" customFormat="false" ht="19.5" hidden="false" customHeight="true" outlineLevel="0" collapsed="false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8"/>
      <c r="V77" s="128"/>
      <c r="W77" s="128"/>
      <c r="X77" s="128"/>
      <c r="Y77" s="128"/>
      <c r="Z77" s="128"/>
    </row>
    <row r="78" customFormat="false" ht="19.5" hidden="false" customHeight="true" outlineLevel="0" collapsed="false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8"/>
      <c r="V78" s="128"/>
      <c r="W78" s="128"/>
      <c r="X78" s="128"/>
      <c r="Y78" s="128"/>
      <c r="Z78" s="128"/>
    </row>
    <row r="79" customFormat="false" ht="19.5" hidden="false" customHeight="true" outlineLevel="0" collapsed="false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8"/>
      <c r="V79" s="128"/>
      <c r="W79" s="128"/>
      <c r="X79" s="128"/>
      <c r="Y79" s="128"/>
      <c r="Z79" s="128"/>
    </row>
    <row r="80" customFormat="false" ht="19.5" hidden="false" customHeight="true" outlineLevel="0" collapsed="false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8"/>
      <c r="V80" s="128"/>
      <c r="W80" s="128"/>
      <c r="X80" s="128"/>
      <c r="Y80" s="128"/>
      <c r="Z80" s="128"/>
    </row>
    <row r="81" customFormat="false" ht="19.5" hidden="false" customHeight="true" outlineLevel="0" collapsed="false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8"/>
      <c r="V81" s="128"/>
      <c r="W81" s="128"/>
      <c r="X81" s="128"/>
      <c r="Y81" s="128"/>
      <c r="Z81" s="128"/>
    </row>
    <row r="82" customFormat="false" ht="19.5" hidden="false" customHeight="true" outlineLevel="0" collapsed="false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8"/>
      <c r="V82" s="128"/>
      <c r="W82" s="128"/>
      <c r="X82" s="128"/>
      <c r="Y82" s="128"/>
      <c r="Z82" s="128"/>
    </row>
    <row r="83" customFormat="false" ht="19.5" hidden="false" customHeight="true" outlineLevel="0" collapsed="false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8"/>
      <c r="V83" s="128"/>
      <c r="W83" s="128"/>
      <c r="X83" s="128"/>
      <c r="Y83" s="128"/>
      <c r="Z83" s="128"/>
    </row>
    <row r="84" customFormat="false" ht="19.5" hidden="false" customHeight="true" outlineLevel="0" collapsed="false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8"/>
      <c r="V84" s="128"/>
      <c r="W84" s="128"/>
      <c r="X84" s="128"/>
      <c r="Y84" s="128"/>
      <c r="Z84" s="128"/>
    </row>
    <row r="85" customFormat="false" ht="19.5" hidden="false" customHeight="true" outlineLevel="0" collapsed="false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8"/>
      <c r="V85" s="128"/>
      <c r="W85" s="128"/>
      <c r="X85" s="128"/>
      <c r="Y85" s="128"/>
      <c r="Z85" s="128"/>
    </row>
    <row r="86" customFormat="false" ht="19.5" hidden="false" customHeight="true" outlineLevel="0" collapsed="false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8"/>
      <c r="V86" s="128"/>
      <c r="W86" s="128"/>
      <c r="X86" s="128"/>
      <c r="Y86" s="128"/>
      <c r="Z86" s="128"/>
    </row>
    <row r="87" customFormat="false" ht="19.5" hidden="false" customHeight="true" outlineLevel="0" collapsed="false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8"/>
      <c r="V87" s="128"/>
      <c r="W87" s="128"/>
      <c r="X87" s="128"/>
      <c r="Y87" s="128"/>
      <c r="Z87" s="128"/>
    </row>
    <row r="88" customFormat="false" ht="19.5" hidden="false" customHeight="true" outlineLevel="0" collapsed="false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8"/>
      <c r="V88" s="128"/>
      <c r="W88" s="128"/>
      <c r="X88" s="128"/>
      <c r="Y88" s="128"/>
      <c r="Z88" s="128"/>
    </row>
    <row r="89" customFormat="false" ht="19.5" hidden="false" customHeight="true" outlineLevel="0" collapsed="false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8"/>
      <c r="V89" s="128"/>
      <c r="W89" s="128"/>
      <c r="X89" s="128"/>
      <c r="Y89" s="128"/>
      <c r="Z89" s="128"/>
    </row>
    <row r="90" customFormat="false" ht="19.5" hidden="false" customHeight="true" outlineLevel="0" collapsed="false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8"/>
      <c r="V90" s="128"/>
      <c r="W90" s="128"/>
      <c r="X90" s="128"/>
      <c r="Y90" s="128"/>
      <c r="Z90" s="128"/>
    </row>
    <row r="91" customFormat="false" ht="19.5" hidden="false" customHeight="true" outlineLevel="0" collapsed="false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8"/>
      <c r="V91" s="128"/>
      <c r="W91" s="128"/>
      <c r="X91" s="128"/>
      <c r="Y91" s="128"/>
      <c r="Z91" s="128"/>
    </row>
    <row r="92" customFormat="false" ht="19.5" hidden="false" customHeight="true" outlineLevel="0" collapsed="false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8"/>
      <c r="V92" s="128"/>
      <c r="W92" s="128"/>
      <c r="X92" s="128"/>
      <c r="Y92" s="128"/>
      <c r="Z92" s="128"/>
    </row>
    <row r="93" customFormat="false" ht="19.5" hidden="false" customHeight="true" outlineLevel="0" collapsed="false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8"/>
      <c r="V93" s="128"/>
      <c r="W93" s="128"/>
      <c r="X93" s="128"/>
      <c r="Y93" s="128"/>
      <c r="Z93" s="128"/>
    </row>
    <row r="94" customFormat="false" ht="19.5" hidden="false" customHeight="true" outlineLevel="0" collapsed="false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8"/>
      <c r="V94" s="128"/>
      <c r="W94" s="128"/>
      <c r="X94" s="128"/>
      <c r="Y94" s="128"/>
      <c r="Z94" s="128"/>
    </row>
    <row r="95" customFormat="false" ht="19.5" hidden="false" customHeight="true" outlineLevel="0" collapsed="false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8"/>
      <c r="V95" s="128"/>
      <c r="W95" s="128"/>
      <c r="X95" s="128"/>
      <c r="Y95" s="128"/>
      <c r="Z95" s="128"/>
    </row>
    <row r="96" customFormat="false" ht="19.5" hidden="false" customHeight="true" outlineLevel="0" collapsed="false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8"/>
      <c r="V96" s="128"/>
      <c r="W96" s="128"/>
      <c r="X96" s="128"/>
      <c r="Y96" s="128"/>
      <c r="Z96" s="128"/>
    </row>
    <row r="97" customFormat="false" ht="19.5" hidden="false" customHeight="true" outlineLevel="0" collapsed="false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8"/>
      <c r="V97" s="128"/>
      <c r="W97" s="128"/>
      <c r="X97" s="128"/>
      <c r="Y97" s="128"/>
      <c r="Z97" s="128"/>
    </row>
    <row r="98" customFormat="false" ht="19.5" hidden="false" customHeight="true" outlineLevel="0" collapsed="false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8"/>
      <c r="V98" s="128"/>
      <c r="W98" s="128"/>
      <c r="X98" s="128"/>
      <c r="Y98" s="128"/>
      <c r="Z98" s="128"/>
    </row>
    <row r="99" customFormat="false" ht="19.5" hidden="false" customHeight="true" outlineLevel="0" collapsed="false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8"/>
      <c r="V99" s="128"/>
      <c r="W99" s="128"/>
      <c r="X99" s="128"/>
      <c r="Y99" s="128"/>
      <c r="Z99" s="128"/>
    </row>
    <row r="100" customFormat="false" ht="19.5" hidden="false" customHeight="true" outlineLevel="0" collapsed="false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8"/>
      <c r="V100" s="128"/>
      <c r="W100" s="128"/>
      <c r="X100" s="128"/>
      <c r="Y100" s="128"/>
      <c r="Z100" s="128"/>
    </row>
    <row r="101" customFormat="false" ht="19.5" hidden="false" customHeight="true" outlineLevel="0" collapsed="false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8"/>
      <c r="V101" s="128"/>
      <c r="W101" s="128"/>
      <c r="X101" s="128"/>
      <c r="Y101" s="128"/>
      <c r="Z101" s="128"/>
    </row>
    <row r="102" customFormat="false" ht="19.5" hidden="false" customHeight="true" outlineLevel="0" collapsed="false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8"/>
      <c r="V102" s="128"/>
      <c r="W102" s="128"/>
      <c r="X102" s="128"/>
      <c r="Y102" s="128"/>
      <c r="Z102" s="128"/>
    </row>
    <row r="103" customFormat="false" ht="19.5" hidden="false" customHeight="true" outlineLevel="0" collapsed="false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8"/>
      <c r="V103" s="128"/>
      <c r="W103" s="128"/>
      <c r="X103" s="128"/>
      <c r="Y103" s="128"/>
      <c r="Z103" s="128"/>
    </row>
    <row r="104" customFormat="false" ht="19.5" hidden="false" customHeight="true" outlineLevel="0" collapsed="false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8"/>
      <c r="V104" s="128"/>
      <c r="W104" s="128"/>
      <c r="X104" s="128"/>
      <c r="Y104" s="128"/>
      <c r="Z104" s="128"/>
    </row>
    <row r="105" customFormat="false" ht="19.5" hidden="false" customHeight="true" outlineLevel="0" collapsed="false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8"/>
      <c r="V105" s="128"/>
      <c r="W105" s="128"/>
      <c r="X105" s="128"/>
      <c r="Y105" s="128"/>
      <c r="Z105" s="128"/>
    </row>
    <row r="106" customFormat="false" ht="19.5" hidden="false" customHeight="true" outlineLevel="0" collapsed="false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8"/>
      <c r="V106" s="128"/>
      <c r="W106" s="128"/>
      <c r="X106" s="128"/>
      <c r="Y106" s="128"/>
      <c r="Z106" s="128"/>
    </row>
    <row r="107" customFormat="false" ht="19.5" hidden="false" customHeight="true" outlineLevel="0" collapsed="false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8"/>
      <c r="V107" s="128"/>
      <c r="W107" s="128"/>
      <c r="X107" s="128"/>
      <c r="Y107" s="128"/>
      <c r="Z107" s="128"/>
    </row>
    <row r="108" customFormat="false" ht="19.5" hidden="false" customHeight="true" outlineLevel="0" collapsed="false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8"/>
      <c r="V108" s="128"/>
      <c r="W108" s="128"/>
      <c r="X108" s="128"/>
      <c r="Y108" s="128"/>
      <c r="Z108" s="128"/>
    </row>
    <row r="109" customFormat="false" ht="19.5" hidden="false" customHeight="true" outlineLevel="0" collapsed="false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8"/>
      <c r="V109" s="128"/>
      <c r="W109" s="128"/>
      <c r="X109" s="128"/>
      <c r="Y109" s="128"/>
      <c r="Z109" s="128"/>
    </row>
    <row r="110" customFormat="false" ht="19.5" hidden="false" customHeight="true" outlineLevel="0" collapsed="false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8"/>
      <c r="V110" s="128"/>
      <c r="W110" s="128"/>
      <c r="X110" s="128"/>
      <c r="Y110" s="128"/>
      <c r="Z110" s="128"/>
    </row>
    <row r="111" customFormat="false" ht="19.5" hidden="false" customHeight="true" outlineLevel="0" collapsed="false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8"/>
      <c r="V111" s="128"/>
      <c r="W111" s="128"/>
      <c r="X111" s="128"/>
      <c r="Y111" s="128"/>
      <c r="Z111" s="128"/>
    </row>
    <row r="112" customFormat="false" ht="19.5" hidden="false" customHeight="true" outlineLevel="0" collapsed="false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8"/>
      <c r="V112" s="128"/>
      <c r="W112" s="128"/>
      <c r="X112" s="128"/>
      <c r="Y112" s="128"/>
      <c r="Z112" s="128"/>
    </row>
    <row r="113" customFormat="false" ht="19.5" hidden="false" customHeight="true" outlineLevel="0" collapsed="false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8"/>
      <c r="V113" s="128"/>
      <c r="W113" s="128"/>
      <c r="X113" s="128"/>
      <c r="Y113" s="128"/>
      <c r="Z113" s="128"/>
    </row>
    <row r="114" customFormat="false" ht="19.5" hidden="false" customHeight="true" outlineLevel="0" collapsed="false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8"/>
      <c r="V114" s="128"/>
      <c r="W114" s="128"/>
      <c r="X114" s="128"/>
      <c r="Y114" s="128"/>
      <c r="Z114" s="128"/>
    </row>
    <row r="115" customFormat="false" ht="19.5" hidden="false" customHeight="true" outlineLevel="0" collapsed="false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8"/>
      <c r="V115" s="128"/>
      <c r="W115" s="128"/>
      <c r="X115" s="128"/>
      <c r="Y115" s="128"/>
      <c r="Z115" s="128"/>
    </row>
    <row r="116" customFormat="false" ht="19.5" hidden="false" customHeight="true" outlineLevel="0" collapsed="false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8"/>
      <c r="V116" s="128"/>
      <c r="W116" s="128"/>
      <c r="X116" s="128"/>
      <c r="Y116" s="128"/>
      <c r="Z116" s="128"/>
    </row>
    <row r="117" customFormat="false" ht="19.5" hidden="false" customHeight="true" outlineLevel="0" collapsed="false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8"/>
      <c r="V117" s="128"/>
      <c r="W117" s="128"/>
      <c r="X117" s="128"/>
      <c r="Y117" s="128"/>
      <c r="Z117" s="128"/>
    </row>
    <row r="118" customFormat="false" ht="19.5" hidden="false" customHeight="true" outlineLevel="0" collapsed="false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8"/>
      <c r="V118" s="128"/>
      <c r="W118" s="128"/>
      <c r="X118" s="128"/>
      <c r="Y118" s="128"/>
      <c r="Z118" s="128"/>
    </row>
    <row r="119" customFormat="false" ht="19.5" hidden="false" customHeight="true" outlineLevel="0" collapsed="false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8"/>
      <c r="V119" s="128"/>
      <c r="W119" s="128"/>
      <c r="X119" s="128"/>
      <c r="Y119" s="128"/>
      <c r="Z119" s="128"/>
    </row>
    <row r="120" customFormat="false" ht="19.5" hidden="false" customHeight="true" outlineLevel="0" collapsed="false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8"/>
      <c r="V120" s="128"/>
      <c r="W120" s="128"/>
      <c r="X120" s="128"/>
      <c r="Y120" s="128"/>
      <c r="Z120" s="128"/>
    </row>
    <row r="121" customFormat="false" ht="19.5" hidden="false" customHeight="true" outlineLevel="0" collapsed="false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8"/>
      <c r="V121" s="128"/>
      <c r="W121" s="128"/>
      <c r="X121" s="128"/>
      <c r="Y121" s="128"/>
      <c r="Z121" s="128"/>
    </row>
    <row r="122" customFormat="false" ht="19.5" hidden="false" customHeight="true" outlineLevel="0" collapsed="false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8"/>
      <c r="V122" s="128"/>
      <c r="W122" s="128"/>
      <c r="X122" s="128"/>
      <c r="Y122" s="128"/>
      <c r="Z122" s="128"/>
    </row>
    <row r="123" customFormat="false" ht="19.5" hidden="false" customHeight="true" outlineLevel="0" collapsed="false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8"/>
      <c r="V123" s="128"/>
      <c r="W123" s="128"/>
      <c r="X123" s="128"/>
      <c r="Y123" s="128"/>
      <c r="Z123" s="128"/>
    </row>
    <row r="124" customFormat="false" ht="19.5" hidden="false" customHeight="true" outlineLevel="0" collapsed="false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8"/>
      <c r="V124" s="128"/>
      <c r="W124" s="128"/>
      <c r="X124" s="128"/>
      <c r="Y124" s="128"/>
      <c r="Z124" s="128"/>
    </row>
    <row r="125" customFormat="false" ht="19.5" hidden="false" customHeight="true" outlineLevel="0" collapsed="false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8"/>
      <c r="V125" s="128"/>
      <c r="W125" s="128"/>
      <c r="X125" s="128"/>
      <c r="Y125" s="128"/>
      <c r="Z125" s="128"/>
    </row>
    <row r="126" customFormat="false" ht="19.5" hidden="false" customHeight="true" outlineLevel="0" collapsed="false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8"/>
      <c r="V126" s="128"/>
      <c r="W126" s="128"/>
      <c r="X126" s="128"/>
      <c r="Y126" s="128"/>
      <c r="Z126" s="128"/>
    </row>
    <row r="127" customFormat="false" ht="19.5" hidden="false" customHeight="true" outlineLevel="0" collapsed="false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8"/>
      <c r="V127" s="128"/>
      <c r="W127" s="128"/>
      <c r="X127" s="128"/>
      <c r="Y127" s="128"/>
      <c r="Z127" s="128"/>
    </row>
    <row r="128" customFormat="false" ht="19.5" hidden="false" customHeight="true" outlineLevel="0" collapsed="false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8"/>
      <c r="V128" s="128"/>
      <c r="W128" s="128"/>
      <c r="X128" s="128"/>
      <c r="Y128" s="128"/>
      <c r="Z128" s="128"/>
    </row>
    <row r="129" customFormat="false" ht="19.5" hidden="false" customHeight="true" outlineLevel="0" collapsed="false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8"/>
      <c r="V129" s="128"/>
      <c r="W129" s="128"/>
      <c r="X129" s="128"/>
      <c r="Y129" s="128"/>
      <c r="Z129" s="128"/>
    </row>
    <row r="130" customFormat="false" ht="19.5" hidden="false" customHeight="true" outlineLevel="0" collapsed="false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8"/>
      <c r="V130" s="128"/>
      <c r="W130" s="128"/>
      <c r="X130" s="128"/>
      <c r="Y130" s="128"/>
      <c r="Z130" s="128"/>
    </row>
    <row r="131" customFormat="false" ht="19.5" hidden="false" customHeight="true" outlineLevel="0" collapsed="false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8"/>
      <c r="V131" s="128"/>
      <c r="W131" s="128"/>
      <c r="X131" s="128"/>
      <c r="Y131" s="128"/>
      <c r="Z131" s="128"/>
    </row>
    <row r="132" customFormat="false" ht="19.5" hidden="false" customHeight="true" outlineLevel="0" collapsed="false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8"/>
      <c r="V132" s="128"/>
      <c r="W132" s="128"/>
      <c r="X132" s="128"/>
      <c r="Y132" s="128"/>
      <c r="Z132" s="128"/>
    </row>
    <row r="133" customFormat="false" ht="19.5" hidden="false" customHeight="true" outlineLevel="0" collapsed="false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8"/>
      <c r="V133" s="128"/>
      <c r="W133" s="128"/>
      <c r="X133" s="128"/>
      <c r="Y133" s="128"/>
      <c r="Z133" s="128"/>
    </row>
    <row r="134" customFormat="false" ht="19.5" hidden="false" customHeight="true" outlineLevel="0" collapsed="false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8"/>
      <c r="V134" s="128"/>
      <c r="W134" s="128"/>
      <c r="X134" s="128"/>
      <c r="Y134" s="128"/>
      <c r="Z134" s="128"/>
    </row>
    <row r="135" customFormat="false" ht="19.5" hidden="false" customHeight="true" outlineLevel="0" collapsed="false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8"/>
      <c r="V135" s="128"/>
      <c r="W135" s="128"/>
      <c r="X135" s="128"/>
      <c r="Y135" s="128"/>
      <c r="Z135" s="128"/>
    </row>
    <row r="136" customFormat="false" ht="19.5" hidden="false" customHeight="true" outlineLevel="0" collapsed="false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8"/>
      <c r="V136" s="128"/>
      <c r="W136" s="128"/>
      <c r="X136" s="128"/>
      <c r="Y136" s="128"/>
      <c r="Z136" s="128"/>
    </row>
    <row r="137" customFormat="false" ht="19.5" hidden="false" customHeight="true" outlineLevel="0" collapsed="false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8"/>
      <c r="V137" s="128"/>
      <c r="W137" s="128"/>
      <c r="X137" s="128"/>
      <c r="Y137" s="128"/>
      <c r="Z137" s="128"/>
    </row>
    <row r="138" customFormat="false" ht="19.5" hidden="false" customHeight="true" outlineLevel="0" collapsed="false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8"/>
      <c r="V138" s="128"/>
      <c r="W138" s="128"/>
      <c r="X138" s="128"/>
      <c r="Y138" s="128"/>
      <c r="Z138" s="128"/>
    </row>
    <row r="139" customFormat="false" ht="19.5" hidden="false" customHeight="true" outlineLevel="0" collapsed="false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8"/>
      <c r="V139" s="128"/>
      <c r="W139" s="128"/>
      <c r="X139" s="128"/>
      <c r="Y139" s="128"/>
      <c r="Z139" s="128"/>
    </row>
    <row r="140" customFormat="false" ht="19.5" hidden="false" customHeight="true" outlineLevel="0" collapsed="false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8"/>
      <c r="V140" s="128"/>
      <c r="W140" s="128"/>
      <c r="X140" s="128"/>
      <c r="Y140" s="128"/>
      <c r="Z140" s="128"/>
    </row>
    <row r="141" customFormat="false" ht="19.5" hidden="false" customHeight="true" outlineLevel="0" collapsed="false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8"/>
      <c r="V141" s="128"/>
      <c r="W141" s="128"/>
      <c r="X141" s="128"/>
      <c r="Y141" s="128"/>
      <c r="Z141" s="128"/>
    </row>
    <row r="142" customFormat="false" ht="19.5" hidden="false" customHeight="true" outlineLevel="0" collapsed="false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8"/>
      <c r="V142" s="128"/>
      <c r="W142" s="128"/>
      <c r="X142" s="128"/>
      <c r="Y142" s="128"/>
      <c r="Z142" s="128"/>
    </row>
    <row r="143" customFormat="false" ht="19.5" hidden="false" customHeight="true" outlineLevel="0" collapsed="false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8"/>
      <c r="V143" s="128"/>
      <c r="W143" s="128"/>
      <c r="X143" s="128"/>
      <c r="Y143" s="128"/>
      <c r="Z143" s="128"/>
    </row>
    <row r="144" customFormat="false" ht="19.5" hidden="false" customHeight="true" outlineLevel="0" collapsed="false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8"/>
      <c r="V144" s="128"/>
      <c r="W144" s="128"/>
      <c r="X144" s="128"/>
      <c r="Y144" s="128"/>
      <c r="Z144" s="128"/>
    </row>
    <row r="145" customFormat="false" ht="19.5" hidden="false" customHeight="true" outlineLevel="0" collapsed="false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8"/>
      <c r="V145" s="128"/>
      <c r="W145" s="128"/>
      <c r="X145" s="128"/>
      <c r="Y145" s="128"/>
      <c r="Z145" s="128"/>
    </row>
    <row r="146" customFormat="false" ht="19.5" hidden="false" customHeight="true" outlineLevel="0" collapsed="false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8"/>
      <c r="V146" s="128"/>
      <c r="W146" s="128"/>
      <c r="X146" s="128"/>
      <c r="Y146" s="128"/>
      <c r="Z146" s="128"/>
    </row>
    <row r="147" customFormat="false" ht="19.5" hidden="false" customHeight="true" outlineLevel="0" collapsed="false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8"/>
      <c r="V147" s="128"/>
      <c r="W147" s="128"/>
      <c r="X147" s="128"/>
      <c r="Y147" s="128"/>
      <c r="Z147" s="128"/>
    </row>
    <row r="148" customFormat="false" ht="19.5" hidden="false" customHeight="true" outlineLevel="0" collapsed="false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8"/>
      <c r="V148" s="128"/>
      <c r="W148" s="128"/>
      <c r="X148" s="128"/>
      <c r="Y148" s="128"/>
      <c r="Z148" s="128"/>
    </row>
    <row r="149" customFormat="false" ht="19.5" hidden="false" customHeight="true" outlineLevel="0" collapsed="false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8"/>
      <c r="V149" s="128"/>
      <c r="W149" s="128"/>
      <c r="X149" s="128"/>
      <c r="Y149" s="128"/>
      <c r="Z149" s="128"/>
    </row>
    <row r="150" customFormat="false" ht="19.5" hidden="false" customHeight="true" outlineLevel="0" collapsed="false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8"/>
      <c r="V150" s="128"/>
      <c r="W150" s="128"/>
      <c r="X150" s="128"/>
      <c r="Y150" s="128"/>
      <c r="Z150" s="128"/>
    </row>
    <row r="151" customFormat="false" ht="19.5" hidden="false" customHeight="true" outlineLevel="0" collapsed="false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8"/>
      <c r="V151" s="128"/>
      <c r="W151" s="128"/>
      <c r="X151" s="128"/>
      <c r="Y151" s="128"/>
      <c r="Z151" s="128"/>
    </row>
    <row r="152" customFormat="false" ht="19.5" hidden="false" customHeight="true" outlineLevel="0" collapsed="false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8"/>
      <c r="V152" s="128"/>
      <c r="W152" s="128"/>
      <c r="X152" s="128"/>
      <c r="Y152" s="128"/>
      <c r="Z152" s="128"/>
    </row>
    <row r="153" customFormat="false" ht="19.5" hidden="false" customHeight="true" outlineLevel="0" collapsed="false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8"/>
      <c r="V153" s="128"/>
      <c r="W153" s="128"/>
      <c r="X153" s="128"/>
      <c r="Y153" s="128"/>
      <c r="Z153" s="128"/>
    </row>
    <row r="154" customFormat="false" ht="19.5" hidden="false" customHeight="true" outlineLevel="0" collapsed="false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8"/>
      <c r="V154" s="128"/>
      <c r="W154" s="128"/>
      <c r="X154" s="128"/>
      <c r="Y154" s="128"/>
      <c r="Z154" s="128"/>
    </row>
    <row r="155" customFormat="false" ht="19.5" hidden="false" customHeight="true" outlineLevel="0" collapsed="false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8"/>
      <c r="V155" s="128"/>
      <c r="W155" s="128"/>
      <c r="X155" s="128"/>
      <c r="Y155" s="128"/>
      <c r="Z155" s="128"/>
    </row>
    <row r="156" customFormat="false" ht="19.5" hidden="false" customHeight="true" outlineLevel="0" collapsed="false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8"/>
      <c r="V156" s="128"/>
      <c r="W156" s="128"/>
      <c r="X156" s="128"/>
      <c r="Y156" s="128"/>
      <c r="Z156" s="128"/>
    </row>
    <row r="157" customFormat="false" ht="19.5" hidden="false" customHeight="true" outlineLevel="0" collapsed="false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8"/>
      <c r="V157" s="128"/>
      <c r="W157" s="128"/>
      <c r="X157" s="128"/>
      <c r="Y157" s="128"/>
      <c r="Z157" s="128"/>
    </row>
    <row r="158" customFormat="false" ht="19.5" hidden="false" customHeight="true" outlineLevel="0" collapsed="false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8"/>
      <c r="V158" s="128"/>
      <c r="W158" s="128"/>
      <c r="X158" s="128"/>
      <c r="Y158" s="128"/>
      <c r="Z158" s="128"/>
    </row>
    <row r="159" customFormat="false" ht="19.5" hidden="false" customHeight="true" outlineLevel="0" collapsed="false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8"/>
      <c r="V159" s="128"/>
      <c r="W159" s="128"/>
      <c r="X159" s="128"/>
      <c r="Y159" s="128"/>
      <c r="Z159" s="128"/>
    </row>
    <row r="160" customFormat="false" ht="19.5" hidden="false" customHeight="true" outlineLevel="0" collapsed="false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8"/>
      <c r="V160" s="128"/>
      <c r="W160" s="128"/>
      <c r="X160" s="128"/>
      <c r="Y160" s="128"/>
      <c r="Z160" s="128"/>
    </row>
    <row r="161" customFormat="false" ht="19.5" hidden="false" customHeight="true" outlineLevel="0" collapsed="false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8"/>
      <c r="V161" s="128"/>
      <c r="W161" s="128"/>
      <c r="X161" s="128"/>
      <c r="Y161" s="128"/>
      <c r="Z161" s="128"/>
    </row>
    <row r="162" customFormat="false" ht="19.5" hidden="false" customHeight="true" outlineLevel="0" collapsed="false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8"/>
      <c r="V162" s="128"/>
      <c r="W162" s="128"/>
      <c r="X162" s="128"/>
      <c r="Y162" s="128"/>
      <c r="Z162" s="128"/>
    </row>
    <row r="163" customFormat="false" ht="19.5" hidden="false" customHeight="true" outlineLevel="0" collapsed="false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8"/>
      <c r="V163" s="128"/>
      <c r="W163" s="128"/>
      <c r="X163" s="128"/>
      <c r="Y163" s="128"/>
      <c r="Z163" s="128"/>
    </row>
    <row r="164" customFormat="false" ht="19.5" hidden="false" customHeight="true" outlineLevel="0" collapsed="false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8"/>
      <c r="V164" s="128"/>
      <c r="W164" s="128"/>
      <c r="X164" s="128"/>
      <c r="Y164" s="128"/>
      <c r="Z164" s="128"/>
    </row>
    <row r="165" customFormat="false" ht="19.5" hidden="false" customHeight="true" outlineLevel="0" collapsed="false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8"/>
      <c r="V165" s="128"/>
      <c r="W165" s="128"/>
      <c r="X165" s="128"/>
      <c r="Y165" s="128"/>
      <c r="Z165" s="128"/>
    </row>
    <row r="166" customFormat="false" ht="19.5" hidden="false" customHeight="true" outlineLevel="0" collapsed="false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8"/>
      <c r="V166" s="128"/>
      <c r="W166" s="128"/>
      <c r="X166" s="128"/>
      <c r="Y166" s="128"/>
      <c r="Z166" s="128"/>
    </row>
    <row r="167" customFormat="false" ht="19.5" hidden="false" customHeight="true" outlineLevel="0" collapsed="false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8"/>
      <c r="V167" s="128"/>
      <c r="W167" s="128"/>
      <c r="X167" s="128"/>
      <c r="Y167" s="128"/>
      <c r="Z167" s="128"/>
    </row>
    <row r="168" customFormat="false" ht="19.5" hidden="false" customHeight="true" outlineLevel="0" collapsed="false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8"/>
      <c r="V168" s="128"/>
      <c r="W168" s="128"/>
      <c r="X168" s="128"/>
      <c r="Y168" s="128"/>
      <c r="Z168" s="128"/>
    </row>
    <row r="169" customFormat="false" ht="19.5" hidden="false" customHeight="true" outlineLevel="0" collapsed="false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8"/>
      <c r="V169" s="128"/>
      <c r="W169" s="128"/>
      <c r="X169" s="128"/>
      <c r="Y169" s="128"/>
      <c r="Z169" s="128"/>
    </row>
    <row r="170" customFormat="false" ht="19.5" hidden="false" customHeight="true" outlineLevel="0" collapsed="false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8"/>
      <c r="V170" s="128"/>
      <c r="W170" s="128"/>
      <c r="X170" s="128"/>
      <c r="Y170" s="128"/>
      <c r="Z170" s="128"/>
    </row>
    <row r="171" customFormat="false" ht="19.5" hidden="false" customHeight="true" outlineLevel="0" collapsed="false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8"/>
      <c r="V171" s="128"/>
      <c r="W171" s="128"/>
      <c r="X171" s="128"/>
      <c r="Y171" s="128"/>
      <c r="Z171" s="128"/>
    </row>
    <row r="172" customFormat="false" ht="19.5" hidden="false" customHeight="true" outlineLevel="0" collapsed="false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8"/>
      <c r="V172" s="128"/>
      <c r="W172" s="128"/>
      <c r="X172" s="128"/>
      <c r="Y172" s="128"/>
      <c r="Z172" s="128"/>
    </row>
    <row r="173" customFormat="false" ht="19.5" hidden="false" customHeight="true" outlineLevel="0" collapsed="false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8"/>
      <c r="V173" s="128"/>
      <c r="W173" s="128"/>
      <c r="X173" s="128"/>
      <c r="Y173" s="128"/>
      <c r="Z173" s="128"/>
    </row>
    <row r="174" customFormat="false" ht="19.5" hidden="false" customHeight="true" outlineLevel="0" collapsed="false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8"/>
      <c r="V174" s="128"/>
      <c r="W174" s="128"/>
      <c r="X174" s="128"/>
      <c r="Y174" s="128"/>
      <c r="Z174" s="128"/>
    </row>
    <row r="175" customFormat="false" ht="19.5" hidden="false" customHeight="true" outlineLevel="0" collapsed="false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8"/>
      <c r="V175" s="128"/>
      <c r="W175" s="128"/>
      <c r="X175" s="128"/>
      <c r="Y175" s="128"/>
      <c r="Z175" s="128"/>
    </row>
    <row r="176" customFormat="false" ht="19.5" hidden="false" customHeight="true" outlineLevel="0" collapsed="false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8"/>
      <c r="V176" s="128"/>
      <c r="W176" s="128"/>
      <c r="X176" s="128"/>
      <c r="Y176" s="128"/>
      <c r="Z176" s="128"/>
    </row>
    <row r="177" customFormat="false" ht="19.5" hidden="false" customHeight="true" outlineLevel="0" collapsed="false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8"/>
      <c r="V177" s="128"/>
      <c r="W177" s="128"/>
      <c r="X177" s="128"/>
      <c r="Y177" s="128"/>
      <c r="Z177" s="128"/>
    </row>
    <row r="178" customFormat="false" ht="19.5" hidden="false" customHeight="true" outlineLevel="0" collapsed="false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8"/>
      <c r="V178" s="128"/>
      <c r="W178" s="128"/>
      <c r="X178" s="128"/>
      <c r="Y178" s="128"/>
      <c r="Z178" s="128"/>
    </row>
    <row r="179" customFormat="false" ht="19.5" hidden="false" customHeight="true" outlineLevel="0" collapsed="false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8"/>
      <c r="V179" s="128"/>
      <c r="W179" s="128"/>
      <c r="X179" s="128"/>
      <c r="Y179" s="128"/>
      <c r="Z179" s="128"/>
    </row>
    <row r="180" customFormat="false" ht="19.5" hidden="false" customHeight="true" outlineLevel="0" collapsed="false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8"/>
      <c r="V180" s="128"/>
      <c r="W180" s="128"/>
      <c r="X180" s="128"/>
      <c r="Y180" s="128"/>
      <c r="Z180" s="128"/>
    </row>
    <row r="181" customFormat="false" ht="19.5" hidden="false" customHeight="true" outlineLevel="0" collapsed="false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8"/>
      <c r="V181" s="128"/>
      <c r="W181" s="128"/>
      <c r="X181" s="128"/>
      <c r="Y181" s="128"/>
      <c r="Z181" s="128"/>
    </row>
    <row r="182" customFormat="false" ht="19.5" hidden="false" customHeight="true" outlineLevel="0" collapsed="false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8"/>
      <c r="V182" s="128"/>
      <c r="W182" s="128"/>
      <c r="X182" s="128"/>
      <c r="Y182" s="128"/>
      <c r="Z182" s="128"/>
    </row>
    <row r="183" customFormat="false" ht="19.5" hidden="false" customHeight="true" outlineLevel="0" collapsed="false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8"/>
      <c r="V183" s="128"/>
      <c r="W183" s="128"/>
      <c r="X183" s="128"/>
      <c r="Y183" s="128"/>
      <c r="Z183" s="128"/>
    </row>
    <row r="184" customFormat="false" ht="19.5" hidden="false" customHeight="true" outlineLevel="0" collapsed="false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8"/>
      <c r="V184" s="128"/>
      <c r="W184" s="128"/>
      <c r="X184" s="128"/>
      <c r="Y184" s="128"/>
      <c r="Z184" s="128"/>
    </row>
    <row r="185" customFormat="false" ht="19.5" hidden="false" customHeight="true" outlineLevel="0" collapsed="false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8"/>
      <c r="V185" s="128"/>
      <c r="W185" s="128"/>
      <c r="X185" s="128"/>
      <c r="Y185" s="128"/>
      <c r="Z185" s="128"/>
    </row>
    <row r="186" customFormat="false" ht="19.5" hidden="false" customHeight="true" outlineLevel="0" collapsed="false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8"/>
      <c r="V186" s="128"/>
      <c r="W186" s="128"/>
      <c r="X186" s="128"/>
      <c r="Y186" s="128"/>
      <c r="Z186" s="128"/>
    </row>
    <row r="187" customFormat="false" ht="19.5" hidden="false" customHeight="true" outlineLevel="0" collapsed="false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8"/>
      <c r="V187" s="128"/>
      <c r="W187" s="128"/>
      <c r="X187" s="128"/>
      <c r="Y187" s="128"/>
      <c r="Z187" s="128"/>
    </row>
    <row r="188" customFormat="false" ht="19.5" hidden="false" customHeight="true" outlineLevel="0" collapsed="false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8"/>
      <c r="V188" s="128"/>
      <c r="W188" s="128"/>
      <c r="X188" s="128"/>
      <c r="Y188" s="128"/>
      <c r="Z188" s="128"/>
    </row>
    <row r="189" customFormat="false" ht="19.5" hidden="false" customHeight="true" outlineLevel="0" collapsed="false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8"/>
      <c r="V189" s="128"/>
      <c r="W189" s="128"/>
      <c r="X189" s="128"/>
      <c r="Y189" s="128"/>
      <c r="Z189" s="128"/>
    </row>
    <row r="190" customFormat="false" ht="19.5" hidden="false" customHeight="true" outlineLevel="0" collapsed="false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8"/>
      <c r="V190" s="128"/>
      <c r="W190" s="128"/>
      <c r="X190" s="128"/>
      <c r="Y190" s="128"/>
      <c r="Z190" s="128"/>
    </row>
    <row r="191" customFormat="false" ht="19.5" hidden="false" customHeight="true" outlineLevel="0" collapsed="false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8"/>
      <c r="V191" s="128"/>
      <c r="W191" s="128"/>
      <c r="X191" s="128"/>
      <c r="Y191" s="128"/>
      <c r="Z191" s="128"/>
    </row>
    <row r="192" customFormat="false" ht="19.5" hidden="false" customHeight="true" outlineLevel="0" collapsed="false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8"/>
      <c r="V192" s="128"/>
      <c r="W192" s="128"/>
      <c r="X192" s="128"/>
      <c r="Y192" s="128"/>
      <c r="Z192" s="128"/>
    </row>
    <row r="193" customFormat="false" ht="19.5" hidden="false" customHeight="true" outlineLevel="0" collapsed="false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8"/>
      <c r="V193" s="128"/>
      <c r="W193" s="128"/>
      <c r="X193" s="128"/>
      <c r="Y193" s="128"/>
      <c r="Z193" s="128"/>
    </row>
    <row r="194" customFormat="false" ht="19.5" hidden="false" customHeight="true" outlineLevel="0" collapsed="false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8"/>
      <c r="V194" s="128"/>
      <c r="W194" s="128"/>
      <c r="X194" s="128"/>
      <c r="Y194" s="128"/>
      <c r="Z194" s="128"/>
    </row>
    <row r="195" customFormat="false" ht="19.5" hidden="false" customHeight="true" outlineLevel="0" collapsed="false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8"/>
      <c r="V195" s="128"/>
      <c r="W195" s="128"/>
      <c r="X195" s="128"/>
      <c r="Y195" s="128"/>
      <c r="Z195" s="128"/>
    </row>
    <row r="196" customFormat="false" ht="19.5" hidden="false" customHeight="true" outlineLevel="0" collapsed="false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8"/>
      <c r="V196" s="128"/>
      <c r="W196" s="128"/>
      <c r="X196" s="128"/>
      <c r="Y196" s="128"/>
      <c r="Z196" s="128"/>
    </row>
    <row r="197" customFormat="false" ht="19.5" hidden="false" customHeight="true" outlineLevel="0" collapsed="false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8"/>
      <c r="V197" s="128"/>
      <c r="W197" s="128"/>
      <c r="X197" s="128"/>
      <c r="Y197" s="128"/>
      <c r="Z197" s="128"/>
    </row>
    <row r="198" customFormat="false" ht="19.5" hidden="false" customHeight="true" outlineLevel="0" collapsed="false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8"/>
      <c r="V198" s="128"/>
      <c r="W198" s="128"/>
      <c r="X198" s="128"/>
      <c r="Y198" s="128"/>
      <c r="Z198" s="128"/>
    </row>
    <row r="199" customFormat="false" ht="19.5" hidden="false" customHeight="true" outlineLevel="0" collapsed="false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8"/>
      <c r="V199" s="128"/>
      <c r="W199" s="128"/>
      <c r="X199" s="128"/>
      <c r="Y199" s="128"/>
      <c r="Z199" s="128"/>
    </row>
    <row r="200" customFormat="false" ht="19.5" hidden="false" customHeight="true" outlineLevel="0" collapsed="false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8"/>
      <c r="V200" s="128"/>
      <c r="W200" s="128"/>
      <c r="X200" s="128"/>
      <c r="Y200" s="128"/>
      <c r="Z200" s="128"/>
    </row>
  </sheetData>
  <dataValidations count="3">
    <dataValidation allowBlank="true" errorStyle="stop" operator="between" showDropDown="false" showErrorMessage="false" showInputMessage="false" sqref="F2:F200" type="list">
      <formula1>nomes_escolas</formula1>
      <formula2>0</formula2>
    </dataValidation>
    <dataValidation allowBlank="true" errorStyle="stop" operator="between" showDropDown="false" showErrorMessage="false" showInputMessage="false" sqref="G2:G200" type="list">
      <formula1>lista_demandas</formula1>
      <formula2>0</formula2>
    </dataValidation>
    <dataValidation allowBlank="true" errorStyle="stop" operator="between" showDropDown="false" showErrorMessage="false" showInputMessage="false" sqref="I2:I200" type="list">
      <formula1>lista_tipo_aparelho</formula1>
      <formula2>0</formula2>
    </dataValidation>
  </dataValidations>
  <printOptions headings="false" gridLines="false" gridLinesSet="true" horizontalCentered="true" verticalCentered="false"/>
  <pageMargins left="0.4" right="0.4" top="0.6" bottom="0.6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&amp;R&amp;"Calibri,Bold"&amp;K1f3864Controle Vivo de Climatização&amp;"Calibri,Regular"&amp;10 &amp;K595959  ·  GOP / 3ª CRE</oddHeader>
    <oddFooter>&amp;C&amp;9 &amp;K595959Página &amp;P de &amp;N  ·  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2" activeCellId="0" sqref="E22"/>
    </sheetView>
  </sheetViews>
  <sheetFormatPr defaultColWidth="8.6796875" defaultRowHeight="13.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22"/>
    <col collapsed="false" customWidth="true" hidden="false" outlineLevel="0" max="4" min="4" style="1" width="46"/>
    <col collapsed="false" customWidth="true" hidden="false" outlineLevel="0" max="5" min="5" style="1" width="36"/>
  </cols>
  <sheetData>
    <row r="1" customFormat="false" ht="29.25" hidden="false" customHeight="true" outlineLevel="0" collapsed="false">
      <c r="A1" s="129" t="s">
        <v>26</v>
      </c>
      <c r="B1" s="129" t="s">
        <v>413</v>
      </c>
      <c r="C1" s="129" t="s">
        <v>414</v>
      </c>
      <c r="D1" s="129" t="s">
        <v>415</v>
      </c>
      <c r="E1" s="129" t="s">
        <v>416</v>
      </c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 customFormat="false" ht="19.5" hidden="false" customHeight="true" outlineLevel="0" collapsed="false">
      <c r="A2" s="130" t="n">
        <v>1</v>
      </c>
      <c r="B2" s="130" t="s">
        <v>417</v>
      </c>
      <c r="C2" s="130" t="s">
        <v>418</v>
      </c>
      <c r="D2" s="130" t="s">
        <v>419</v>
      </c>
      <c r="E2" s="130" t="s">
        <v>420</v>
      </c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customFormat="false" ht="19.5" hidden="false" customHeight="true" outlineLevel="0" collapsed="false">
      <c r="A3" s="130" t="n">
        <v>2</v>
      </c>
      <c r="B3" s="130" t="s">
        <v>421</v>
      </c>
      <c r="C3" s="130" t="s">
        <v>422</v>
      </c>
      <c r="D3" s="130" t="s">
        <v>423</v>
      </c>
      <c r="E3" s="130" t="s">
        <v>424</v>
      </c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customFormat="false" ht="36.75" hidden="false" customHeight="true" outlineLevel="0" collapsed="false">
      <c r="A4" s="130" t="n">
        <v>3</v>
      </c>
      <c r="B4" s="130" t="s">
        <v>425</v>
      </c>
      <c r="C4" s="130" t="s">
        <v>426</v>
      </c>
      <c r="D4" s="130" t="s">
        <v>427</v>
      </c>
      <c r="E4" s="130" t="s">
        <v>428</v>
      </c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customFormat="false" ht="19.5" hidden="false" customHeight="true" outlineLevel="0" collapsed="false">
      <c r="A5" s="130" t="n">
        <v>4</v>
      </c>
      <c r="B5" s="130" t="s">
        <v>429</v>
      </c>
      <c r="C5" s="130" t="s">
        <v>422</v>
      </c>
      <c r="D5" s="130" t="s">
        <v>430</v>
      </c>
      <c r="E5" s="130" t="s">
        <v>431</v>
      </c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customFormat="false" ht="19.5" hidden="false" customHeight="true" outlineLevel="0" collapsed="false">
      <c r="A6" s="130" t="n">
        <v>5</v>
      </c>
      <c r="B6" s="130" t="s">
        <v>432</v>
      </c>
      <c r="C6" s="130" t="s">
        <v>426</v>
      </c>
      <c r="D6" s="130" t="s">
        <v>433</v>
      </c>
      <c r="E6" s="130" t="s">
        <v>434</v>
      </c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customFormat="false" ht="19.5" hidden="false" customHeight="true" outlineLevel="0" collapsed="false">
      <c r="A7" s="130" t="n">
        <v>6</v>
      </c>
      <c r="B7" s="130" t="s">
        <v>435</v>
      </c>
      <c r="C7" s="130" t="s">
        <v>436</v>
      </c>
      <c r="D7" s="130" t="s">
        <v>437</v>
      </c>
      <c r="E7" s="130" t="s">
        <v>438</v>
      </c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customFormat="false" ht="19.5" hidden="false" customHeight="true" outlineLevel="0" collapsed="false">
      <c r="A8" s="130" t="n">
        <v>7</v>
      </c>
      <c r="B8" s="130" t="s">
        <v>439</v>
      </c>
      <c r="C8" s="130" t="s">
        <v>436</v>
      </c>
      <c r="D8" s="130" t="s">
        <v>440</v>
      </c>
      <c r="E8" s="130" t="s">
        <v>441</v>
      </c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customFormat="false" ht="19.5" hidden="false" customHeight="true" outlineLevel="0" collapsed="false">
      <c r="A9" s="130" t="n">
        <v>8</v>
      </c>
      <c r="B9" s="130" t="s">
        <v>442</v>
      </c>
      <c r="C9" s="130" t="s">
        <v>426</v>
      </c>
      <c r="D9" s="130" t="s">
        <v>443</v>
      </c>
      <c r="E9" s="130" t="s">
        <v>444</v>
      </c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customFormat="false" ht="19.5" hidden="false" customHeight="true" outlineLevel="0" collapsed="false">
      <c r="A10" s="130" t="n">
        <v>9</v>
      </c>
      <c r="B10" s="130" t="s">
        <v>445</v>
      </c>
      <c r="C10" s="130" t="s">
        <v>446</v>
      </c>
      <c r="D10" s="130" t="s">
        <v>447</v>
      </c>
      <c r="E10" s="130" t="s">
        <v>448</v>
      </c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customFormat="false" ht="19.5" hidden="false" customHeight="true" outlineLevel="0" collapsed="false">
      <c r="A11" s="130" t="n">
        <v>10</v>
      </c>
      <c r="B11" s="130" t="s">
        <v>449</v>
      </c>
      <c r="C11" s="130" t="s">
        <v>446</v>
      </c>
      <c r="D11" s="130" t="s">
        <v>447</v>
      </c>
      <c r="E11" s="130" t="s">
        <v>450</v>
      </c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customFormat="false" ht="19.5" hidden="false" customHeight="true" outlineLevel="0" collapsed="false">
      <c r="A12" s="130" t="n">
        <v>11</v>
      </c>
      <c r="B12" s="130" t="s">
        <v>451</v>
      </c>
      <c r="C12" s="130" t="s">
        <v>446</v>
      </c>
      <c r="D12" s="130" t="s">
        <v>447</v>
      </c>
      <c r="E12" s="130" t="s">
        <v>452</v>
      </c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customFormat="false" ht="19.5" hidden="false" customHeight="true" outlineLevel="0" collapsed="false">
      <c r="A13" s="130" t="n">
        <v>12</v>
      </c>
      <c r="B13" s="130" t="s">
        <v>453</v>
      </c>
      <c r="C13" s="130" t="s">
        <v>426</v>
      </c>
      <c r="D13" s="130" t="s">
        <v>454</v>
      </c>
      <c r="E13" s="130" t="s">
        <v>455</v>
      </c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customFormat="false" ht="19.5" hidden="false" customHeight="true" outlineLevel="0" collapsed="false">
      <c r="A14" s="130" t="n">
        <v>13</v>
      </c>
      <c r="B14" s="130" t="s">
        <v>456</v>
      </c>
      <c r="C14" s="130" t="s">
        <v>426</v>
      </c>
      <c r="D14" s="130" t="s">
        <v>457</v>
      </c>
      <c r="E14" s="130" t="s">
        <v>458</v>
      </c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customFormat="false" ht="19.5" hidden="false" customHeight="true" outlineLevel="0" collapsed="false">
      <c r="A15" s="130" t="n">
        <v>14</v>
      </c>
      <c r="B15" s="130" t="s">
        <v>459</v>
      </c>
      <c r="C15" s="130" t="s">
        <v>460</v>
      </c>
      <c r="D15" s="130" t="s">
        <v>461</v>
      </c>
      <c r="E15" s="130" t="s">
        <v>462</v>
      </c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customFormat="false" ht="19.5" hidden="false" customHeight="true" outlineLevel="0" collapsed="false">
      <c r="A16" s="130" t="n">
        <v>15</v>
      </c>
      <c r="B16" s="130" t="s">
        <v>463</v>
      </c>
      <c r="C16" s="130" t="s">
        <v>422</v>
      </c>
      <c r="D16" s="130" t="s">
        <v>464</v>
      </c>
      <c r="E16" s="130" t="s">
        <v>465</v>
      </c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customFormat="false" ht="19.5" hidden="false" customHeight="true" outlineLevel="0" collapsed="false">
      <c r="A17" s="131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customFormat="false" ht="19.5" hidden="false" customHeight="true" outlineLevel="0" collapsed="false">
      <c r="A18" s="131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customFormat="false" ht="19.5" hidden="false" customHeight="true" outlineLevel="0" collapsed="false">
      <c r="A19" s="131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customFormat="false" ht="19.5" hidden="false" customHeight="true" outlineLevel="0" collapsed="false">
      <c r="A20" s="131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customFormat="false" ht="19.5" hidden="false" customHeight="true" outlineLevel="0" collapsed="false">
      <c r="A21" s="131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customFormat="false" ht="19.5" hidden="false" customHeight="true" outlineLevel="0" collapsed="false">
      <c r="A22" s="131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customFormat="false" ht="19.5" hidden="false" customHeight="true" outlineLevel="0" collapsed="false">
      <c r="A23" s="131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customFormat="false" ht="19.5" hidden="false" customHeight="true" outlineLevel="0" collapsed="false">
      <c r="A24" s="131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customFormat="false" ht="19.5" hidden="false" customHeight="true" outlineLevel="0" collapsed="false">
      <c r="A25" s="131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customFormat="false" ht="19.5" hidden="false" customHeight="true" outlineLevel="0" collapsed="false">
      <c r="A26" s="131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customFormat="false" ht="19.5" hidden="false" customHeight="true" outlineLevel="0" collapsed="false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customFormat="false" ht="19.5" hidden="false" customHeight="true" outlineLevel="0" collapsed="false">
      <c r="A28" s="131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customFormat="false" ht="19.5" hidden="false" customHeight="true" outlineLevel="0" collapsed="false">
      <c r="A29" s="131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customFormat="false" ht="19.5" hidden="false" customHeight="true" outlineLevel="0" collapsed="false">
      <c r="A30" s="131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customFormat="false" ht="19.5" hidden="false" customHeight="true" outlineLevel="0" collapsed="false">
      <c r="A31" s="131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customFormat="false" ht="19.5" hidden="false" customHeight="true" outlineLevel="0" collapsed="false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customFormat="false" ht="19.5" hidden="false" customHeight="true" outlineLevel="0" collapsed="false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customFormat="false" ht="19.5" hidden="false" customHeight="true" outlineLevel="0" collapsed="false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customFormat="false" ht="19.5" hidden="false" customHeight="true" outlineLevel="0" collapsed="false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customFormat="false" ht="19.5" hidden="false" customHeight="true" outlineLevel="0" collapsed="false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customFormat="false" ht="19.5" hidden="false" customHeight="true" outlineLevel="0" collapsed="false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customFormat="false" ht="19.5" hidden="false" customHeight="true" outlineLevel="0" collapsed="false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customFormat="false" ht="19.5" hidden="false" customHeight="true" outlineLevel="0" collapsed="false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customFormat="false" ht="19.5" hidden="false" customHeight="true" outlineLevel="0" collapsed="false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customFormat="false" ht="19.5" hidden="false" customHeight="true" outlineLevel="0" collapsed="false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customFormat="false" ht="19.5" hidden="false" customHeight="true" outlineLevel="0" collapsed="false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customFormat="false" ht="19.5" hidden="false" customHeight="true" outlineLevel="0" collapsed="false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customFormat="false" ht="19.5" hidden="false" customHeight="true" outlineLevel="0" collapsed="false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customFormat="false" ht="19.5" hidden="false" customHeight="true" outlineLevel="0" collapsed="false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customFormat="false" ht="19.5" hidden="false" customHeight="true" outlineLevel="0" collapsed="false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customFormat="false" ht="19.5" hidden="false" customHeight="true" outlineLevel="0" collapsed="false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customFormat="false" ht="19.5" hidden="false" customHeight="true" outlineLevel="0" collapsed="false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customFormat="false" ht="19.5" hidden="false" customHeight="true" outlineLevel="0" collapsed="false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customFormat="false" ht="19.5" hidden="false" customHeight="true" outlineLevel="0" collapsed="false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customFormat="false" ht="19.5" hidden="false" customHeight="true" outlineLevel="0" collapsed="false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customFormat="false" ht="19.5" hidden="false" customHeight="true" outlineLevel="0" collapsed="false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customFormat="false" ht="19.5" hidden="false" customHeight="true" outlineLevel="0" collapsed="false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customFormat="false" ht="19.5" hidden="false" customHeight="true" outlineLevel="0" collapsed="false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customFormat="false" ht="19.5" hidden="false" customHeight="true" outlineLevel="0" collapsed="false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customFormat="false" ht="19.5" hidden="false" customHeight="true" outlineLevel="0" collapsed="false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customFormat="false" ht="19.5" hidden="false" customHeight="true" outlineLevel="0" collapsed="false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customFormat="false" ht="19.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customFormat="false" ht="19.5" hidden="false" customHeight="true" outlineLevel="0" collapsed="false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customFormat="false" ht="19.5" hidden="false" customHeight="true" outlineLevel="0" collapsed="false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customFormat="false" ht="19.5" hidden="false" customHeight="true" outlineLevel="0" collapsed="false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customFormat="false" ht="19.5" hidden="false" customHeight="true" outlineLevel="0" collapsed="false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customFormat="false" ht="19.5" hidden="false" customHeight="true" outlineLevel="0" collapsed="false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customFormat="false" ht="19.5" hidden="false" customHeight="true" outlineLevel="0" collapsed="false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customFormat="false" ht="19.5" hidden="false" customHeight="true" outlineLevel="0" collapsed="false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customFormat="false" ht="19.5" hidden="false" customHeight="true" outlineLevel="0" collapsed="false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customFormat="false" ht="19.5" hidden="false" customHeight="true" outlineLevel="0" collapsed="false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customFormat="false" ht="19.5" hidden="false" customHeight="true" outlineLevel="0" collapsed="false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customFormat="false" ht="19.5" hidden="false" customHeight="true" outlineLevel="0" collapsed="false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customFormat="false" ht="19.5" hidden="false" customHeight="true" outlineLevel="0" collapsed="false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customFormat="false" ht="19.5" hidden="false" customHeight="true" outlineLevel="0" collapsed="false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customFormat="false" ht="19.5" hidden="false" customHeight="true" outlineLevel="0" collapsed="false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customFormat="false" ht="19.5" hidden="false" customHeight="true" outlineLevel="0" collapsed="false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customFormat="false" ht="19.5" hidden="false" customHeight="true" outlineLevel="0" collapsed="false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customFormat="false" ht="19.5" hidden="false" customHeight="true" outlineLevel="0" collapsed="false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customFormat="false" ht="19.5" hidden="false" customHeight="true" outlineLevel="0" collapsed="false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customFormat="false" ht="19.5" hidden="false" customHeight="true" outlineLevel="0" collapsed="false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customFormat="false" ht="19.5" hidden="false" customHeight="true" outlineLevel="0" collapsed="false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customFormat="false" ht="19.5" hidden="false" customHeight="true" outlineLevel="0" collapsed="false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customFormat="false" ht="19.5" hidden="false" customHeight="true" outlineLevel="0" collapsed="false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customFormat="false" ht="19.5" hidden="false" customHeight="true" outlineLevel="0" collapsed="false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customFormat="false" ht="19.5" hidden="false" customHeight="true" outlineLevel="0" collapsed="false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customFormat="false" ht="19.5" hidden="false" customHeight="true" outlineLevel="0" collapsed="false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customFormat="false" ht="19.5" hidden="false" customHeight="true" outlineLevel="0" collapsed="false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customFormat="false" ht="19.5" hidden="false" customHeight="true" outlineLevel="0" collapsed="false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customFormat="false" ht="19.5" hidden="false" customHeight="true" outlineLevel="0" collapsed="false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customFormat="false" ht="19.5" hidden="false" customHeight="true" outlineLevel="0" collapsed="false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customFormat="false" ht="19.5" hidden="false" customHeight="true" outlineLevel="0" collapsed="false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customFormat="false" ht="19.5" hidden="false" customHeight="true" outlineLevel="0" collapsed="false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customFormat="false" ht="19.5" hidden="false" customHeight="true" outlineLevel="0" collapsed="false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customFormat="false" ht="19.5" hidden="false" customHeight="true" outlineLevel="0" collapsed="false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customFormat="false" ht="19.5" hidden="false" customHeight="true" outlineLevel="0" collapsed="false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customFormat="false" ht="19.5" hidden="false" customHeight="true" outlineLevel="0" collapsed="false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customFormat="false" ht="19.5" hidden="false" customHeight="true" outlineLevel="0" collapsed="false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customFormat="false" ht="19.5" hidden="false" customHeight="true" outlineLevel="0" collapsed="false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customFormat="false" ht="19.5" hidden="false" customHeight="true" outlineLevel="0" collapsed="false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customFormat="false" ht="19.5" hidden="false" customHeight="true" outlineLevel="0" collapsed="false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customFormat="false" ht="19.5" hidden="false" customHeight="true" outlineLevel="0" collapsed="false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customFormat="false" ht="19.5" hidden="false" customHeight="true" outlineLevel="0" collapsed="false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customFormat="false" ht="19.5" hidden="false" customHeight="true" outlineLevel="0" collapsed="false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customFormat="false" ht="19.5" hidden="false" customHeight="true" outlineLevel="0" collapsed="false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customFormat="false" ht="19.5" hidden="false" customHeight="true" outlineLevel="0" collapsed="false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customFormat="false" ht="19.5" hidden="false" customHeight="true" outlineLevel="0" collapsed="false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customFormat="false" ht="19.5" hidden="false" customHeight="true" outlineLevel="0" collapsed="false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customFormat="false" ht="19.5" hidden="false" customHeight="true" outlineLevel="0" collapsed="false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customFormat="false" ht="19.5" hidden="false" customHeight="true" outlineLevel="0" collapsed="false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customFormat="false" ht="19.5" hidden="false" customHeight="true" outlineLevel="0" collapsed="false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customFormat="false" ht="19.5" hidden="false" customHeight="true" outlineLevel="0" collapsed="false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customFormat="false" ht="19.5" hidden="false" customHeight="true" outlineLevel="0" collapsed="false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customFormat="false" ht="19.5" hidden="false" customHeight="true" outlineLevel="0" collapsed="false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customFormat="false" ht="19.5" hidden="false" customHeight="true" outlineLevel="0" collapsed="false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customFormat="false" ht="19.5" hidden="false" customHeight="true" outlineLevel="0" collapsed="false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customFormat="false" ht="19.5" hidden="false" customHeight="true" outlineLevel="0" collapsed="false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customFormat="false" ht="19.5" hidden="false" customHeight="true" outlineLevel="0" collapsed="false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customFormat="false" ht="19.5" hidden="false" customHeight="true" outlineLevel="0" collapsed="false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customFormat="false" ht="19.5" hidden="false" customHeight="true" outlineLevel="0" collapsed="false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customFormat="false" ht="19.5" hidden="false" customHeight="true" outlineLevel="0" collapsed="false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customFormat="false" ht="19.5" hidden="false" customHeight="true" outlineLevel="0" collapsed="false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customFormat="false" ht="19.5" hidden="false" customHeight="true" outlineLevel="0" collapsed="false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customFormat="false" ht="19.5" hidden="false" customHeight="true" outlineLevel="0" collapsed="false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customFormat="false" ht="19.5" hidden="false" customHeight="true" outlineLevel="0" collapsed="false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customFormat="false" ht="19.5" hidden="false" customHeight="true" outlineLevel="0" collapsed="false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customFormat="false" ht="19.5" hidden="false" customHeight="true" outlineLevel="0" collapsed="false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customFormat="false" ht="19.5" hidden="false" customHeight="true" outlineLevel="0" collapsed="false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customFormat="false" ht="19.5" hidden="false" customHeight="true" outlineLevel="0" collapsed="false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customFormat="false" ht="19.5" hidden="false" customHeight="true" outlineLevel="0" collapsed="false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customFormat="false" ht="19.5" hidden="false" customHeight="true" outlineLevel="0" collapsed="false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customFormat="false" ht="19.5" hidden="false" customHeight="true" outlineLevel="0" collapsed="false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customFormat="false" ht="19.5" hidden="false" customHeight="true" outlineLevel="0" collapsed="false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customFormat="false" ht="19.5" hidden="false" customHeight="true" outlineLevel="0" collapsed="false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customFormat="false" ht="19.5" hidden="false" customHeight="true" outlineLevel="0" collapsed="false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customFormat="false" ht="19.5" hidden="false" customHeight="true" outlineLevel="0" collapsed="false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customFormat="false" ht="19.5" hidden="false" customHeight="true" outlineLevel="0" collapsed="false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customFormat="false" ht="19.5" hidden="false" customHeight="true" outlineLevel="0" collapsed="false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customFormat="false" ht="19.5" hidden="false" customHeight="true" outlineLevel="0" collapsed="false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customFormat="false" ht="19.5" hidden="false" customHeight="true" outlineLevel="0" collapsed="false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customFormat="false" ht="19.5" hidden="false" customHeight="true" outlineLevel="0" collapsed="false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customFormat="false" ht="19.5" hidden="false" customHeight="true" outlineLevel="0" collapsed="false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customFormat="false" ht="19.5" hidden="false" customHeight="true" outlineLevel="0" collapsed="false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customFormat="false" ht="19.5" hidden="false" customHeight="true" outlineLevel="0" collapsed="false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customFormat="false" ht="19.5" hidden="false" customHeight="true" outlineLevel="0" collapsed="false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customFormat="false" ht="19.5" hidden="false" customHeight="true" outlineLevel="0" collapsed="false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customFormat="false" ht="19.5" hidden="false" customHeight="true" outlineLevel="0" collapsed="false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customFormat="false" ht="19.5" hidden="false" customHeight="true" outlineLevel="0" collapsed="false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customFormat="false" ht="19.5" hidden="false" customHeight="true" outlineLevel="0" collapsed="false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customFormat="false" ht="19.5" hidden="false" customHeight="true" outlineLevel="0" collapsed="false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customFormat="false" ht="19.5" hidden="false" customHeight="true" outlineLevel="0" collapsed="false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customFormat="false" ht="19.5" hidden="false" customHeight="true" outlineLevel="0" collapsed="false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customFormat="false" ht="19.5" hidden="false" customHeight="true" outlineLevel="0" collapsed="false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customFormat="false" ht="19.5" hidden="false" customHeight="true" outlineLevel="0" collapsed="false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customFormat="false" ht="19.5" hidden="false" customHeight="true" outlineLevel="0" collapsed="false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customFormat="false" ht="19.5" hidden="false" customHeight="true" outlineLevel="0" collapsed="false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customFormat="false" ht="19.5" hidden="false" customHeight="true" outlineLevel="0" collapsed="false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customFormat="false" ht="19.5" hidden="false" customHeight="true" outlineLevel="0" collapsed="false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customFormat="false" ht="19.5" hidden="false" customHeight="true" outlineLevel="0" collapsed="false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customFormat="false" ht="19.5" hidden="false" customHeight="true" outlineLevel="0" collapsed="false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customFormat="false" ht="19.5" hidden="false" customHeight="true" outlineLevel="0" collapsed="false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customFormat="false" ht="19.5" hidden="false" customHeight="true" outlineLevel="0" collapsed="false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customFormat="false" ht="19.5" hidden="false" customHeight="true" outlineLevel="0" collapsed="false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customFormat="false" ht="19.5" hidden="false" customHeight="true" outlineLevel="0" collapsed="false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customFormat="false" ht="19.5" hidden="false" customHeight="true" outlineLevel="0" collapsed="false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customFormat="false" ht="19.5" hidden="false" customHeight="true" outlineLevel="0" collapsed="false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customFormat="false" ht="19.5" hidden="false" customHeight="true" outlineLevel="0" collapsed="false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customFormat="false" ht="19.5" hidden="false" customHeight="true" outlineLevel="0" collapsed="false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customFormat="false" ht="19.5" hidden="false" customHeight="true" outlineLevel="0" collapsed="false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customFormat="false" ht="19.5" hidden="false" customHeight="true" outlineLevel="0" collapsed="false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customFormat="false" ht="19.5" hidden="false" customHeight="true" outlineLevel="0" collapsed="false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customFormat="false" ht="19.5" hidden="false" customHeight="true" outlineLevel="0" collapsed="false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customFormat="false" ht="19.5" hidden="false" customHeight="true" outlineLevel="0" collapsed="false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customFormat="false" ht="19.5" hidden="false" customHeight="true" outlineLevel="0" collapsed="false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customFormat="false" ht="19.5" hidden="false" customHeight="true" outlineLevel="0" collapsed="false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customFormat="false" ht="19.5" hidden="false" customHeight="true" outlineLevel="0" collapsed="false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customFormat="false" ht="19.5" hidden="false" customHeight="true" outlineLevel="0" collapsed="false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customFormat="false" ht="19.5" hidden="false" customHeight="true" outlineLevel="0" collapsed="false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customFormat="false" ht="19.5" hidden="false" customHeight="true" outlineLevel="0" collapsed="false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customFormat="false" ht="19.5" hidden="false" customHeight="true" outlineLevel="0" collapsed="false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customFormat="false" ht="19.5" hidden="false" customHeight="true" outlineLevel="0" collapsed="false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customFormat="false" ht="19.5" hidden="false" customHeight="true" outlineLevel="0" collapsed="false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customFormat="false" ht="19.5" hidden="false" customHeight="true" outlineLevel="0" collapsed="false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customFormat="false" ht="19.5" hidden="false" customHeight="true" outlineLevel="0" collapsed="false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customFormat="false" ht="19.5" hidden="false" customHeight="true" outlineLevel="0" collapsed="false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customFormat="false" ht="19.5" hidden="false" customHeight="true" outlineLevel="0" collapsed="false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customFormat="false" ht="19.5" hidden="false" customHeight="true" outlineLevel="0" collapsed="false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customFormat="false" ht="19.5" hidden="false" customHeight="true" outlineLevel="0" collapsed="false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customFormat="false" ht="19.5" hidden="false" customHeight="true" outlineLevel="0" collapsed="false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customFormat="false" ht="19.5" hidden="false" customHeight="true" outlineLevel="0" collapsed="false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customFormat="false" ht="19.5" hidden="false" customHeight="true" outlineLevel="0" collapsed="false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customFormat="false" ht="19.5" hidden="false" customHeight="true" outlineLevel="0" collapsed="false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customFormat="false" ht="19.5" hidden="false" customHeight="true" outlineLevel="0" collapsed="false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customFormat="false" ht="19.5" hidden="false" customHeight="true" outlineLevel="0" collapsed="false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customFormat="false" ht="19.5" hidden="false" customHeight="true" outlineLevel="0" collapsed="false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customFormat="false" ht="19.5" hidden="false" customHeight="true" outlineLevel="0" collapsed="false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customFormat="false" ht="19.5" hidden="false" customHeight="true" outlineLevel="0" collapsed="false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customFormat="false" ht="19.5" hidden="false" customHeight="true" outlineLevel="0" collapsed="false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customFormat="false" ht="19.5" hidden="false" customHeight="true" outlineLevel="0" collapsed="false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customFormat="false" ht="19.5" hidden="false" customHeight="true" outlineLevel="0" collapsed="false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customFormat="false" ht="19.5" hidden="false" customHeight="true" outlineLevel="0" collapsed="false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customFormat="false" ht="19.5" hidden="false" customHeight="true" outlineLevel="0" collapsed="false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customFormat="false" ht="19.5" hidden="false" customHeight="true" outlineLevel="0" collapsed="false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customFormat="false" ht="19.5" hidden="false" customHeight="true" outlineLevel="0" collapsed="false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</sheetData>
  <printOptions headings="false" gridLines="false" gridLinesSet="true" horizontalCentered="true" verticalCentered="false"/>
  <pageMargins left="0.4" right="0.4" top="0.6" bottom="0.6" header="0.3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&amp;R&amp;"Calibri,Bold"&amp;K1f3864Controle Vivo de Climatização&amp;"Calibri,Regular"&amp;10 &amp;K595959  ·  GOP / 3ª CRE</oddHeader>
    <oddFooter>&amp;C&amp;9 &amp;K595959Página &amp;P de &amp;N  ·  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3.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5" min="5" style="1" width="38"/>
    <col collapsed="false" customWidth="true" hidden="false" outlineLevel="0" max="7" min="6" style="1" width="21"/>
    <col collapsed="false" customWidth="true" hidden="false" outlineLevel="0" max="8" min="8" style="1" width="19"/>
    <col collapsed="false" customWidth="true" hidden="false" outlineLevel="0" max="9" min="9" style="1" width="22"/>
    <col collapsed="false" customWidth="true" hidden="false" outlineLevel="0" max="10" min="10" style="1" width="25"/>
    <col collapsed="false" customWidth="true" hidden="false" outlineLevel="0" max="11" min="11" style="1" width="26"/>
    <col collapsed="false" customWidth="true" hidden="false" outlineLevel="0" max="12" min="12" style="1" width="27"/>
    <col collapsed="false" customWidth="true" hidden="false" outlineLevel="0" max="13" min="13" style="1" width="28"/>
    <col collapsed="false" customWidth="true" hidden="false" outlineLevel="0" max="14" min="14" style="1" width="22"/>
    <col collapsed="false" customWidth="true" hidden="false" outlineLevel="0" max="16" min="15" style="1" width="40"/>
    <col collapsed="false" customWidth="true" hidden="false" outlineLevel="0" max="17" min="17" style="1" width="23"/>
    <col collapsed="false" customWidth="true" hidden="false" outlineLevel="0" max="35" min="18" style="1" width="12"/>
  </cols>
  <sheetData>
    <row r="1" customFormat="false" ht="30" hidden="false" customHeight="true" outlineLevel="0" collapsed="false">
      <c r="A1" s="60" t="s">
        <v>466</v>
      </c>
      <c r="B1" s="60" t="s">
        <v>467</v>
      </c>
      <c r="C1" s="60" t="s">
        <v>468</v>
      </c>
      <c r="D1" s="60" t="s">
        <v>469</v>
      </c>
      <c r="E1" s="60" t="s">
        <v>119</v>
      </c>
      <c r="F1" s="60" t="s">
        <v>470</v>
      </c>
      <c r="G1" s="60" t="s">
        <v>471</v>
      </c>
      <c r="H1" s="60" t="s">
        <v>472</v>
      </c>
      <c r="I1" s="60" t="s">
        <v>473</v>
      </c>
      <c r="J1" s="60" t="s">
        <v>474</v>
      </c>
      <c r="K1" s="60" t="s">
        <v>475</v>
      </c>
      <c r="L1" s="66" t="s">
        <v>476</v>
      </c>
      <c r="M1" s="60" t="s">
        <v>477</v>
      </c>
      <c r="N1" s="60" t="s">
        <v>478</v>
      </c>
      <c r="O1" s="60" t="s">
        <v>479</v>
      </c>
      <c r="P1" s="60" t="s">
        <v>480</v>
      </c>
      <c r="Q1" s="60" t="s">
        <v>481</v>
      </c>
      <c r="R1" s="132"/>
      <c r="S1" s="132"/>
      <c r="T1" s="132"/>
      <c r="U1" s="132"/>
      <c r="V1" s="132"/>
      <c r="W1" s="132"/>
      <c r="X1" s="132"/>
      <c r="Y1" s="132"/>
      <c r="Z1" s="132"/>
      <c r="AA1" s="133"/>
      <c r="AB1" s="133"/>
      <c r="AC1" s="133"/>
      <c r="AD1" s="133"/>
      <c r="AE1" s="133"/>
      <c r="AF1" s="133"/>
      <c r="AG1" s="133"/>
      <c r="AH1" s="133"/>
      <c r="AI1" s="133"/>
    </row>
    <row r="2" customFormat="false" ht="27.75" hidden="false" customHeight="true" outlineLevel="0" collapsed="false">
      <c r="A2" s="70" t="s">
        <v>482</v>
      </c>
      <c r="B2" s="70" t="n">
        <v>313502</v>
      </c>
      <c r="C2" s="70" t="s">
        <v>483</v>
      </c>
      <c r="D2" s="70" t="n">
        <v>11797</v>
      </c>
      <c r="E2" s="72" t="s">
        <v>484</v>
      </c>
      <c r="F2" s="134" t="n">
        <v>21</v>
      </c>
      <c r="G2" s="134" t="n">
        <v>21</v>
      </c>
      <c r="H2" s="134" t="n">
        <v>29</v>
      </c>
      <c r="I2" s="134" t="n">
        <v>0</v>
      </c>
      <c r="J2" s="134" t="n">
        <v>0</v>
      </c>
      <c r="K2" s="72" t="s">
        <v>485</v>
      </c>
      <c r="L2" s="70"/>
      <c r="M2" s="70" t="s">
        <v>486</v>
      </c>
      <c r="N2" s="70" t="s">
        <v>486</v>
      </c>
      <c r="O2" s="135" t="str">
        <f aca="false">IF(E2="","",IF(M2&lt;&gt;"Sim","Solicitar confirmação à unidade",IF(N2&lt;&gt;"Sim","Validar dados com a unidade pela GOP",IF(IFERROR(VALUE(J2),0)&gt;0,"Planejar instalação de "&amp;J2&amp;" aparelho(s)","Inventário em dia"))))</f>
        <v>Solicitar confirmação à unidade</v>
      </c>
      <c r="P2" s="72" t="s">
        <v>487</v>
      </c>
      <c r="Q2" s="72" t="s">
        <v>488</v>
      </c>
      <c r="R2" s="128"/>
      <c r="S2" s="128"/>
      <c r="T2" s="128"/>
      <c r="U2" s="128"/>
      <c r="V2" s="128"/>
      <c r="W2" s="128"/>
      <c r="X2" s="128"/>
      <c r="Y2" s="128"/>
      <c r="Z2" s="128"/>
      <c r="AA2" s="78"/>
      <c r="AB2" s="78"/>
      <c r="AC2" s="78"/>
      <c r="AD2" s="78"/>
      <c r="AE2" s="78"/>
      <c r="AF2" s="78"/>
      <c r="AG2" s="78"/>
      <c r="AH2" s="78"/>
      <c r="AI2" s="78"/>
    </row>
    <row r="3" customFormat="false" ht="27.75" hidden="false" customHeight="true" outlineLevel="0" collapsed="false">
      <c r="A3" s="79" t="s">
        <v>482</v>
      </c>
      <c r="B3" s="79" t="n">
        <v>312503</v>
      </c>
      <c r="C3" s="79" t="s">
        <v>489</v>
      </c>
      <c r="D3" s="79" t="n">
        <v>11858</v>
      </c>
      <c r="E3" s="81" t="s">
        <v>490</v>
      </c>
      <c r="F3" s="136" t="n">
        <v>28</v>
      </c>
      <c r="G3" s="136" t="n">
        <v>28</v>
      </c>
      <c r="H3" s="136" t="n">
        <v>37</v>
      </c>
      <c r="I3" s="136" t="n">
        <v>0</v>
      </c>
      <c r="J3" s="136" t="n">
        <v>18</v>
      </c>
      <c r="K3" s="81" t="s">
        <v>485</v>
      </c>
      <c r="L3" s="79"/>
      <c r="M3" s="79" t="s">
        <v>486</v>
      </c>
      <c r="N3" s="79" t="s">
        <v>486</v>
      </c>
      <c r="O3" s="137" t="str">
        <f aca="false">IF(E3="","",IF(M3&lt;&gt;"Sim","Solicitar confirmação à unidade",IF(N3&lt;&gt;"Sim","Validar dados com a unidade pela GOP",IF(IFERROR(VALUE(J3),0)&gt;0,"Planejar instalação de "&amp;J3&amp;" aparelho(s)","Inventário em dia"))))</f>
        <v>Solicitar confirmação à unidade</v>
      </c>
      <c r="P3" s="81" t="s">
        <v>491</v>
      </c>
      <c r="Q3" s="81" t="s">
        <v>492</v>
      </c>
      <c r="R3" s="128"/>
      <c r="S3" s="128"/>
      <c r="T3" s="128"/>
      <c r="U3" s="128"/>
      <c r="V3" s="128"/>
      <c r="W3" s="128"/>
      <c r="X3" s="128"/>
      <c r="Y3" s="128"/>
      <c r="Z3" s="128"/>
      <c r="AA3" s="78"/>
      <c r="AB3" s="78"/>
      <c r="AC3" s="78"/>
      <c r="AD3" s="78"/>
      <c r="AE3" s="78"/>
      <c r="AF3" s="78"/>
      <c r="AG3" s="78"/>
      <c r="AH3" s="78"/>
      <c r="AI3" s="78"/>
    </row>
    <row r="4" customFormat="false" ht="27.75" hidden="false" customHeight="true" outlineLevel="0" collapsed="false">
      <c r="A4" s="70" t="s">
        <v>482</v>
      </c>
      <c r="B4" s="70" t="n">
        <v>312501</v>
      </c>
      <c r="C4" s="70" t="s">
        <v>493</v>
      </c>
      <c r="D4" s="70" t="n">
        <v>11864</v>
      </c>
      <c r="E4" s="72" t="s">
        <v>494</v>
      </c>
      <c r="F4" s="134" t="n">
        <v>18</v>
      </c>
      <c r="G4" s="134" t="n">
        <v>28</v>
      </c>
      <c r="H4" s="134" t="n">
        <v>31</v>
      </c>
      <c r="I4" s="134" t="n">
        <v>0</v>
      </c>
      <c r="J4" s="134" t="n">
        <v>12</v>
      </c>
      <c r="K4" s="72" t="s">
        <v>485</v>
      </c>
      <c r="L4" s="70"/>
      <c r="M4" s="70" t="s">
        <v>486</v>
      </c>
      <c r="N4" s="70" t="s">
        <v>486</v>
      </c>
      <c r="O4" s="135" t="str">
        <f aca="false">IF(E4="","",IF(M4&lt;&gt;"Sim","Solicitar confirmação à unidade",IF(N4&lt;&gt;"Sim","Validar dados com a unidade pela GOP",IF(IFERROR(VALUE(J4),0)&gt;0,"Planejar instalação de "&amp;J4&amp;" aparelho(s)","Inventário em dia"))))</f>
        <v>Solicitar confirmação à unidade</v>
      </c>
      <c r="P4" s="72" t="s">
        <v>495</v>
      </c>
      <c r="Q4" s="72" t="s">
        <v>496</v>
      </c>
      <c r="R4" s="128"/>
      <c r="S4" s="128"/>
      <c r="T4" s="128"/>
      <c r="U4" s="128"/>
      <c r="V4" s="128"/>
      <c r="W4" s="128"/>
      <c r="X4" s="128"/>
      <c r="Y4" s="128"/>
      <c r="Z4" s="128"/>
      <c r="AA4" s="78"/>
      <c r="AB4" s="78"/>
      <c r="AC4" s="78"/>
      <c r="AD4" s="78"/>
      <c r="AE4" s="78"/>
      <c r="AF4" s="78"/>
      <c r="AG4" s="78"/>
      <c r="AH4" s="78"/>
      <c r="AI4" s="78"/>
    </row>
    <row r="5" customFormat="false" ht="27.75" hidden="false" customHeight="true" outlineLevel="0" collapsed="false">
      <c r="A5" s="79" t="s">
        <v>482</v>
      </c>
      <c r="B5" s="79" t="n">
        <v>312502</v>
      </c>
      <c r="C5" s="79" t="s">
        <v>497</v>
      </c>
      <c r="D5" s="79" t="n">
        <v>11859</v>
      </c>
      <c r="E5" s="81" t="s">
        <v>174</v>
      </c>
      <c r="F5" s="136" t="n">
        <v>19</v>
      </c>
      <c r="G5" s="136" t="n">
        <v>15</v>
      </c>
      <c r="H5" s="136" t="n">
        <v>15</v>
      </c>
      <c r="I5" s="136" t="n">
        <v>4</v>
      </c>
      <c r="J5" s="136" t="n">
        <v>4</v>
      </c>
      <c r="K5" s="81" t="s">
        <v>485</v>
      </c>
      <c r="L5" s="79"/>
      <c r="M5" s="79" t="s">
        <v>486</v>
      </c>
      <c r="N5" s="79" t="s">
        <v>486</v>
      </c>
      <c r="O5" s="137" t="str">
        <f aca="false">IF(E5="","",IF(M5&lt;&gt;"Sim","Solicitar confirmação à unidade",IF(N5&lt;&gt;"Sim","Validar dados com a unidade pela GOP",IF(IFERROR(VALUE(J5),0)&gt;0,"Planejar instalação de "&amp;J5&amp;" aparelho(s)","Inventário em dia"))))</f>
        <v>Solicitar confirmação à unidade</v>
      </c>
      <c r="P5" s="81" t="s">
        <v>498</v>
      </c>
      <c r="Q5" s="81" t="s">
        <v>496</v>
      </c>
      <c r="R5" s="128"/>
      <c r="S5" s="128"/>
      <c r="T5" s="128"/>
      <c r="U5" s="128"/>
      <c r="V5" s="128"/>
      <c r="W5" s="128"/>
      <c r="X5" s="128"/>
      <c r="Y5" s="128"/>
      <c r="Z5" s="128"/>
      <c r="AA5" s="78"/>
      <c r="AB5" s="78"/>
      <c r="AC5" s="78"/>
      <c r="AD5" s="78"/>
      <c r="AE5" s="78"/>
      <c r="AF5" s="78"/>
      <c r="AG5" s="78"/>
      <c r="AH5" s="78"/>
      <c r="AI5" s="78"/>
    </row>
    <row r="6" customFormat="false" ht="27.75" hidden="false" customHeight="true" outlineLevel="0" collapsed="false">
      <c r="A6" s="70" t="s">
        <v>482</v>
      </c>
      <c r="B6" s="70" t="n">
        <v>328501</v>
      </c>
      <c r="C6" s="70" t="s">
        <v>499</v>
      </c>
      <c r="D6" s="70" t="n">
        <v>11789</v>
      </c>
      <c r="E6" s="72" t="s">
        <v>255</v>
      </c>
      <c r="F6" s="134" t="n">
        <v>22</v>
      </c>
      <c r="G6" s="134" t="n">
        <v>21</v>
      </c>
      <c r="H6" s="134" t="n">
        <v>27</v>
      </c>
      <c r="I6" s="134" t="n">
        <v>1</v>
      </c>
      <c r="J6" s="134" t="n">
        <v>1</v>
      </c>
      <c r="K6" s="72" t="s">
        <v>485</v>
      </c>
      <c r="L6" s="70"/>
      <c r="M6" s="70" t="s">
        <v>486</v>
      </c>
      <c r="N6" s="70" t="s">
        <v>486</v>
      </c>
      <c r="O6" s="135" t="str">
        <f aca="false">IF(E6="","",IF(M6&lt;&gt;"Sim","Solicitar confirmação à unidade",IF(N6&lt;&gt;"Sim","Validar dados com a unidade pela GOP",IF(IFERROR(VALUE(J6),0)&gt;0,"Planejar instalação de "&amp;J6&amp;" aparelho(s)","Inventário em dia"))))</f>
        <v>Solicitar confirmação à unidade</v>
      </c>
      <c r="P6" s="72" t="s">
        <v>500</v>
      </c>
      <c r="Q6" s="72" t="s">
        <v>501</v>
      </c>
      <c r="R6" s="128"/>
      <c r="S6" s="128"/>
      <c r="T6" s="128"/>
      <c r="U6" s="128"/>
      <c r="V6" s="128"/>
      <c r="W6" s="128"/>
      <c r="X6" s="128"/>
      <c r="Y6" s="128"/>
      <c r="Z6" s="128"/>
      <c r="AA6" s="78"/>
      <c r="AB6" s="78"/>
      <c r="AC6" s="78"/>
      <c r="AD6" s="78"/>
      <c r="AE6" s="78"/>
      <c r="AF6" s="78"/>
      <c r="AG6" s="78"/>
      <c r="AH6" s="78"/>
      <c r="AI6" s="78"/>
    </row>
    <row r="7" customFormat="false" ht="27.75" hidden="false" customHeight="true" outlineLevel="0" collapsed="false">
      <c r="A7" s="79" t="s">
        <v>482</v>
      </c>
      <c r="B7" s="79" t="n">
        <v>313602</v>
      </c>
      <c r="C7" s="79" t="s">
        <v>502</v>
      </c>
      <c r="D7" s="79" t="n">
        <v>17901</v>
      </c>
      <c r="E7" s="81" t="s">
        <v>503</v>
      </c>
      <c r="F7" s="136" t="n">
        <v>5</v>
      </c>
      <c r="G7" s="136" t="n">
        <v>9</v>
      </c>
      <c r="H7" s="136" t="n">
        <v>10</v>
      </c>
      <c r="I7" s="136" t="n">
        <v>0</v>
      </c>
      <c r="J7" s="136" t="n">
        <v>1</v>
      </c>
      <c r="K7" s="81" t="s">
        <v>485</v>
      </c>
      <c r="L7" s="79"/>
      <c r="M7" s="79" t="s">
        <v>486</v>
      </c>
      <c r="N7" s="79" t="s">
        <v>486</v>
      </c>
      <c r="O7" s="137" t="str">
        <f aca="false">IF(E7="","",IF(M7&lt;&gt;"Sim","Solicitar confirmação à unidade",IF(N7&lt;&gt;"Sim","Validar dados com a unidade pela GOP",IF(IFERROR(VALUE(J7),0)&gt;0,"Planejar instalação de "&amp;J7&amp;" aparelho(s)","Inventário em dia"))))</f>
        <v>Solicitar confirmação à unidade</v>
      </c>
      <c r="P7" s="81" t="s">
        <v>504</v>
      </c>
      <c r="Q7" s="81" t="s">
        <v>505</v>
      </c>
      <c r="R7" s="128"/>
      <c r="S7" s="128"/>
      <c r="T7" s="128"/>
      <c r="U7" s="128"/>
      <c r="V7" s="128"/>
      <c r="W7" s="128"/>
      <c r="X7" s="128"/>
      <c r="Y7" s="128"/>
      <c r="Z7" s="128"/>
      <c r="AA7" s="78"/>
      <c r="AB7" s="78"/>
      <c r="AC7" s="78"/>
      <c r="AD7" s="78"/>
      <c r="AE7" s="78"/>
      <c r="AF7" s="78"/>
      <c r="AG7" s="78"/>
      <c r="AH7" s="78"/>
      <c r="AI7" s="78"/>
    </row>
    <row r="8" customFormat="false" ht="27.75" hidden="false" customHeight="true" outlineLevel="0" collapsed="false">
      <c r="A8" s="70" t="s">
        <v>482</v>
      </c>
      <c r="B8" s="70" t="n">
        <v>312601</v>
      </c>
      <c r="C8" s="70" t="s">
        <v>506</v>
      </c>
      <c r="D8" s="70" t="n">
        <v>18660</v>
      </c>
      <c r="E8" s="72" t="s">
        <v>507</v>
      </c>
      <c r="F8" s="134" t="n">
        <v>6</v>
      </c>
      <c r="G8" s="134" t="n">
        <v>9</v>
      </c>
      <c r="H8" s="134" t="n">
        <v>13</v>
      </c>
      <c r="I8" s="134" t="n">
        <v>0</v>
      </c>
      <c r="J8" s="134" t="n">
        <v>4</v>
      </c>
      <c r="K8" s="72" t="s">
        <v>485</v>
      </c>
      <c r="L8" s="70"/>
      <c r="M8" s="70" t="s">
        <v>486</v>
      </c>
      <c r="N8" s="70" t="s">
        <v>486</v>
      </c>
      <c r="O8" s="135" t="str">
        <f aca="false">IF(E8="","",IF(M8&lt;&gt;"Sim","Solicitar confirmação à unidade",IF(N8&lt;&gt;"Sim","Validar dados com a unidade pela GOP",IF(IFERROR(VALUE(J8),0)&gt;0,"Planejar instalação de "&amp;J8&amp;" aparelho(s)","Inventário em dia"))))</f>
        <v>Solicitar confirmação à unidade</v>
      </c>
      <c r="P8" s="72" t="s">
        <v>508</v>
      </c>
      <c r="Q8" s="72" t="s">
        <v>492</v>
      </c>
      <c r="R8" s="128"/>
      <c r="S8" s="128"/>
      <c r="T8" s="128"/>
      <c r="U8" s="128"/>
      <c r="V8" s="128"/>
      <c r="W8" s="128"/>
      <c r="X8" s="128"/>
      <c r="Y8" s="128"/>
      <c r="Z8" s="128"/>
      <c r="AA8" s="78"/>
      <c r="AB8" s="78"/>
      <c r="AC8" s="78"/>
      <c r="AD8" s="78"/>
      <c r="AE8" s="78"/>
      <c r="AF8" s="78"/>
      <c r="AG8" s="78"/>
      <c r="AH8" s="78"/>
      <c r="AI8" s="78"/>
    </row>
    <row r="9" customFormat="false" ht="27.75" hidden="false" customHeight="true" outlineLevel="0" collapsed="false">
      <c r="A9" s="79" t="s">
        <v>482</v>
      </c>
      <c r="B9" s="79" t="n">
        <v>313606</v>
      </c>
      <c r="C9" s="79" t="s">
        <v>509</v>
      </c>
      <c r="D9" s="79" t="n">
        <v>18659</v>
      </c>
      <c r="E9" s="81" t="s">
        <v>510</v>
      </c>
      <c r="F9" s="136" t="n">
        <v>4</v>
      </c>
      <c r="G9" s="136" t="n">
        <v>4</v>
      </c>
      <c r="H9" s="136" t="n">
        <v>6</v>
      </c>
      <c r="I9" s="136" t="n">
        <v>0</v>
      </c>
      <c r="J9" s="136" t="n">
        <v>0</v>
      </c>
      <c r="K9" s="81" t="s">
        <v>485</v>
      </c>
      <c r="L9" s="79"/>
      <c r="M9" s="79" t="s">
        <v>486</v>
      </c>
      <c r="N9" s="79" t="s">
        <v>486</v>
      </c>
      <c r="O9" s="137" t="str">
        <f aca="false">IF(E9="","",IF(M9&lt;&gt;"Sim","Solicitar confirmação à unidade",IF(N9&lt;&gt;"Sim","Validar dados com a unidade pela GOP",IF(IFERROR(VALUE(J9),0)&gt;0,"Planejar instalação de "&amp;J9&amp;" aparelho(s)","Inventário em dia"))))</f>
        <v>Solicitar confirmação à unidade</v>
      </c>
      <c r="P9" s="81" t="s">
        <v>511</v>
      </c>
      <c r="Q9" s="81" t="s">
        <v>512</v>
      </c>
      <c r="R9" s="128"/>
      <c r="S9" s="128"/>
      <c r="T9" s="128"/>
      <c r="U9" s="128"/>
      <c r="V9" s="128"/>
      <c r="W9" s="128"/>
      <c r="X9" s="128"/>
      <c r="Y9" s="128"/>
      <c r="Z9" s="128"/>
      <c r="AA9" s="78"/>
      <c r="AB9" s="78"/>
      <c r="AC9" s="78"/>
      <c r="AD9" s="78"/>
      <c r="AE9" s="78"/>
      <c r="AF9" s="78"/>
      <c r="AG9" s="78"/>
      <c r="AH9" s="78"/>
      <c r="AI9" s="78"/>
    </row>
    <row r="10" customFormat="false" ht="27.75" hidden="false" customHeight="true" outlineLevel="0" collapsed="false">
      <c r="A10" s="70" t="s">
        <v>482</v>
      </c>
      <c r="B10" s="70" t="n">
        <v>313610</v>
      </c>
      <c r="C10" s="70" t="s">
        <v>513</v>
      </c>
      <c r="D10" s="70" t="n">
        <v>39767</v>
      </c>
      <c r="E10" s="72" t="s">
        <v>514</v>
      </c>
      <c r="F10" s="134" t="n">
        <v>6</v>
      </c>
      <c r="G10" s="134" t="n">
        <v>7</v>
      </c>
      <c r="H10" s="134" t="n">
        <v>9</v>
      </c>
      <c r="I10" s="134" t="n">
        <v>0</v>
      </c>
      <c r="J10" s="134" t="n">
        <v>1</v>
      </c>
      <c r="K10" s="72" t="s">
        <v>485</v>
      </c>
      <c r="L10" s="70"/>
      <c r="M10" s="70" t="s">
        <v>486</v>
      </c>
      <c r="N10" s="70" t="s">
        <v>486</v>
      </c>
      <c r="O10" s="135" t="str">
        <f aca="false">IF(E10="","",IF(M10&lt;&gt;"Sim","Solicitar confirmação à unidade",IF(N10&lt;&gt;"Sim","Validar dados com a unidade pela GOP",IF(IFERROR(VALUE(J10),0)&gt;0,"Planejar instalação de "&amp;J10&amp;" aparelho(s)","Inventário em dia"))))</f>
        <v>Solicitar confirmação à unidade</v>
      </c>
      <c r="P10" s="72" t="s">
        <v>515</v>
      </c>
      <c r="Q10" s="72" t="s">
        <v>505</v>
      </c>
      <c r="R10" s="128"/>
      <c r="S10" s="128"/>
      <c r="T10" s="128"/>
      <c r="U10" s="128"/>
      <c r="V10" s="128"/>
      <c r="W10" s="128"/>
      <c r="X10" s="128"/>
      <c r="Y10" s="128"/>
      <c r="Z10" s="128"/>
      <c r="AA10" s="78"/>
      <c r="AB10" s="78"/>
      <c r="AC10" s="78"/>
      <c r="AD10" s="78"/>
      <c r="AE10" s="78"/>
      <c r="AF10" s="78"/>
      <c r="AG10" s="78"/>
      <c r="AH10" s="78"/>
      <c r="AI10" s="78"/>
    </row>
    <row r="11" customFormat="false" ht="27.75" hidden="false" customHeight="true" outlineLevel="0" collapsed="false">
      <c r="A11" s="79" t="s">
        <v>482</v>
      </c>
      <c r="B11" s="79" t="n">
        <v>312602</v>
      </c>
      <c r="C11" s="79" t="s">
        <v>516</v>
      </c>
      <c r="D11" s="79" t="n">
        <v>18685</v>
      </c>
      <c r="E11" s="81" t="s">
        <v>517</v>
      </c>
      <c r="F11" s="136" t="n">
        <v>4</v>
      </c>
      <c r="G11" s="136" t="n">
        <v>8</v>
      </c>
      <c r="H11" s="136" t="n">
        <v>14</v>
      </c>
      <c r="I11" s="136" t="n">
        <v>0</v>
      </c>
      <c r="J11" s="136" t="n">
        <v>0</v>
      </c>
      <c r="K11" s="81" t="s">
        <v>485</v>
      </c>
      <c r="L11" s="79"/>
      <c r="M11" s="79" t="s">
        <v>486</v>
      </c>
      <c r="N11" s="79" t="s">
        <v>486</v>
      </c>
      <c r="O11" s="137" t="str">
        <f aca="false">IF(E11="","",IF(M11&lt;&gt;"Sim","Solicitar confirmação à unidade",IF(N11&lt;&gt;"Sim","Validar dados com a unidade pela GOP",IF(IFERROR(VALUE(J11),0)&gt;0,"Planejar instalação de "&amp;J11&amp;" aparelho(s)","Inventário em dia"))))</f>
        <v>Solicitar confirmação à unidade</v>
      </c>
      <c r="P11" s="81" t="s">
        <v>518</v>
      </c>
      <c r="Q11" s="81" t="s">
        <v>519</v>
      </c>
      <c r="R11" s="128"/>
      <c r="S11" s="128"/>
      <c r="T11" s="128"/>
      <c r="U11" s="128"/>
      <c r="V11" s="128"/>
      <c r="W11" s="128"/>
      <c r="X11" s="128"/>
      <c r="Y11" s="128"/>
      <c r="Z11" s="128"/>
      <c r="AA11" s="78"/>
      <c r="AB11" s="78"/>
      <c r="AC11" s="78"/>
      <c r="AD11" s="78"/>
      <c r="AE11" s="78"/>
      <c r="AF11" s="78"/>
      <c r="AG11" s="78"/>
      <c r="AH11" s="78"/>
      <c r="AI11" s="78"/>
    </row>
    <row r="12" customFormat="false" ht="27.75" hidden="false" customHeight="true" outlineLevel="0" collapsed="false">
      <c r="A12" s="70" t="s">
        <v>482</v>
      </c>
      <c r="B12" s="70" t="n">
        <v>328601</v>
      </c>
      <c r="C12" s="70" t="s">
        <v>520</v>
      </c>
      <c r="D12" s="70" t="n">
        <v>18694</v>
      </c>
      <c r="E12" s="72" t="s">
        <v>179</v>
      </c>
      <c r="F12" s="134" t="n">
        <v>6</v>
      </c>
      <c r="G12" s="134" t="n">
        <v>8</v>
      </c>
      <c r="H12" s="134" t="n">
        <v>10</v>
      </c>
      <c r="I12" s="134" t="n">
        <v>1</v>
      </c>
      <c r="J12" s="134" t="n">
        <v>4</v>
      </c>
      <c r="K12" s="72" t="s">
        <v>485</v>
      </c>
      <c r="L12" s="70"/>
      <c r="M12" s="70" t="s">
        <v>486</v>
      </c>
      <c r="N12" s="70" t="s">
        <v>486</v>
      </c>
      <c r="O12" s="135" t="str">
        <f aca="false">IF(E12="","",IF(M12&lt;&gt;"Sim","Solicitar confirmação à unidade",IF(N12&lt;&gt;"Sim","Validar dados com a unidade pela GOP",IF(IFERROR(VALUE(J12),0)&gt;0,"Planejar instalação de "&amp;J12&amp;" aparelho(s)","Inventário em dia"))))</f>
        <v>Solicitar confirmação à unidade</v>
      </c>
      <c r="P12" s="72" t="s">
        <v>521</v>
      </c>
      <c r="Q12" s="72" t="s">
        <v>501</v>
      </c>
      <c r="R12" s="128"/>
      <c r="S12" s="128"/>
      <c r="T12" s="128"/>
      <c r="U12" s="128"/>
      <c r="V12" s="128"/>
      <c r="W12" s="128"/>
      <c r="X12" s="128"/>
      <c r="Y12" s="128"/>
      <c r="Z12" s="128"/>
      <c r="AA12" s="78"/>
      <c r="AB12" s="78"/>
      <c r="AC12" s="78"/>
      <c r="AD12" s="78"/>
      <c r="AE12" s="78"/>
      <c r="AF12" s="78"/>
      <c r="AG12" s="78"/>
      <c r="AH12" s="78"/>
      <c r="AI12" s="78"/>
    </row>
    <row r="13" customFormat="false" ht="27.75" hidden="false" customHeight="true" outlineLevel="0" collapsed="false">
      <c r="A13" s="79" t="s">
        <v>482</v>
      </c>
      <c r="B13" s="79" t="n">
        <v>313611</v>
      </c>
      <c r="C13" s="79" t="s">
        <v>522</v>
      </c>
      <c r="D13" s="79" t="n">
        <v>39766</v>
      </c>
      <c r="E13" s="81" t="s">
        <v>523</v>
      </c>
      <c r="F13" s="136" t="n">
        <v>6</v>
      </c>
      <c r="G13" s="136" t="n">
        <v>11</v>
      </c>
      <c r="H13" s="136" t="n">
        <v>14</v>
      </c>
      <c r="I13" s="136" t="n">
        <v>0</v>
      </c>
      <c r="J13" s="136" t="n">
        <v>1</v>
      </c>
      <c r="K13" s="81" t="s">
        <v>485</v>
      </c>
      <c r="L13" s="79"/>
      <c r="M13" s="79" t="s">
        <v>486</v>
      </c>
      <c r="N13" s="79" t="s">
        <v>486</v>
      </c>
      <c r="O13" s="137" t="str">
        <f aca="false">IF(E13="","",IF(M13&lt;&gt;"Sim","Solicitar confirmação à unidade",IF(N13&lt;&gt;"Sim","Validar dados com a unidade pela GOP",IF(IFERROR(VALUE(J13),0)&gt;0,"Planejar instalação de "&amp;J13&amp;" aparelho(s)","Inventário em dia"))))</f>
        <v>Solicitar confirmação à unidade</v>
      </c>
      <c r="P13" s="81" t="s">
        <v>524</v>
      </c>
      <c r="Q13" s="81" t="s">
        <v>488</v>
      </c>
      <c r="R13" s="128"/>
      <c r="S13" s="128"/>
      <c r="T13" s="128"/>
      <c r="U13" s="128"/>
      <c r="V13" s="128"/>
      <c r="W13" s="128"/>
      <c r="X13" s="128"/>
      <c r="Y13" s="128"/>
      <c r="Z13" s="128"/>
      <c r="AA13" s="78"/>
      <c r="AB13" s="78"/>
      <c r="AC13" s="78"/>
      <c r="AD13" s="78"/>
      <c r="AE13" s="78"/>
      <c r="AF13" s="78"/>
      <c r="AG13" s="78"/>
      <c r="AH13" s="78"/>
      <c r="AI13" s="78"/>
    </row>
    <row r="14" customFormat="false" ht="27.75" hidden="false" customHeight="true" outlineLevel="0" collapsed="false">
      <c r="A14" s="70" t="s">
        <v>482</v>
      </c>
      <c r="B14" s="70" t="n">
        <v>330601</v>
      </c>
      <c r="C14" s="70" t="s">
        <v>525</v>
      </c>
      <c r="D14" s="70" t="n">
        <v>18704</v>
      </c>
      <c r="E14" s="72" t="s">
        <v>267</v>
      </c>
      <c r="F14" s="134" t="n">
        <v>4</v>
      </c>
      <c r="G14" s="134" t="n">
        <v>8</v>
      </c>
      <c r="H14" s="134" t="n">
        <v>9</v>
      </c>
      <c r="I14" s="134" t="n">
        <v>0</v>
      </c>
      <c r="J14" s="134" t="n">
        <v>1</v>
      </c>
      <c r="K14" s="72" t="s">
        <v>485</v>
      </c>
      <c r="L14" s="70"/>
      <c r="M14" s="70" t="s">
        <v>486</v>
      </c>
      <c r="N14" s="70" t="s">
        <v>486</v>
      </c>
      <c r="O14" s="135" t="str">
        <f aca="false">IF(E14="","",IF(M14&lt;&gt;"Sim","Solicitar confirmação à unidade",IF(N14&lt;&gt;"Sim","Validar dados com a unidade pela GOP",IF(IFERROR(VALUE(J14),0)&gt;0,"Planejar instalação de "&amp;J14&amp;" aparelho(s)","Inventário em dia"))))</f>
        <v>Solicitar confirmação à unidade</v>
      </c>
      <c r="P14" s="72" t="s">
        <v>526</v>
      </c>
      <c r="Q14" s="72" t="s">
        <v>527</v>
      </c>
      <c r="R14" s="128"/>
      <c r="S14" s="128"/>
      <c r="T14" s="128"/>
      <c r="U14" s="128"/>
      <c r="V14" s="128"/>
      <c r="W14" s="128"/>
      <c r="X14" s="128"/>
      <c r="Y14" s="128"/>
      <c r="Z14" s="128"/>
      <c r="AA14" s="78"/>
      <c r="AB14" s="78"/>
      <c r="AC14" s="78"/>
      <c r="AD14" s="78"/>
      <c r="AE14" s="78"/>
      <c r="AF14" s="78"/>
      <c r="AG14" s="78"/>
      <c r="AH14" s="78"/>
      <c r="AI14" s="78"/>
    </row>
    <row r="15" customFormat="false" ht="27.75" hidden="false" customHeight="true" outlineLevel="0" collapsed="false">
      <c r="A15" s="79" t="s">
        <v>482</v>
      </c>
      <c r="B15" s="79" t="n">
        <v>313612</v>
      </c>
      <c r="C15" s="79" t="s">
        <v>528</v>
      </c>
      <c r="D15" s="79" t="n">
        <v>39765</v>
      </c>
      <c r="E15" s="81" t="s">
        <v>529</v>
      </c>
      <c r="F15" s="136" t="n">
        <v>6</v>
      </c>
      <c r="G15" s="136" t="n">
        <v>6</v>
      </c>
      <c r="H15" s="136" t="n">
        <v>13</v>
      </c>
      <c r="I15" s="136" t="n">
        <v>0</v>
      </c>
      <c r="J15" s="136" t="n">
        <v>1</v>
      </c>
      <c r="K15" s="81" t="s">
        <v>485</v>
      </c>
      <c r="L15" s="79"/>
      <c r="M15" s="79" t="s">
        <v>486</v>
      </c>
      <c r="N15" s="79" t="s">
        <v>486</v>
      </c>
      <c r="O15" s="137" t="str">
        <f aca="false">IF(E15="","",IF(M15&lt;&gt;"Sim","Solicitar confirmação à unidade",IF(N15&lt;&gt;"Sim","Validar dados com a unidade pela GOP",IF(IFERROR(VALUE(J15),0)&gt;0,"Planejar instalação de "&amp;J15&amp;" aparelho(s)","Inventário em dia"))))</f>
        <v>Solicitar confirmação à unidade</v>
      </c>
      <c r="P15" s="81" t="s">
        <v>530</v>
      </c>
      <c r="Q15" s="81" t="s">
        <v>531</v>
      </c>
      <c r="R15" s="128"/>
      <c r="S15" s="128"/>
      <c r="T15" s="128"/>
      <c r="U15" s="128"/>
      <c r="V15" s="128"/>
      <c r="W15" s="128"/>
      <c r="X15" s="128"/>
      <c r="Y15" s="128"/>
      <c r="Z15" s="128"/>
      <c r="AA15" s="78"/>
      <c r="AB15" s="78"/>
      <c r="AC15" s="78"/>
      <c r="AD15" s="78"/>
      <c r="AE15" s="78"/>
      <c r="AF15" s="78"/>
      <c r="AG15" s="78"/>
      <c r="AH15" s="78"/>
      <c r="AI15" s="78"/>
    </row>
    <row r="16" customFormat="false" ht="27.75" hidden="false" customHeight="true" outlineLevel="0" collapsed="false">
      <c r="A16" s="70" t="s">
        <v>482</v>
      </c>
      <c r="B16" s="70" t="n">
        <v>313604</v>
      </c>
      <c r="C16" s="70" t="s">
        <v>532</v>
      </c>
      <c r="D16" s="70" t="n">
        <v>18619</v>
      </c>
      <c r="E16" s="72" t="s">
        <v>533</v>
      </c>
      <c r="F16" s="134" t="n">
        <v>5</v>
      </c>
      <c r="G16" s="134" t="n">
        <v>10</v>
      </c>
      <c r="H16" s="134" t="n">
        <v>13</v>
      </c>
      <c r="I16" s="134" t="n">
        <v>0</v>
      </c>
      <c r="J16" s="134" t="n">
        <v>0</v>
      </c>
      <c r="K16" s="72" t="s">
        <v>485</v>
      </c>
      <c r="L16" s="70"/>
      <c r="M16" s="70" t="s">
        <v>486</v>
      </c>
      <c r="N16" s="70" t="s">
        <v>486</v>
      </c>
      <c r="O16" s="135" t="str">
        <f aca="false">IF(E16="","",IF(M16&lt;&gt;"Sim","Solicitar confirmação à unidade",IF(N16&lt;&gt;"Sim","Validar dados com a unidade pela GOP",IF(IFERROR(VALUE(J16),0)&gt;0,"Planejar instalação de "&amp;J16&amp;" aparelho(s)","Inventário em dia"))))</f>
        <v>Solicitar confirmação à unidade</v>
      </c>
      <c r="P16" s="72" t="s">
        <v>534</v>
      </c>
      <c r="Q16" s="72" t="s">
        <v>488</v>
      </c>
      <c r="R16" s="128"/>
      <c r="S16" s="128"/>
      <c r="T16" s="128"/>
      <c r="U16" s="128"/>
      <c r="V16" s="128"/>
      <c r="W16" s="128"/>
      <c r="X16" s="128"/>
      <c r="Y16" s="128"/>
      <c r="Z16" s="128"/>
      <c r="AA16" s="78"/>
      <c r="AB16" s="78"/>
      <c r="AC16" s="78"/>
      <c r="AD16" s="78"/>
      <c r="AE16" s="78"/>
      <c r="AF16" s="78"/>
      <c r="AG16" s="78"/>
      <c r="AH16" s="78"/>
      <c r="AI16" s="78"/>
    </row>
    <row r="17" customFormat="false" ht="27.75" hidden="false" customHeight="true" outlineLevel="0" collapsed="false">
      <c r="A17" s="79" t="s">
        <v>482</v>
      </c>
      <c r="B17" s="79" t="n">
        <v>330602</v>
      </c>
      <c r="C17" s="79" t="s">
        <v>535</v>
      </c>
      <c r="D17" s="79" t="n">
        <v>18735</v>
      </c>
      <c r="E17" s="81" t="s">
        <v>536</v>
      </c>
      <c r="F17" s="136" t="n">
        <v>6</v>
      </c>
      <c r="G17" s="136" t="n">
        <v>11</v>
      </c>
      <c r="H17" s="136" t="n">
        <v>16</v>
      </c>
      <c r="I17" s="136" t="n">
        <v>0</v>
      </c>
      <c r="J17" s="136" t="n">
        <v>1</v>
      </c>
      <c r="K17" s="81" t="s">
        <v>485</v>
      </c>
      <c r="L17" s="79"/>
      <c r="M17" s="79" t="s">
        <v>486</v>
      </c>
      <c r="N17" s="79" t="s">
        <v>486</v>
      </c>
      <c r="O17" s="137" t="str">
        <f aca="false">IF(E17="","",IF(M17&lt;&gt;"Sim","Solicitar confirmação à unidade",IF(N17&lt;&gt;"Sim","Validar dados com a unidade pela GOP",IF(IFERROR(VALUE(J17),0)&gt;0,"Planejar instalação de "&amp;J17&amp;" aparelho(s)","Inventário em dia"))))</f>
        <v>Solicitar confirmação à unidade</v>
      </c>
      <c r="P17" s="81" t="s">
        <v>537</v>
      </c>
      <c r="Q17" s="81" t="s">
        <v>527</v>
      </c>
      <c r="R17" s="128"/>
      <c r="S17" s="128"/>
      <c r="T17" s="128"/>
      <c r="U17" s="128"/>
      <c r="V17" s="128"/>
      <c r="W17" s="128"/>
      <c r="X17" s="128"/>
      <c r="Y17" s="128"/>
      <c r="Z17" s="128"/>
      <c r="AA17" s="78"/>
      <c r="AB17" s="78"/>
      <c r="AC17" s="78"/>
      <c r="AD17" s="78"/>
      <c r="AE17" s="78"/>
      <c r="AF17" s="78"/>
      <c r="AG17" s="78"/>
      <c r="AH17" s="78"/>
      <c r="AI17" s="78"/>
    </row>
    <row r="18" customFormat="false" ht="27.75" hidden="false" customHeight="true" outlineLevel="0" collapsed="false">
      <c r="A18" s="70" t="s">
        <v>482</v>
      </c>
      <c r="B18" s="70" t="n">
        <v>313607</v>
      </c>
      <c r="C18" s="70" t="s">
        <v>538</v>
      </c>
      <c r="D18" s="70" t="n">
        <v>18740</v>
      </c>
      <c r="E18" s="72" t="s">
        <v>539</v>
      </c>
      <c r="F18" s="134" t="n">
        <v>8</v>
      </c>
      <c r="G18" s="134" t="n">
        <v>9</v>
      </c>
      <c r="H18" s="134" t="n">
        <v>12</v>
      </c>
      <c r="I18" s="134" t="n">
        <v>0</v>
      </c>
      <c r="J18" s="134" t="n">
        <v>3</v>
      </c>
      <c r="K18" s="72" t="s">
        <v>485</v>
      </c>
      <c r="L18" s="70"/>
      <c r="M18" s="70" t="s">
        <v>486</v>
      </c>
      <c r="N18" s="70" t="s">
        <v>486</v>
      </c>
      <c r="O18" s="135" t="str">
        <f aca="false">IF(E18="","",IF(M18&lt;&gt;"Sim","Solicitar confirmação à unidade",IF(N18&lt;&gt;"Sim","Validar dados com a unidade pela GOP",IF(IFERROR(VALUE(J18),0)&gt;0,"Planejar instalação de "&amp;J18&amp;" aparelho(s)","Inventário em dia"))))</f>
        <v>Solicitar confirmação à unidade</v>
      </c>
      <c r="P18" s="72" t="s">
        <v>540</v>
      </c>
      <c r="Q18" s="72" t="s">
        <v>505</v>
      </c>
      <c r="R18" s="128"/>
      <c r="S18" s="128"/>
      <c r="T18" s="128"/>
      <c r="U18" s="128"/>
      <c r="V18" s="128"/>
      <c r="W18" s="128"/>
      <c r="X18" s="128"/>
      <c r="Y18" s="128"/>
      <c r="Z18" s="128"/>
      <c r="AA18" s="78"/>
      <c r="AB18" s="78"/>
      <c r="AC18" s="78"/>
      <c r="AD18" s="78"/>
      <c r="AE18" s="78"/>
      <c r="AF18" s="78"/>
      <c r="AG18" s="78"/>
      <c r="AH18" s="78"/>
      <c r="AI18" s="78"/>
    </row>
    <row r="19" customFormat="false" ht="27.75" hidden="false" customHeight="true" outlineLevel="0" collapsed="false">
      <c r="A19" s="79" t="s">
        <v>482</v>
      </c>
      <c r="B19" s="79" t="n">
        <v>313608</v>
      </c>
      <c r="C19" s="79" t="s">
        <v>541</v>
      </c>
      <c r="D19" s="79" t="n">
        <v>18746</v>
      </c>
      <c r="E19" s="81" t="s">
        <v>542</v>
      </c>
      <c r="F19" s="136" t="n">
        <v>6</v>
      </c>
      <c r="G19" s="136" t="n">
        <v>12</v>
      </c>
      <c r="H19" s="136" t="n">
        <v>14</v>
      </c>
      <c r="I19" s="136" t="n">
        <v>0</v>
      </c>
      <c r="J19" s="136" t="n">
        <v>0</v>
      </c>
      <c r="K19" s="81" t="s">
        <v>485</v>
      </c>
      <c r="L19" s="79"/>
      <c r="M19" s="79" t="s">
        <v>486</v>
      </c>
      <c r="N19" s="79" t="s">
        <v>486</v>
      </c>
      <c r="O19" s="137" t="str">
        <f aca="false">IF(E19="","",IF(M19&lt;&gt;"Sim","Solicitar confirmação à unidade",IF(N19&lt;&gt;"Sim","Validar dados com a unidade pela GOP",IF(IFERROR(VALUE(J19),0)&gt;0,"Planejar instalação de "&amp;J19&amp;" aparelho(s)","Inventário em dia"))))</f>
        <v>Solicitar confirmação à unidade</v>
      </c>
      <c r="P19" s="81" t="s">
        <v>543</v>
      </c>
      <c r="Q19" s="81" t="s">
        <v>544</v>
      </c>
      <c r="R19" s="128"/>
      <c r="S19" s="128"/>
      <c r="T19" s="128"/>
      <c r="U19" s="128"/>
      <c r="V19" s="128"/>
      <c r="W19" s="128"/>
      <c r="X19" s="128"/>
      <c r="Y19" s="128"/>
      <c r="Z19" s="128"/>
      <c r="AA19" s="78"/>
      <c r="AB19" s="78"/>
      <c r="AC19" s="78"/>
      <c r="AD19" s="78"/>
      <c r="AE19" s="78"/>
      <c r="AF19" s="78"/>
      <c r="AG19" s="78"/>
      <c r="AH19" s="78"/>
      <c r="AI19" s="78"/>
    </row>
    <row r="20" customFormat="false" ht="27.75" hidden="false" customHeight="true" outlineLevel="0" collapsed="false">
      <c r="A20" s="70" t="s">
        <v>482</v>
      </c>
      <c r="B20" s="70" t="n">
        <v>313609</v>
      </c>
      <c r="C20" s="70" t="s">
        <v>545</v>
      </c>
      <c r="D20" s="70" t="n">
        <v>39768</v>
      </c>
      <c r="E20" s="72" t="s">
        <v>546</v>
      </c>
      <c r="F20" s="134" t="n">
        <v>6</v>
      </c>
      <c r="G20" s="134" t="n">
        <v>8</v>
      </c>
      <c r="H20" s="134" t="n">
        <v>9</v>
      </c>
      <c r="I20" s="134" t="n">
        <v>0</v>
      </c>
      <c r="J20" s="134" t="n">
        <v>1</v>
      </c>
      <c r="K20" s="72" t="s">
        <v>485</v>
      </c>
      <c r="L20" s="70"/>
      <c r="M20" s="70" t="s">
        <v>486</v>
      </c>
      <c r="N20" s="70" t="s">
        <v>486</v>
      </c>
      <c r="O20" s="135" t="str">
        <f aca="false">IF(E20="","",IF(M20&lt;&gt;"Sim","Solicitar confirmação à unidade",IF(N20&lt;&gt;"Sim","Validar dados com a unidade pela GOP",IF(IFERROR(VALUE(J20),0)&gt;0,"Planejar instalação de "&amp;J20&amp;" aparelho(s)","Inventário em dia"))))</f>
        <v>Solicitar confirmação à unidade</v>
      </c>
      <c r="P20" s="72" t="s">
        <v>547</v>
      </c>
      <c r="Q20" s="72" t="s">
        <v>505</v>
      </c>
      <c r="R20" s="128"/>
      <c r="S20" s="128"/>
      <c r="T20" s="128"/>
      <c r="U20" s="128"/>
      <c r="V20" s="128"/>
      <c r="W20" s="128"/>
      <c r="X20" s="128"/>
      <c r="Y20" s="128"/>
      <c r="Z20" s="128"/>
      <c r="AA20" s="78"/>
      <c r="AB20" s="78"/>
      <c r="AC20" s="78"/>
      <c r="AD20" s="78"/>
      <c r="AE20" s="78"/>
      <c r="AF20" s="78"/>
      <c r="AG20" s="78"/>
      <c r="AH20" s="78"/>
      <c r="AI20" s="78"/>
    </row>
    <row r="21" customFormat="false" ht="27.75" hidden="false" customHeight="true" outlineLevel="0" collapsed="false">
      <c r="A21" s="79" t="s">
        <v>482</v>
      </c>
      <c r="B21" s="79" t="n">
        <v>312603</v>
      </c>
      <c r="C21" s="79" t="s">
        <v>548</v>
      </c>
      <c r="D21" s="79" t="n">
        <v>39103</v>
      </c>
      <c r="E21" s="81" t="s">
        <v>549</v>
      </c>
      <c r="F21" s="136" t="n">
        <v>6</v>
      </c>
      <c r="G21" s="136" t="n">
        <v>8</v>
      </c>
      <c r="H21" s="136" t="n">
        <v>10</v>
      </c>
      <c r="I21" s="136" t="n">
        <v>0</v>
      </c>
      <c r="J21" s="136" t="n">
        <v>0</v>
      </c>
      <c r="K21" s="81" t="s">
        <v>485</v>
      </c>
      <c r="L21" s="79"/>
      <c r="M21" s="79" t="s">
        <v>486</v>
      </c>
      <c r="N21" s="79" t="s">
        <v>486</v>
      </c>
      <c r="O21" s="137" t="str">
        <f aca="false">IF(E21="","",IF(M21&lt;&gt;"Sim","Solicitar confirmação à unidade",IF(N21&lt;&gt;"Sim","Validar dados com a unidade pela GOP",IF(IFERROR(VALUE(J21),0)&gt;0,"Planejar instalação de "&amp;J21&amp;" aparelho(s)","Inventário em dia"))))</f>
        <v>Solicitar confirmação à unidade</v>
      </c>
      <c r="P21" s="81" t="s">
        <v>550</v>
      </c>
      <c r="Q21" s="81" t="s">
        <v>496</v>
      </c>
      <c r="R21" s="128"/>
      <c r="S21" s="128"/>
      <c r="T21" s="128"/>
      <c r="U21" s="128"/>
      <c r="V21" s="128"/>
      <c r="W21" s="128"/>
      <c r="X21" s="128"/>
      <c r="Y21" s="128"/>
      <c r="Z21" s="128"/>
      <c r="AA21" s="78"/>
      <c r="AB21" s="78"/>
      <c r="AC21" s="78"/>
      <c r="AD21" s="78"/>
      <c r="AE21" s="78"/>
      <c r="AF21" s="78"/>
      <c r="AG21" s="78"/>
      <c r="AH21" s="78"/>
      <c r="AI21" s="78"/>
    </row>
    <row r="22" customFormat="false" ht="27.75" hidden="false" customHeight="true" outlineLevel="0" collapsed="false">
      <c r="A22" s="70" t="s">
        <v>482</v>
      </c>
      <c r="B22" s="70" t="n">
        <v>313603</v>
      </c>
      <c r="C22" s="70" t="s">
        <v>551</v>
      </c>
      <c r="D22" s="70" t="n">
        <v>17900</v>
      </c>
      <c r="E22" s="72" t="s">
        <v>552</v>
      </c>
      <c r="F22" s="134" t="n">
        <v>4</v>
      </c>
      <c r="G22" s="134" t="n">
        <v>4</v>
      </c>
      <c r="H22" s="134" t="n">
        <v>9</v>
      </c>
      <c r="I22" s="134" t="n">
        <v>0</v>
      </c>
      <c r="J22" s="134" t="n">
        <v>1</v>
      </c>
      <c r="K22" s="72" t="s">
        <v>485</v>
      </c>
      <c r="L22" s="70"/>
      <c r="M22" s="70" t="s">
        <v>486</v>
      </c>
      <c r="N22" s="70" t="s">
        <v>486</v>
      </c>
      <c r="O22" s="135" t="str">
        <f aca="false">IF(E22="","",IF(M22&lt;&gt;"Sim","Solicitar confirmação à unidade",IF(N22&lt;&gt;"Sim","Validar dados com a unidade pela GOP",IF(IFERROR(VALUE(J22),0)&gt;0,"Planejar instalação de "&amp;J22&amp;" aparelho(s)","Inventário em dia"))))</f>
        <v>Solicitar confirmação à unidade</v>
      </c>
      <c r="P22" s="72" t="s">
        <v>553</v>
      </c>
      <c r="Q22" s="72" t="s">
        <v>554</v>
      </c>
      <c r="R22" s="128"/>
      <c r="S22" s="128"/>
      <c r="T22" s="128"/>
      <c r="U22" s="128"/>
      <c r="V22" s="128"/>
      <c r="W22" s="128"/>
      <c r="X22" s="128"/>
      <c r="Y22" s="128"/>
      <c r="Z22" s="128"/>
      <c r="AA22" s="78"/>
      <c r="AB22" s="78"/>
      <c r="AC22" s="78"/>
      <c r="AD22" s="78"/>
      <c r="AE22" s="78"/>
      <c r="AF22" s="78"/>
      <c r="AG22" s="78"/>
      <c r="AH22" s="78"/>
      <c r="AI22" s="78"/>
    </row>
    <row r="23" customFormat="false" ht="27.75" hidden="false" customHeight="true" outlineLevel="0" collapsed="false">
      <c r="A23" s="79" t="s">
        <v>482</v>
      </c>
      <c r="B23" s="79" t="n">
        <v>328602</v>
      </c>
      <c r="C23" s="79" t="s">
        <v>555</v>
      </c>
      <c r="D23" s="79" t="n">
        <v>18770</v>
      </c>
      <c r="E23" s="81" t="s">
        <v>251</v>
      </c>
      <c r="F23" s="136" t="n">
        <v>4</v>
      </c>
      <c r="G23" s="136" t="n">
        <v>4</v>
      </c>
      <c r="H23" s="136" t="n">
        <v>5</v>
      </c>
      <c r="I23" s="136" t="n">
        <v>0</v>
      </c>
      <c r="J23" s="136" t="n">
        <v>4</v>
      </c>
      <c r="K23" s="81" t="s">
        <v>485</v>
      </c>
      <c r="L23" s="79"/>
      <c r="M23" s="79" t="s">
        <v>486</v>
      </c>
      <c r="N23" s="79" t="s">
        <v>486</v>
      </c>
      <c r="O23" s="137" t="str">
        <f aca="false">IF(E23="","",IF(M23&lt;&gt;"Sim","Solicitar confirmação à unidade",IF(N23&lt;&gt;"Sim","Validar dados com a unidade pela GOP",IF(IFERROR(VALUE(J23),0)&gt;0,"Planejar instalação de "&amp;J23&amp;" aparelho(s)","Inventário em dia"))))</f>
        <v>Solicitar confirmação à unidade</v>
      </c>
      <c r="P23" s="81" t="s">
        <v>556</v>
      </c>
      <c r="Q23" s="81" t="s">
        <v>531</v>
      </c>
      <c r="R23" s="128"/>
      <c r="S23" s="128"/>
      <c r="T23" s="128"/>
      <c r="U23" s="128"/>
      <c r="V23" s="128"/>
      <c r="W23" s="128"/>
      <c r="X23" s="128"/>
      <c r="Y23" s="128"/>
      <c r="Z23" s="128"/>
      <c r="AA23" s="78"/>
      <c r="AB23" s="78"/>
      <c r="AC23" s="78"/>
      <c r="AD23" s="78"/>
      <c r="AE23" s="78"/>
      <c r="AF23" s="78"/>
      <c r="AG23" s="78"/>
      <c r="AH23" s="78"/>
      <c r="AI23" s="78"/>
    </row>
    <row r="24" customFormat="false" ht="27.75" hidden="false" customHeight="true" outlineLevel="0" collapsed="false">
      <c r="A24" s="70" t="s">
        <v>482</v>
      </c>
      <c r="B24" s="70" t="n">
        <v>313601</v>
      </c>
      <c r="C24" s="70" t="s">
        <v>557</v>
      </c>
      <c r="D24" s="70" t="n">
        <v>17902</v>
      </c>
      <c r="E24" s="72" t="s">
        <v>558</v>
      </c>
      <c r="F24" s="134" t="n">
        <v>3</v>
      </c>
      <c r="G24" s="134" t="n">
        <v>5</v>
      </c>
      <c r="H24" s="134" t="n">
        <v>7</v>
      </c>
      <c r="I24" s="134" t="n">
        <v>0</v>
      </c>
      <c r="J24" s="134" t="n">
        <v>1</v>
      </c>
      <c r="K24" s="72" t="s">
        <v>485</v>
      </c>
      <c r="L24" s="70"/>
      <c r="M24" s="70" t="s">
        <v>486</v>
      </c>
      <c r="N24" s="70" t="s">
        <v>486</v>
      </c>
      <c r="O24" s="135" t="str">
        <f aca="false">IF(E24="","",IF(M24&lt;&gt;"Sim","Solicitar confirmação à unidade",IF(N24&lt;&gt;"Sim","Validar dados com a unidade pela GOP",IF(IFERROR(VALUE(J24),0)&gt;0,"Planejar instalação de "&amp;J24&amp;" aparelho(s)","Inventário em dia"))))</f>
        <v>Solicitar confirmação à unidade</v>
      </c>
      <c r="P24" s="72" t="s">
        <v>559</v>
      </c>
      <c r="Q24" s="72" t="s">
        <v>554</v>
      </c>
      <c r="R24" s="128"/>
      <c r="S24" s="128"/>
      <c r="T24" s="128"/>
      <c r="U24" s="128"/>
      <c r="V24" s="128"/>
      <c r="W24" s="128"/>
      <c r="X24" s="128"/>
      <c r="Y24" s="128"/>
      <c r="Z24" s="128"/>
      <c r="AA24" s="78"/>
      <c r="AB24" s="78"/>
      <c r="AC24" s="78"/>
      <c r="AD24" s="78"/>
      <c r="AE24" s="78"/>
      <c r="AF24" s="78"/>
      <c r="AG24" s="78"/>
      <c r="AH24" s="78"/>
      <c r="AI24" s="78"/>
    </row>
    <row r="25" customFormat="false" ht="27.75" hidden="false" customHeight="true" outlineLevel="0" collapsed="false">
      <c r="A25" s="79" t="s">
        <v>482</v>
      </c>
      <c r="B25" s="79" t="n">
        <v>328604</v>
      </c>
      <c r="C25" s="79" t="s">
        <v>560</v>
      </c>
      <c r="D25" s="79" t="n">
        <v>19110</v>
      </c>
      <c r="E25" s="81" t="s">
        <v>561</v>
      </c>
      <c r="F25" s="136" t="n">
        <v>6</v>
      </c>
      <c r="G25" s="136" t="n">
        <v>7</v>
      </c>
      <c r="H25" s="136" t="n">
        <v>8</v>
      </c>
      <c r="I25" s="136" t="n">
        <v>0</v>
      </c>
      <c r="J25" s="136" t="n">
        <v>0</v>
      </c>
      <c r="K25" s="81" t="s">
        <v>485</v>
      </c>
      <c r="L25" s="79"/>
      <c r="M25" s="79" t="s">
        <v>486</v>
      </c>
      <c r="N25" s="79" t="s">
        <v>486</v>
      </c>
      <c r="O25" s="137" t="str">
        <f aca="false">IF(E25="","",IF(M25&lt;&gt;"Sim","Solicitar confirmação à unidade",IF(N25&lt;&gt;"Sim","Validar dados com a unidade pela GOP",IF(IFERROR(VALUE(J25),0)&gt;0,"Planejar instalação de "&amp;J25&amp;" aparelho(s)","Inventário em dia"))))</f>
        <v>Solicitar confirmação à unidade</v>
      </c>
      <c r="P25" s="81" t="s">
        <v>562</v>
      </c>
      <c r="Q25" s="81" t="s">
        <v>501</v>
      </c>
      <c r="R25" s="128"/>
      <c r="S25" s="128"/>
      <c r="T25" s="128"/>
      <c r="U25" s="128"/>
      <c r="V25" s="128"/>
      <c r="W25" s="128"/>
      <c r="X25" s="128"/>
      <c r="Y25" s="128"/>
      <c r="Z25" s="128"/>
      <c r="AA25" s="78"/>
      <c r="AB25" s="78"/>
      <c r="AC25" s="78"/>
      <c r="AD25" s="78"/>
      <c r="AE25" s="78"/>
      <c r="AF25" s="78"/>
      <c r="AG25" s="78"/>
      <c r="AH25" s="78"/>
      <c r="AI25" s="78"/>
    </row>
    <row r="26" customFormat="false" ht="27.75" hidden="false" customHeight="true" outlineLevel="0" collapsed="false">
      <c r="A26" s="70" t="s">
        <v>482</v>
      </c>
      <c r="B26" s="70" t="n">
        <v>313055</v>
      </c>
      <c r="C26" s="70" t="s">
        <v>563</v>
      </c>
      <c r="D26" s="70" t="n">
        <v>11801</v>
      </c>
      <c r="E26" s="72" t="s">
        <v>263</v>
      </c>
      <c r="F26" s="134" t="n">
        <v>7</v>
      </c>
      <c r="G26" s="134" t="n">
        <v>7</v>
      </c>
      <c r="H26" s="134" t="n">
        <v>8</v>
      </c>
      <c r="I26" s="134" t="n">
        <v>0</v>
      </c>
      <c r="J26" s="134" t="n">
        <v>0</v>
      </c>
      <c r="K26" s="72" t="s">
        <v>485</v>
      </c>
      <c r="L26" s="70"/>
      <c r="M26" s="70" t="s">
        <v>486</v>
      </c>
      <c r="N26" s="70" t="s">
        <v>486</v>
      </c>
      <c r="O26" s="135" t="str">
        <f aca="false">IF(E26="","",IF(M26&lt;&gt;"Sim","Solicitar confirmação à unidade",IF(N26&lt;&gt;"Sim","Validar dados com a unidade pela GOP",IF(IFERROR(VALUE(J26),0)&gt;0,"Planejar instalação de "&amp;J26&amp;" aparelho(s)","Inventário em dia"))))</f>
        <v>Solicitar confirmação à unidade</v>
      </c>
      <c r="P26" s="72" t="s">
        <v>564</v>
      </c>
      <c r="Q26" s="72" t="s">
        <v>565</v>
      </c>
      <c r="R26" s="128"/>
      <c r="S26" s="128"/>
      <c r="T26" s="128"/>
      <c r="U26" s="128"/>
      <c r="V26" s="128"/>
      <c r="W26" s="128"/>
      <c r="X26" s="128"/>
      <c r="Y26" s="128"/>
      <c r="Z26" s="128"/>
      <c r="AA26" s="78"/>
      <c r="AB26" s="78"/>
      <c r="AC26" s="78"/>
      <c r="AD26" s="78"/>
      <c r="AE26" s="78"/>
      <c r="AF26" s="78"/>
      <c r="AG26" s="78"/>
      <c r="AH26" s="78"/>
      <c r="AI26" s="78"/>
    </row>
    <row r="27" customFormat="false" ht="27.75" hidden="false" customHeight="true" outlineLevel="0" collapsed="false">
      <c r="A27" s="79" t="s">
        <v>482</v>
      </c>
      <c r="B27" s="79" t="n">
        <v>313024</v>
      </c>
      <c r="C27" s="79" t="s">
        <v>566</v>
      </c>
      <c r="D27" s="79"/>
      <c r="E27" s="81" t="s">
        <v>567</v>
      </c>
      <c r="F27" s="136" t="n">
        <v>13</v>
      </c>
      <c r="G27" s="136" t="n">
        <v>21</v>
      </c>
      <c r="H27" s="136" t="n">
        <v>30</v>
      </c>
      <c r="I27" s="136" t="n">
        <v>0</v>
      </c>
      <c r="J27" s="136" t="n">
        <v>1</v>
      </c>
      <c r="K27" s="81" t="s">
        <v>485</v>
      </c>
      <c r="L27" s="79"/>
      <c r="M27" s="79" t="s">
        <v>486</v>
      </c>
      <c r="N27" s="79" t="s">
        <v>486</v>
      </c>
      <c r="O27" s="137" t="str">
        <f aca="false">IF(E27="","",IF(M27&lt;&gt;"Sim","Solicitar confirmação à unidade",IF(N27&lt;&gt;"Sim","Validar dados com a unidade pela GOP",IF(IFERROR(VALUE(J27),0)&gt;0,"Planejar instalação de "&amp;J27&amp;" aparelho(s)","Inventário em dia"))))</f>
        <v>Solicitar confirmação à unidade</v>
      </c>
      <c r="P27" s="81" t="s">
        <v>568</v>
      </c>
      <c r="Q27" s="81" t="s">
        <v>569</v>
      </c>
      <c r="R27" s="128"/>
      <c r="S27" s="128"/>
      <c r="T27" s="128"/>
      <c r="U27" s="128"/>
      <c r="V27" s="128"/>
      <c r="W27" s="128"/>
      <c r="X27" s="128"/>
      <c r="Y27" s="128"/>
      <c r="Z27" s="128"/>
      <c r="AA27" s="78"/>
      <c r="AB27" s="78"/>
      <c r="AC27" s="78"/>
      <c r="AD27" s="78"/>
      <c r="AE27" s="78"/>
      <c r="AF27" s="78"/>
      <c r="AG27" s="78"/>
      <c r="AH27" s="78"/>
      <c r="AI27" s="78"/>
    </row>
    <row r="28" customFormat="false" ht="27.75" hidden="false" customHeight="true" outlineLevel="0" collapsed="false">
      <c r="A28" s="70" t="s">
        <v>482</v>
      </c>
      <c r="B28" s="70" t="n">
        <v>313019</v>
      </c>
      <c r="C28" s="70" t="s">
        <v>570</v>
      </c>
      <c r="D28" s="70" t="n">
        <v>11839</v>
      </c>
      <c r="E28" s="72" t="s">
        <v>571</v>
      </c>
      <c r="F28" s="134" t="n">
        <v>7</v>
      </c>
      <c r="G28" s="134" t="n">
        <v>6</v>
      </c>
      <c r="H28" s="134" t="n">
        <v>12</v>
      </c>
      <c r="I28" s="134" t="n">
        <v>0</v>
      </c>
      <c r="J28" s="134" t="n">
        <v>1</v>
      </c>
      <c r="K28" s="72" t="s">
        <v>485</v>
      </c>
      <c r="L28" s="70"/>
      <c r="M28" s="70" t="s">
        <v>486</v>
      </c>
      <c r="N28" s="70" t="s">
        <v>486</v>
      </c>
      <c r="O28" s="135" t="str">
        <f aca="false">IF(E28="","",IF(M28&lt;&gt;"Sim","Solicitar confirmação à unidade",IF(N28&lt;&gt;"Sim","Validar dados com a unidade pela GOP",IF(IFERROR(VALUE(J28),0)&gt;0,"Planejar instalação de "&amp;J28&amp;" aparelho(s)","Inventário em dia"))))</f>
        <v>Solicitar confirmação à unidade</v>
      </c>
      <c r="P28" s="72" t="s">
        <v>572</v>
      </c>
      <c r="Q28" s="72" t="s">
        <v>573</v>
      </c>
      <c r="R28" s="128"/>
      <c r="S28" s="128"/>
      <c r="T28" s="128"/>
      <c r="U28" s="128"/>
      <c r="V28" s="128"/>
      <c r="W28" s="128"/>
      <c r="X28" s="128"/>
      <c r="Y28" s="128"/>
      <c r="Z28" s="128"/>
      <c r="AA28" s="78"/>
      <c r="AB28" s="78"/>
      <c r="AC28" s="78"/>
      <c r="AD28" s="78"/>
      <c r="AE28" s="78"/>
      <c r="AF28" s="78"/>
      <c r="AG28" s="78"/>
      <c r="AH28" s="78"/>
      <c r="AI28" s="78"/>
    </row>
    <row r="29" customFormat="false" ht="27.75" hidden="false" customHeight="true" outlineLevel="0" collapsed="false">
      <c r="A29" s="79" t="s">
        <v>482</v>
      </c>
      <c r="B29" s="79" t="n">
        <v>313051</v>
      </c>
      <c r="C29" s="79" t="s">
        <v>574</v>
      </c>
      <c r="D29" s="79" t="n">
        <v>11807</v>
      </c>
      <c r="E29" s="81" t="s">
        <v>259</v>
      </c>
      <c r="F29" s="136" t="n">
        <v>13</v>
      </c>
      <c r="G29" s="136" t="n">
        <v>23</v>
      </c>
      <c r="H29" s="136" t="n">
        <v>25</v>
      </c>
      <c r="I29" s="136" t="n">
        <v>0</v>
      </c>
      <c r="J29" s="136" t="n">
        <v>11</v>
      </c>
      <c r="K29" s="81" t="s">
        <v>485</v>
      </c>
      <c r="L29" s="79"/>
      <c r="M29" s="79" t="s">
        <v>486</v>
      </c>
      <c r="N29" s="79" t="s">
        <v>486</v>
      </c>
      <c r="O29" s="137" t="str">
        <f aca="false">IF(E29="","",IF(M29&lt;&gt;"Sim","Solicitar confirmação à unidade",IF(N29&lt;&gt;"Sim","Validar dados com a unidade pela GOP",IF(IFERROR(VALUE(J29),0)&gt;0,"Planejar instalação de "&amp;J29&amp;" aparelho(s)","Inventário em dia"))))</f>
        <v>Solicitar confirmação à unidade</v>
      </c>
      <c r="P29" s="81" t="s">
        <v>575</v>
      </c>
      <c r="Q29" s="81" t="s">
        <v>576</v>
      </c>
      <c r="R29" s="128"/>
      <c r="S29" s="128"/>
      <c r="T29" s="128"/>
      <c r="U29" s="128"/>
      <c r="V29" s="128"/>
      <c r="W29" s="128"/>
      <c r="X29" s="128"/>
      <c r="Y29" s="128"/>
      <c r="Z29" s="128"/>
      <c r="AA29" s="78"/>
      <c r="AB29" s="78"/>
      <c r="AC29" s="78"/>
      <c r="AD29" s="78"/>
      <c r="AE29" s="78"/>
      <c r="AF29" s="78"/>
      <c r="AG29" s="78"/>
      <c r="AH29" s="78"/>
      <c r="AI29" s="78"/>
    </row>
    <row r="30" customFormat="false" ht="27.75" hidden="false" customHeight="true" outlineLevel="0" collapsed="false">
      <c r="A30" s="70" t="s">
        <v>482</v>
      </c>
      <c r="B30" s="70" t="n">
        <v>312002</v>
      </c>
      <c r="C30" s="70" t="s">
        <v>577</v>
      </c>
      <c r="D30" s="70" t="n">
        <v>11483</v>
      </c>
      <c r="E30" s="72" t="s">
        <v>578</v>
      </c>
      <c r="F30" s="134" t="n">
        <v>11</v>
      </c>
      <c r="G30" s="134" t="n">
        <v>20</v>
      </c>
      <c r="H30" s="134" t="n">
        <v>27</v>
      </c>
      <c r="I30" s="134" t="n">
        <v>0</v>
      </c>
      <c r="J30" s="134" t="n">
        <v>2</v>
      </c>
      <c r="K30" s="72" t="s">
        <v>485</v>
      </c>
      <c r="L30" s="70"/>
      <c r="M30" s="70" t="s">
        <v>486</v>
      </c>
      <c r="N30" s="70" t="s">
        <v>486</v>
      </c>
      <c r="O30" s="135" t="str">
        <f aca="false">IF(E30="","",IF(M30&lt;&gt;"Sim","Solicitar confirmação à unidade",IF(N30&lt;&gt;"Sim","Validar dados com a unidade pela GOP",IF(IFERROR(VALUE(J30),0)&gt;0,"Planejar instalação de "&amp;J30&amp;" aparelho(s)","Inventário em dia"))))</f>
        <v>Solicitar confirmação à unidade</v>
      </c>
      <c r="P30" s="72" t="s">
        <v>579</v>
      </c>
      <c r="Q30" s="72" t="s">
        <v>580</v>
      </c>
      <c r="R30" s="128"/>
      <c r="S30" s="128"/>
      <c r="T30" s="128"/>
      <c r="U30" s="128"/>
      <c r="V30" s="128"/>
      <c r="W30" s="128"/>
      <c r="X30" s="128"/>
      <c r="Y30" s="128"/>
      <c r="Z30" s="128"/>
      <c r="AA30" s="78"/>
      <c r="AB30" s="78"/>
      <c r="AC30" s="78"/>
      <c r="AD30" s="78"/>
      <c r="AE30" s="78"/>
      <c r="AF30" s="78"/>
      <c r="AG30" s="78"/>
      <c r="AH30" s="78"/>
      <c r="AI30" s="78"/>
    </row>
    <row r="31" customFormat="false" ht="27.75" hidden="false" customHeight="true" outlineLevel="0" collapsed="false">
      <c r="A31" s="79" t="s">
        <v>482</v>
      </c>
      <c r="B31" s="79" t="n">
        <v>312035</v>
      </c>
      <c r="C31" s="79" t="s">
        <v>581</v>
      </c>
      <c r="D31" s="79" t="n">
        <v>10908</v>
      </c>
      <c r="E31" s="81" t="s">
        <v>236</v>
      </c>
      <c r="F31" s="136" t="n">
        <v>15</v>
      </c>
      <c r="G31" s="136" t="n">
        <v>25</v>
      </c>
      <c r="H31" s="136" t="n">
        <v>32</v>
      </c>
      <c r="I31" s="136" t="n">
        <v>0</v>
      </c>
      <c r="J31" s="136" t="n">
        <v>2</v>
      </c>
      <c r="K31" s="81" t="s">
        <v>485</v>
      </c>
      <c r="L31" s="79"/>
      <c r="M31" s="79" t="s">
        <v>486</v>
      </c>
      <c r="N31" s="79" t="s">
        <v>486</v>
      </c>
      <c r="O31" s="137" t="str">
        <f aca="false">IF(E31="","",IF(M31&lt;&gt;"Sim","Solicitar confirmação à unidade",IF(N31&lt;&gt;"Sim","Validar dados com a unidade pela GOP",IF(IFERROR(VALUE(J31),0)&gt;0,"Planejar instalação de "&amp;J31&amp;" aparelho(s)","Inventário em dia"))))</f>
        <v>Solicitar confirmação à unidade</v>
      </c>
      <c r="P31" s="81" t="s">
        <v>582</v>
      </c>
      <c r="Q31" s="81" t="s">
        <v>519</v>
      </c>
      <c r="R31" s="128"/>
      <c r="S31" s="128"/>
      <c r="T31" s="128"/>
      <c r="U31" s="128"/>
      <c r="V31" s="128"/>
      <c r="W31" s="128"/>
      <c r="X31" s="128"/>
      <c r="Y31" s="128"/>
      <c r="Z31" s="128"/>
      <c r="AA31" s="78"/>
      <c r="AB31" s="78"/>
      <c r="AC31" s="78"/>
      <c r="AD31" s="78"/>
      <c r="AE31" s="78"/>
      <c r="AF31" s="78"/>
      <c r="AG31" s="78"/>
      <c r="AH31" s="78"/>
      <c r="AI31" s="78"/>
    </row>
    <row r="32" customFormat="false" ht="27.75" hidden="false" customHeight="true" outlineLevel="0" collapsed="false">
      <c r="A32" s="70" t="s">
        <v>482</v>
      </c>
      <c r="B32" s="70" t="n">
        <v>313037</v>
      </c>
      <c r="C32" s="70" t="s">
        <v>583</v>
      </c>
      <c r="D32" s="70" t="n">
        <v>11821</v>
      </c>
      <c r="E32" s="72" t="s">
        <v>584</v>
      </c>
      <c r="F32" s="134" t="n">
        <v>6</v>
      </c>
      <c r="G32" s="134" t="n">
        <v>6</v>
      </c>
      <c r="H32" s="134" t="n">
        <v>14</v>
      </c>
      <c r="I32" s="134" t="n">
        <v>0</v>
      </c>
      <c r="J32" s="134" t="n">
        <v>0</v>
      </c>
      <c r="K32" s="72" t="s">
        <v>485</v>
      </c>
      <c r="L32" s="70"/>
      <c r="M32" s="70" t="s">
        <v>486</v>
      </c>
      <c r="N32" s="70" t="s">
        <v>486</v>
      </c>
      <c r="O32" s="135" t="str">
        <f aca="false">IF(E32="","",IF(M32&lt;&gt;"Sim","Solicitar confirmação à unidade",IF(N32&lt;&gt;"Sim","Validar dados com a unidade pela GOP",IF(IFERROR(VALUE(J32),0)&gt;0,"Planejar instalação de "&amp;J32&amp;" aparelho(s)","Inventário em dia"))))</f>
        <v>Solicitar confirmação à unidade</v>
      </c>
      <c r="P32" s="72" t="s">
        <v>585</v>
      </c>
      <c r="Q32" s="72" t="s">
        <v>544</v>
      </c>
      <c r="R32" s="128"/>
      <c r="S32" s="128"/>
      <c r="T32" s="128"/>
      <c r="U32" s="128"/>
      <c r="V32" s="128"/>
      <c r="W32" s="128"/>
      <c r="X32" s="128"/>
      <c r="Y32" s="128"/>
      <c r="Z32" s="128"/>
      <c r="AA32" s="78"/>
      <c r="AB32" s="78"/>
      <c r="AC32" s="78"/>
      <c r="AD32" s="78"/>
      <c r="AE32" s="78"/>
      <c r="AF32" s="78"/>
      <c r="AG32" s="78"/>
      <c r="AH32" s="78"/>
      <c r="AI32" s="78"/>
    </row>
    <row r="33" customFormat="false" ht="27.75" hidden="false" customHeight="true" outlineLevel="0" collapsed="false">
      <c r="A33" s="79" t="s">
        <v>482</v>
      </c>
      <c r="B33" s="79" t="n">
        <v>312015</v>
      </c>
      <c r="C33" s="79" t="s">
        <v>586</v>
      </c>
      <c r="D33" s="79" t="n">
        <v>11496</v>
      </c>
      <c r="E33" s="81" t="s">
        <v>587</v>
      </c>
      <c r="F33" s="136" t="n">
        <v>6</v>
      </c>
      <c r="G33" s="136" t="n">
        <v>12</v>
      </c>
      <c r="H33" s="136" t="n">
        <v>14</v>
      </c>
      <c r="I33" s="136" t="n">
        <v>0</v>
      </c>
      <c r="J33" s="136" t="n">
        <v>0</v>
      </c>
      <c r="K33" s="81" t="s">
        <v>485</v>
      </c>
      <c r="L33" s="79"/>
      <c r="M33" s="79" t="s">
        <v>486</v>
      </c>
      <c r="N33" s="79" t="s">
        <v>486</v>
      </c>
      <c r="O33" s="137" t="str">
        <f aca="false">IF(E33="","",IF(M33&lt;&gt;"Sim","Solicitar confirmação à unidade",IF(N33&lt;&gt;"Sim","Validar dados com a unidade pela GOP",IF(IFERROR(VALUE(J33),0)&gt;0,"Planejar instalação de "&amp;J33&amp;" aparelho(s)","Inventário em dia"))))</f>
        <v>Solicitar confirmação à unidade</v>
      </c>
      <c r="P33" s="81" t="s">
        <v>588</v>
      </c>
      <c r="Q33" s="81" t="s">
        <v>492</v>
      </c>
      <c r="R33" s="128"/>
      <c r="S33" s="128"/>
      <c r="T33" s="128"/>
      <c r="U33" s="128"/>
      <c r="V33" s="128"/>
      <c r="W33" s="128"/>
      <c r="X33" s="128"/>
      <c r="Y33" s="128"/>
      <c r="Z33" s="128"/>
      <c r="AA33" s="78"/>
      <c r="AB33" s="78"/>
      <c r="AC33" s="78"/>
      <c r="AD33" s="78"/>
      <c r="AE33" s="78"/>
      <c r="AF33" s="78"/>
      <c r="AG33" s="78"/>
      <c r="AH33" s="78"/>
      <c r="AI33" s="78"/>
    </row>
    <row r="34" customFormat="false" ht="27.75" hidden="false" customHeight="true" outlineLevel="0" collapsed="false">
      <c r="A34" s="70" t="s">
        <v>482</v>
      </c>
      <c r="B34" s="70" t="n">
        <v>313016</v>
      </c>
      <c r="C34" s="70" t="s">
        <v>589</v>
      </c>
      <c r="D34" s="70" t="n">
        <v>11842</v>
      </c>
      <c r="E34" s="72" t="s">
        <v>590</v>
      </c>
      <c r="F34" s="134" t="n">
        <v>7</v>
      </c>
      <c r="G34" s="134" t="n">
        <v>13</v>
      </c>
      <c r="H34" s="134" t="n">
        <v>18</v>
      </c>
      <c r="I34" s="134" t="n">
        <v>0</v>
      </c>
      <c r="J34" s="134" t="n">
        <v>1</v>
      </c>
      <c r="K34" s="72" t="s">
        <v>485</v>
      </c>
      <c r="L34" s="70"/>
      <c r="M34" s="70" t="s">
        <v>486</v>
      </c>
      <c r="N34" s="70" t="s">
        <v>486</v>
      </c>
      <c r="O34" s="135" t="str">
        <f aca="false">IF(E34="","",IF(M34&lt;&gt;"Sim","Solicitar confirmação à unidade",IF(N34&lt;&gt;"Sim","Validar dados com a unidade pela GOP",IF(IFERROR(VALUE(J34),0)&gt;0,"Planejar instalação de "&amp;J34&amp;" aparelho(s)","Inventário em dia"))))</f>
        <v>Solicitar confirmação à unidade</v>
      </c>
      <c r="P34" s="72" t="s">
        <v>591</v>
      </c>
      <c r="Q34" s="72" t="s">
        <v>573</v>
      </c>
      <c r="R34" s="128"/>
      <c r="S34" s="128"/>
      <c r="T34" s="128"/>
      <c r="U34" s="128"/>
      <c r="V34" s="128"/>
      <c r="W34" s="128"/>
      <c r="X34" s="128"/>
      <c r="Y34" s="128"/>
      <c r="Z34" s="128"/>
      <c r="AA34" s="78"/>
      <c r="AB34" s="78"/>
      <c r="AC34" s="78"/>
      <c r="AD34" s="78"/>
      <c r="AE34" s="78"/>
      <c r="AF34" s="78"/>
      <c r="AG34" s="78"/>
      <c r="AH34" s="78"/>
      <c r="AI34" s="78"/>
    </row>
    <row r="35" customFormat="false" ht="27.75" hidden="false" customHeight="true" outlineLevel="0" collapsed="false">
      <c r="A35" s="79" t="s">
        <v>482</v>
      </c>
      <c r="B35" s="79" t="n">
        <v>313020</v>
      </c>
      <c r="C35" s="79" t="s">
        <v>592</v>
      </c>
      <c r="D35" s="79" t="n">
        <v>11838</v>
      </c>
      <c r="E35" s="81" t="s">
        <v>160</v>
      </c>
      <c r="F35" s="136" t="n">
        <v>19</v>
      </c>
      <c r="G35" s="136" t="n">
        <v>32</v>
      </c>
      <c r="H35" s="136" t="n">
        <v>42</v>
      </c>
      <c r="I35" s="136" t="n">
        <v>0</v>
      </c>
      <c r="J35" s="136" t="n">
        <v>0</v>
      </c>
      <c r="K35" s="81" t="s">
        <v>485</v>
      </c>
      <c r="L35" s="79"/>
      <c r="M35" s="79" t="s">
        <v>486</v>
      </c>
      <c r="N35" s="79" t="s">
        <v>486</v>
      </c>
      <c r="O35" s="137" t="str">
        <f aca="false">IF(E35="","",IF(M35&lt;&gt;"Sim","Solicitar confirmação à unidade",IF(N35&lt;&gt;"Sim","Validar dados com a unidade pela GOP",IF(IFERROR(VALUE(J35),0)&gt;0,"Planejar instalação de "&amp;J35&amp;" aparelho(s)","Inventário em dia"))))</f>
        <v>Solicitar confirmação à unidade</v>
      </c>
      <c r="P35" s="81" t="s">
        <v>593</v>
      </c>
      <c r="Q35" s="81" t="s">
        <v>573</v>
      </c>
      <c r="R35" s="128"/>
      <c r="S35" s="128"/>
      <c r="T35" s="128"/>
      <c r="U35" s="128"/>
      <c r="V35" s="128"/>
      <c r="W35" s="128"/>
      <c r="X35" s="128"/>
      <c r="Y35" s="128"/>
      <c r="Z35" s="128"/>
      <c r="AA35" s="78"/>
      <c r="AB35" s="78"/>
      <c r="AC35" s="78"/>
      <c r="AD35" s="78"/>
      <c r="AE35" s="78"/>
      <c r="AF35" s="78"/>
      <c r="AG35" s="78"/>
      <c r="AH35" s="78"/>
      <c r="AI35" s="78"/>
    </row>
    <row r="36" customFormat="false" ht="27.75" hidden="false" customHeight="true" outlineLevel="0" collapsed="false">
      <c r="A36" s="70" t="s">
        <v>482</v>
      </c>
      <c r="B36" s="70" t="n">
        <v>313032</v>
      </c>
      <c r="C36" s="70" t="s">
        <v>594</v>
      </c>
      <c r="D36" s="70" t="n">
        <v>11826</v>
      </c>
      <c r="E36" s="72" t="s">
        <v>595</v>
      </c>
      <c r="F36" s="134" t="n">
        <v>12</v>
      </c>
      <c r="G36" s="134" t="n">
        <v>12</v>
      </c>
      <c r="H36" s="134" t="n">
        <v>23</v>
      </c>
      <c r="I36" s="134" t="n">
        <v>0</v>
      </c>
      <c r="J36" s="134" t="n">
        <v>2</v>
      </c>
      <c r="K36" s="72" t="s">
        <v>485</v>
      </c>
      <c r="L36" s="70"/>
      <c r="M36" s="70" t="s">
        <v>486</v>
      </c>
      <c r="N36" s="70" t="s">
        <v>486</v>
      </c>
      <c r="O36" s="135" t="str">
        <f aca="false">IF(E36="","",IF(M36&lt;&gt;"Sim","Solicitar confirmação à unidade",IF(N36&lt;&gt;"Sim","Validar dados com a unidade pela GOP",IF(IFERROR(VALUE(J36),0)&gt;0,"Planejar instalação de "&amp;J36&amp;" aparelho(s)","Inventário em dia"))))</f>
        <v>Solicitar confirmação à unidade</v>
      </c>
      <c r="P36" s="72" t="s">
        <v>596</v>
      </c>
      <c r="Q36" s="72" t="s">
        <v>544</v>
      </c>
      <c r="R36" s="128"/>
      <c r="S36" s="128"/>
      <c r="T36" s="128"/>
      <c r="U36" s="128"/>
      <c r="V36" s="128"/>
      <c r="W36" s="128"/>
      <c r="X36" s="128"/>
      <c r="Y36" s="128"/>
      <c r="Z36" s="128"/>
      <c r="AA36" s="78"/>
      <c r="AB36" s="78"/>
      <c r="AC36" s="78"/>
      <c r="AD36" s="78"/>
      <c r="AE36" s="78"/>
      <c r="AF36" s="78"/>
      <c r="AG36" s="78"/>
      <c r="AH36" s="78"/>
      <c r="AI36" s="78"/>
    </row>
    <row r="37" customFormat="false" ht="27.75" hidden="false" customHeight="true" outlineLevel="0" collapsed="false">
      <c r="A37" s="79" t="s">
        <v>482</v>
      </c>
      <c r="B37" s="79" t="n">
        <v>313040</v>
      </c>
      <c r="C37" s="79" t="s">
        <v>597</v>
      </c>
      <c r="D37" s="79" t="n">
        <v>11818</v>
      </c>
      <c r="E37" s="81" t="s">
        <v>212</v>
      </c>
      <c r="F37" s="136" t="n">
        <v>17</v>
      </c>
      <c r="G37" s="136" t="n">
        <v>34</v>
      </c>
      <c r="H37" s="136" t="n">
        <v>40</v>
      </c>
      <c r="I37" s="136" t="n">
        <v>2</v>
      </c>
      <c r="J37" s="136" t="n">
        <v>11</v>
      </c>
      <c r="K37" s="81" t="s">
        <v>485</v>
      </c>
      <c r="L37" s="79"/>
      <c r="M37" s="79" t="s">
        <v>486</v>
      </c>
      <c r="N37" s="79" t="s">
        <v>486</v>
      </c>
      <c r="O37" s="137" t="str">
        <f aca="false">IF(E37="","",IF(M37&lt;&gt;"Sim","Solicitar confirmação à unidade",IF(N37&lt;&gt;"Sim","Validar dados com a unidade pela GOP",IF(IFERROR(VALUE(J37),0)&gt;0,"Planejar instalação de "&amp;J37&amp;" aparelho(s)","Inventário em dia"))))</f>
        <v>Solicitar confirmação à unidade</v>
      </c>
      <c r="P37" s="81" t="s">
        <v>598</v>
      </c>
      <c r="Q37" s="81" t="s">
        <v>599</v>
      </c>
      <c r="R37" s="128"/>
      <c r="S37" s="128"/>
      <c r="T37" s="128"/>
      <c r="U37" s="128"/>
      <c r="V37" s="128"/>
      <c r="W37" s="128"/>
      <c r="X37" s="128"/>
      <c r="Y37" s="128"/>
      <c r="Z37" s="128"/>
      <c r="AA37" s="78"/>
      <c r="AB37" s="78"/>
      <c r="AC37" s="78"/>
      <c r="AD37" s="78"/>
      <c r="AE37" s="78"/>
      <c r="AF37" s="78"/>
      <c r="AG37" s="78"/>
      <c r="AH37" s="78"/>
      <c r="AI37" s="78"/>
    </row>
    <row r="38" customFormat="false" ht="27.75" hidden="false" customHeight="true" outlineLevel="0" collapsed="false">
      <c r="A38" s="70" t="s">
        <v>482</v>
      </c>
      <c r="B38" s="70" t="n">
        <v>312016</v>
      </c>
      <c r="C38" s="70" t="s">
        <v>600</v>
      </c>
      <c r="D38" s="70" t="n">
        <v>11497</v>
      </c>
      <c r="E38" s="72" t="s">
        <v>601</v>
      </c>
      <c r="F38" s="134" t="n">
        <v>21</v>
      </c>
      <c r="G38" s="134" t="n">
        <v>37</v>
      </c>
      <c r="H38" s="134" t="n">
        <v>44</v>
      </c>
      <c r="I38" s="134" t="n">
        <v>0</v>
      </c>
      <c r="J38" s="134" t="n">
        <v>7</v>
      </c>
      <c r="K38" s="72" t="s">
        <v>485</v>
      </c>
      <c r="L38" s="70"/>
      <c r="M38" s="70" t="s">
        <v>486</v>
      </c>
      <c r="N38" s="70" t="s">
        <v>486</v>
      </c>
      <c r="O38" s="135" t="str">
        <f aca="false">IF(E38="","",IF(M38&lt;&gt;"Sim","Solicitar confirmação à unidade",IF(N38&lt;&gt;"Sim","Validar dados com a unidade pela GOP",IF(IFERROR(VALUE(J38),0)&gt;0,"Planejar instalação de "&amp;J38&amp;" aparelho(s)","Inventário em dia"))))</f>
        <v>Solicitar confirmação à unidade</v>
      </c>
      <c r="P38" s="72" t="s">
        <v>602</v>
      </c>
      <c r="Q38" s="72" t="s">
        <v>492</v>
      </c>
      <c r="R38" s="128"/>
      <c r="S38" s="128"/>
      <c r="T38" s="128"/>
      <c r="U38" s="128"/>
      <c r="V38" s="128"/>
      <c r="W38" s="128"/>
      <c r="X38" s="128"/>
      <c r="Y38" s="128"/>
      <c r="Z38" s="128"/>
      <c r="AA38" s="78"/>
      <c r="AB38" s="78"/>
      <c r="AC38" s="78"/>
      <c r="AD38" s="78"/>
      <c r="AE38" s="78"/>
      <c r="AF38" s="78"/>
      <c r="AG38" s="78"/>
      <c r="AH38" s="78"/>
      <c r="AI38" s="78"/>
    </row>
    <row r="39" customFormat="false" ht="27.75" hidden="false" customHeight="true" outlineLevel="0" collapsed="false">
      <c r="A39" s="79" t="s">
        <v>482</v>
      </c>
      <c r="B39" s="79" t="n">
        <v>313005</v>
      </c>
      <c r="C39" s="79" t="s">
        <v>603</v>
      </c>
      <c r="D39" s="79" t="n">
        <v>11853</v>
      </c>
      <c r="E39" s="81" t="s">
        <v>604</v>
      </c>
      <c r="F39" s="136" t="n">
        <v>7</v>
      </c>
      <c r="G39" s="136" t="n">
        <v>7</v>
      </c>
      <c r="H39" s="136" t="n">
        <v>12</v>
      </c>
      <c r="I39" s="136" t="n">
        <v>1</v>
      </c>
      <c r="J39" s="136" t="n">
        <v>1</v>
      </c>
      <c r="K39" s="81" t="s">
        <v>485</v>
      </c>
      <c r="L39" s="79"/>
      <c r="M39" s="79" t="s">
        <v>486</v>
      </c>
      <c r="N39" s="79" t="s">
        <v>486</v>
      </c>
      <c r="O39" s="137" t="str">
        <f aca="false">IF(E39="","",IF(M39&lt;&gt;"Sim","Solicitar confirmação à unidade",IF(N39&lt;&gt;"Sim","Validar dados com a unidade pela GOP",IF(IFERROR(VALUE(J39),0)&gt;0,"Planejar instalação de "&amp;J39&amp;" aparelho(s)","Inventário em dia"))))</f>
        <v>Solicitar confirmação à unidade</v>
      </c>
      <c r="P39" s="81" t="s">
        <v>605</v>
      </c>
      <c r="Q39" s="81" t="s">
        <v>512</v>
      </c>
      <c r="R39" s="128"/>
      <c r="S39" s="128"/>
      <c r="T39" s="128"/>
      <c r="U39" s="128"/>
      <c r="V39" s="128"/>
      <c r="W39" s="128"/>
      <c r="X39" s="128"/>
      <c r="Y39" s="128"/>
      <c r="Z39" s="128"/>
      <c r="AA39" s="78"/>
      <c r="AB39" s="78"/>
      <c r="AC39" s="78"/>
      <c r="AD39" s="78"/>
      <c r="AE39" s="78"/>
      <c r="AF39" s="78"/>
      <c r="AG39" s="78"/>
      <c r="AH39" s="78"/>
      <c r="AI39" s="78"/>
    </row>
    <row r="40" customFormat="false" ht="27.75" hidden="false" customHeight="true" outlineLevel="0" collapsed="false">
      <c r="A40" s="70" t="s">
        <v>482</v>
      </c>
      <c r="B40" s="70" t="n">
        <v>312043</v>
      </c>
      <c r="C40" s="70" t="s">
        <v>606</v>
      </c>
      <c r="D40" s="70" t="n">
        <v>46768</v>
      </c>
      <c r="E40" s="72" t="s">
        <v>219</v>
      </c>
      <c r="F40" s="134" t="n">
        <v>24</v>
      </c>
      <c r="G40" s="134" t="n">
        <v>49</v>
      </c>
      <c r="H40" s="134" t="n">
        <v>64</v>
      </c>
      <c r="I40" s="134" t="n">
        <v>1</v>
      </c>
      <c r="J40" s="134" t="n">
        <v>15</v>
      </c>
      <c r="K40" s="72" t="s">
        <v>485</v>
      </c>
      <c r="L40" s="70"/>
      <c r="M40" s="70" t="s">
        <v>486</v>
      </c>
      <c r="N40" s="70" t="s">
        <v>486</v>
      </c>
      <c r="O40" s="135" t="str">
        <f aca="false">IF(E40="","",IF(M40&lt;&gt;"Sim","Solicitar confirmação à unidade",IF(N40&lt;&gt;"Sim","Validar dados com a unidade pela GOP",IF(IFERROR(VALUE(J40),0)&gt;0,"Planejar instalação de "&amp;J40&amp;" aparelho(s)","Inventário em dia"))))</f>
        <v>Solicitar confirmação à unidade</v>
      </c>
      <c r="P40" s="72" t="s">
        <v>607</v>
      </c>
      <c r="Q40" s="72" t="s">
        <v>608</v>
      </c>
      <c r="R40" s="128"/>
      <c r="S40" s="128"/>
      <c r="T40" s="128"/>
      <c r="U40" s="128"/>
      <c r="V40" s="128"/>
      <c r="W40" s="128"/>
      <c r="X40" s="128"/>
      <c r="Y40" s="128"/>
      <c r="Z40" s="128"/>
      <c r="AA40" s="78"/>
      <c r="AB40" s="78"/>
      <c r="AC40" s="78"/>
      <c r="AD40" s="78"/>
      <c r="AE40" s="78"/>
      <c r="AF40" s="78"/>
      <c r="AG40" s="78"/>
      <c r="AH40" s="78"/>
      <c r="AI40" s="78"/>
    </row>
    <row r="41" customFormat="false" ht="27.75" hidden="false" customHeight="true" outlineLevel="0" collapsed="false">
      <c r="A41" s="79" t="s">
        <v>482</v>
      </c>
      <c r="B41" s="79" t="n">
        <v>312005</v>
      </c>
      <c r="C41" s="79" t="s">
        <v>609</v>
      </c>
      <c r="D41" s="79" t="n">
        <v>11486</v>
      </c>
      <c r="E41" s="81" t="s">
        <v>610</v>
      </c>
      <c r="F41" s="136" t="n">
        <v>18</v>
      </c>
      <c r="G41" s="136" t="n">
        <v>36</v>
      </c>
      <c r="H41" s="136" t="n">
        <v>48</v>
      </c>
      <c r="I41" s="136" t="n">
        <v>10</v>
      </c>
      <c r="J41" s="136" t="n">
        <v>5</v>
      </c>
      <c r="K41" s="81" t="s">
        <v>485</v>
      </c>
      <c r="L41" s="79"/>
      <c r="M41" s="79" t="s">
        <v>486</v>
      </c>
      <c r="N41" s="79" t="s">
        <v>486</v>
      </c>
      <c r="O41" s="137" t="str">
        <f aca="false">IF(E41="","",IF(M41&lt;&gt;"Sim","Solicitar confirmação à unidade",IF(N41&lt;&gt;"Sim","Validar dados com a unidade pela GOP",IF(IFERROR(VALUE(J41),0)&gt;0,"Planejar instalação de "&amp;J41&amp;" aparelho(s)","Inventário em dia"))))</f>
        <v>Solicitar confirmação à unidade</v>
      </c>
      <c r="P41" s="81" t="s">
        <v>611</v>
      </c>
      <c r="Q41" s="81" t="s">
        <v>580</v>
      </c>
      <c r="R41" s="128"/>
      <c r="S41" s="128"/>
      <c r="T41" s="128"/>
      <c r="U41" s="128"/>
      <c r="V41" s="128"/>
      <c r="W41" s="128"/>
      <c r="X41" s="128"/>
      <c r="Y41" s="128"/>
      <c r="Z41" s="128"/>
      <c r="AA41" s="78"/>
      <c r="AB41" s="78"/>
      <c r="AC41" s="78"/>
      <c r="AD41" s="78"/>
      <c r="AE41" s="78"/>
      <c r="AF41" s="78"/>
      <c r="AG41" s="78"/>
      <c r="AH41" s="78"/>
      <c r="AI41" s="78"/>
    </row>
    <row r="42" customFormat="false" ht="27.75" hidden="false" customHeight="true" outlineLevel="0" collapsed="false">
      <c r="A42" s="70" t="s">
        <v>482</v>
      </c>
      <c r="B42" s="70" t="n">
        <v>312008</v>
      </c>
      <c r="C42" s="70" t="s">
        <v>612</v>
      </c>
      <c r="D42" s="70" t="n">
        <v>11489</v>
      </c>
      <c r="E42" s="72" t="s">
        <v>613</v>
      </c>
      <c r="F42" s="134" t="n">
        <v>18</v>
      </c>
      <c r="G42" s="134" t="n">
        <v>36</v>
      </c>
      <c r="H42" s="134" t="n">
        <v>45</v>
      </c>
      <c r="I42" s="134" t="n">
        <v>0</v>
      </c>
      <c r="J42" s="134" t="n">
        <v>4</v>
      </c>
      <c r="K42" s="72" t="s">
        <v>485</v>
      </c>
      <c r="L42" s="70"/>
      <c r="M42" s="70" t="s">
        <v>486</v>
      </c>
      <c r="N42" s="70" t="s">
        <v>486</v>
      </c>
      <c r="O42" s="135" t="str">
        <f aca="false">IF(E42="","",IF(M42&lt;&gt;"Sim","Solicitar confirmação à unidade",IF(N42&lt;&gt;"Sim","Validar dados com a unidade pela GOP",IF(IFERROR(VALUE(J42),0)&gt;0,"Planejar instalação de "&amp;J42&amp;" aparelho(s)","Inventário em dia"))))</f>
        <v>Solicitar confirmação à unidade</v>
      </c>
      <c r="P42" s="72" t="s">
        <v>614</v>
      </c>
      <c r="Q42" s="72" t="s">
        <v>531</v>
      </c>
      <c r="R42" s="128"/>
      <c r="S42" s="128"/>
      <c r="T42" s="128"/>
      <c r="U42" s="128"/>
      <c r="V42" s="128"/>
      <c r="W42" s="128"/>
      <c r="X42" s="128"/>
      <c r="Y42" s="128"/>
      <c r="Z42" s="128"/>
      <c r="AA42" s="78"/>
      <c r="AB42" s="78"/>
      <c r="AC42" s="78"/>
      <c r="AD42" s="78"/>
      <c r="AE42" s="78"/>
      <c r="AF42" s="78"/>
      <c r="AG42" s="78"/>
      <c r="AH42" s="78"/>
      <c r="AI42" s="78"/>
    </row>
    <row r="43" customFormat="false" ht="27.75" hidden="false" customHeight="true" outlineLevel="0" collapsed="false">
      <c r="A43" s="79" t="s">
        <v>482</v>
      </c>
      <c r="B43" s="79" t="n">
        <v>312024</v>
      </c>
      <c r="C43" s="79" t="s">
        <v>615</v>
      </c>
      <c r="D43" s="79" t="n">
        <v>11505</v>
      </c>
      <c r="E43" s="81" t="s">
        <v>616</v>
      </c>
      <c r="F43" s="136" t="n">
        <v>10</v>
      </c>
      <c r="G43" s="136" t="n">
        <v>14</v>
      </c>
      <c r="H43" s="136" t="n">
        <v>21</v>
      </c>
      <c r="I43" s="136" t="n">
        <v>0</v>
      </c>
      <c r="J43" s="136" t="n">
        <v>3</v>
      </c>
      <c r="K43" s="81" t="s">
        <v>485</v>
      </c>
      <c r="L43" s="79"/>
      <c r="M43" s="79" t="s">
        <v>486</v>
      </c>
      <c r="N43" s="79" t="s">
        <v>486</v>
      </c>
      <c r="O43" s="137" t="str">
        <f aca="false">IF(E43="","",IF(M43&lt;&gt;"Sim","Solicitar confirmação à unidade",IF(N43&lt;&gt;"Sim","Validar dados com a unidade pela GOP",IF(IFERROR(VALUE(J43),0)&gt;0,"Planejar instalação de "&amp;J43&amp;" aparelho(s)","Inventário em dia"))))</f>
        <v>Solicitar confirmação à unidade</v>
      </c>
      <c r="P43" s="81" t="s">
        <v>617</v>
      </c>
      <c r="Q43" s="81" t="s">
        <v>492</v>
      </c>
      <c r="R43" s="128"/>
      <c r="S43" s="128"/>
      <c r="T43" s="128"/>
      <c r="U43" s="128"/>
      <c r="V43" s="128"/>
      <c r="W43" s="128"/>
      <c r="X43" s="128"/>
      <c r="Y43" s="128"/>
      <c r="Z43" s="128"/>
      <c r="AA43" s="78"/>
      <c r="AB43" s="78"/>
      <c r="AC43" s="78"/>
      <c r="AD43" s="78"/>
      <c r="AE43" s="78"/>
      <c r="AF43" s="78"/>
      <c r="AG43" s="78"/>
      <c r="AH43" s="78"/>
      <c r="AI43" s="78"/>
    </row>
    <row r="44" customFormat="false" ht="27.75" hidden="false" customHeight="true" outlineLevel="0" collapsed="false">
      <c r="A44" s="70" t="s">
        <v>482</v>
      </c>
      <c r="B44" s="70" t="n">
        <v>313008</v>
      </c>
      <c r="C44" s="70" t="s">
        <v>618</v>
      </c>
      <c r="D44" s="70" t="n">
        <v>11850</v>
      </c>
      <c r="E44" s="72" t="s">
        <v>619</v>
      </c>
      <c r="F44" s="134" t="n">
        <v>10</v>
      </c>
      <c r="G44" s="134" t="n">
        <v>22</v>
      </c>
      <c r="H44" s="134" t="n">
        <v>26</v>
      </c>
      <c r="I44" s="134" t="n">
        <v>0</v>
      </c>
      <c r="J44" s="134" t="n">
        <v>1</v>
      </c>
      <c r="K44" s="72" t="s">
        <v>485</v>
      </c>
      <c r="L44" s="70"/>
      <c r="M44" s="70" t="s">
        <v>486</v>
      </c>
      <c r="N44" s="70" t="s">
        <v>486</v>
      </c>
      <c r="O44" s="135" t="str">
        <f aca="false">IF(E44="","",IF(M44&lt;&gt;"Sim","Solicitar confirmação à unidade",IF(N44&lt;&gt;"Sim","Validar dados com a unidade pela GOP",IF(IFERROR(VALUE(J44),0)&gt;0,"Planejar instalação de "&amp;J44&amp;" aparelho(s)","Inventário em dia"))))</f>
        <v>Solicitar confirmação à unidade</v>
      </c>
      <c r="P44" s="72" t="s">
        <v>620</v>
      </c>
      <c r="Q44" s="72" t="s">
        <v>488</v>
      </c>
      <c r="R44" s="128"/>
      <c r="S44" s="128"/>
      <c r="T44" s="128"/>
      <c r="U44" s="128"/>
      <c r="V44" s="128"/>
      <c r="W44" s="128"/>
      <c r="X44" s="128"/>
      <c r="Y44" s="128"/>
      <c r="Z44" s="128"/>
      <c r="AA44" s="78"/>
      <c r="AB44" s="78"/>
      <c r="AC44" s="78"/>
      <c r="AD44" s="78"/>
      <c r="AE44" s="78"/>
      <c r="AF44" s="78"/>
      <c r="AG44" s="78"/>
      <c r="AH44" s="78"/>
      <c r="AI44" s="78"/>
    </row>
    <row r="45" customFormat="false" ht="27.75" hidden="false" customHeight="true" outlineLevel="0" collapsed="false">
      <c r="A45" s="79" t="s">
        <v>482</v>
      </c>
      <c r="B45" s="79" t="n">
        <v>313035</v>
      </c>
      <c r="C45" s="79" t="s">
        <v>621</v>
      </c>
      <c r="D45" s="79" t="n">
        <v>11823</v>
      </c>
      <c r="E45" s="81" t="s">
        <v>622</v>
      </c>
      <c r="F45" s="136" t="n">
        <v>7</v>
      </c>
      <c r="G45" s="136" t="n">
        <v>13</v>
      </c>
      <c r="H45" s="136" t="n">
        <v>17</v>
      </c>
      <c r="I45" s="136" t="n">
        <v>0</v>
      </c>
      <c r="J45" s="136" t="n">
        <v>0</v>
      </c>
      <c r="K45" s="81" t="s">
        <v>485</v>
      </c>
      <c r="L45" s="79"/>
      <c r="M45" s="79" t="s">
        <v>486</v>
      </c>
      <c r="N45" s="79" t="s">
        <v>486</v>
      </c>
      <c r="O45" s="137" t="str">
        <f aca="false">IF(E45="","",IF(M45&lt;&gt;"Sim","Solicitar confirmação à unidade",IF(N45&lt;&gt;"Sim","Validar dados com a unidade pela GOP",IF(IFERROR(VALUE(J45),0)&gt;0,"Planejar instalação de "&amp;J45&amp;" aparelho(s)","Inventário em dia"))))</f>
        <v>Solicitar confirmação à unidade</v>
      </c>
      <c r="P45" s="81" t="s">
        <v>623</v>
      </c>
      <c r="Q45" s="81" t="s">
        <v>544</v>
      </c>
      <c r="R45" s="128"/>
      <c r="S45" s="128"/>
      <c r="T45" s="128"/>
      <c r="U45" s="128"/>
      <c r="V45" s="128"/>
      <c r="W45" s="128"/>
      <c r="X45" s="128"/>
      <c r="Y45" s="128"/>
      <c r="Z45" s="128"/>
      <c r="AA45" s="78"/>
      <c r="AB45" s="78"/>
      <c r="AC45" s="78"/>
      <c r="AD45" s="78"/>
      <c r="AE45" s="78"/>
      <c r="AF45" s="78"/>
      <c r="AG45" s="78"/>
      <c r="AH45" s="78"/>
      <c r="AI45" s="78"/>
    </row>
    <row r="46" customFormat="false" ht="27.75" hidden="false" customHeight="true" outlineLevel="0" collapsed="false">
      <c r="A46" s="70" t="s">
        <v>482</v>
      </c>
      <c r="B46" s="70" t="n">
        <v>312044</v>
      </c>
      <c r="C46" s="70" t="s">
        <v>624</v>
      </c>
      <c r="D46" s="70" t="n">
        <v>52076</v>
      </c>
      <c r="E46" s="72" t="s">
        <v>625</v>
      </c>
      <c r="F46" s="134" t="n">
        <v>14</v>
      </c>
      <c r="G46" s="134" t="n">
        <v>29</v>
      </c>
      <c r="H46" s="134" t="n">
        <v>45</v>
      </c>
      <c r="I46" s="134" t="n">
        <v>0</v>
      </c>
      <c r="J46" s="134" t="n">
        <v>1</v>
      </c>
      <c r="K46" s="72" t="s">
        <v>485</v>
      </c>
      <c r="L46" s="70"/>
      <c r="M46" s="70" t="s">
        <v>486</v>
      </c>
      <c r="N46" s="70" t="s">
        <v>486</v>
      </c>
      <c r="O46" s="135" t="str">
        <f aca="false">IF(E46="","",IF(M46&lt;&gt;"Sim","Solicitar confirmação à unidade",IF(N46&lt;&gt;"Sim","Validar dados com a unidade pela GOP",IF(IFERROR(VALUE(J46),0)&gt;0,"Planejar instalação de "&amp;J46&amp;" aparelho(s)","Inventário em dia"))))</f>
        <v>Solicitar confirmação à unidade</v>
      </c>
      <c r="P46" s="72" t="s">
        <v>626</v>
      </c>
      <c r="Q46" s="72" t="s">
        <v>608</v>
      </c>
      <c r="R46" s="128"/>
      <c r="S46" s="128"/>
      <c r="T46" s="128"/>
      <c r="U46" s="128"/>
      <c r="V46" s="128"/>
      <c r="W46" s="128"/>
      <c r="X46" s="128"/>
      <c r="Y46" s="128"/>
      <c r="Z46" s="128"/>
      <c r="AA46" s="78"/>
      <c r="AB46" s="78"/>
      <c r="AC46" s="78"/>
      <c r="AD46" s="78"/>
      <c r="AE46" s="78"/>
      <c r="AF46" s="78"/>
      <c r="AG46" s="78"/>
      <c r="AH46" s="78"/>
      <c r="AI46" s="78"/>
    </row>
    <row r="47" customFormat="false" ht="27.75" hidden="false" customHeight="true" outlineLevel="0" collapsed="false">
      <c r="A47" s="79" t="s">
        <v>482</v>
      </c>
      <c r="B47" s="79" t="n">
        <v>313054</v>
      </c>
      <c r="C47" s="79" t="s">
        <v>627</v>
      </c>
      <c r="D47" s="79" t="n">
        <v>11804</v>
      </c>
      <c r="E47" s="81" t="s">
        <v>628</v>
      </c>
      <c r="F47" s="136" t="n">
        <v>9</v>
      </c>
      <c r="G47" s="136" t="n">
        <v>17</v>
      </c>
      <c r="H47" s="136" t="n">
        <v>21</v>
      </c>
      <c r="I47" s="136" t="n">
        <v>0</v>
      </c>
      <c r="J47" s="136" t="n">
        <v>0</v>
      </c>
      <c r="K47" s="81" t="s">
        <v>485</v>
      </c>
      <c r="L47" s="79"/>
      <c r="M47" s="79" t="s">
        <v>486</v>
      </c>
      <c r="N47" s="79" t="s">
        <v>486</v>
      </c>
      <c r="O47" s="137" t="str">
        <f aca="false">IF(E47="","",IF(M47&lt;&gt;"Sim","Solicitar confirmação à unidade",IF(N47&lt;&gt;"Sim","Validar dados com a unidade pela GOP",IF(IFERROR(VALUE(J47),0)&gt;0,"Planejar instalação de "&amp;J47&amp;" aparelho(s)","Inventário em dia"))))</f>
        <v>Solicitar confirmação à unidade</v>
      </c>
      <c r="P47" s="81" t="s">
        <v>629</v>
      </c>
      <c r="Q47" s="81" t="s">
        <v>576</v>
      </c>
      <c r="R47" s="128"/>
      <c r="S47" s="128"/>
      <c r="T47" s="128"/>
      <c r="U47" s="128"/>
      <c r="V47" s="128"/>
      <c r="W47" s="128"/>
      <c r="X47" s="128"/>
      <c r="Y47" s="128"/>
      <c r="Z47" s="128"/>
      <c r="AA47" s="78"/>
      <c r="AB47" s="78"/>
      <c r="AC47" s="78"/>
      <c r="AD47" s="78"/>
      <c r="AE47" s="78"/>
      <c r="AF47" s="78"/>
      <c r="AG47" s="78"/>
      <c r="AH47" s="78"/>
      <c r="AI47" s="78"/>
    </row>
    <row r="48" customFormat="false" ht="27.75" hidden="false" customHeight="true" outlineLevel="0" collapsed="false">
      <c r="A48" s="70" t="s">
        <v>482</v>
      </c>
      <c r="B48" s="70" t="n">
        <v>312004</v>
      </c>
      <c r="C48" s="70" t="s">
        <v>630</v>
      </c>
      <c r="D48" s="70" t="n">
        <v>11485</v>
      </c>
      <c r="E48" s="72" t="s">
        <v>631</v>
      </c>
      <c r="F48" s="134" t="n">
        <v>18</v>
      </c>
      <c r="G48" s="134" t="n">
        <v>18</v>
      </c>
      <c r="H48" s="134" t="n">
        <v>29</v>
      </c>
      <c r="I48" s="134" t="n">
        <v>0</v>
      </c>
      <c r="J48" s="134" t="n">
        <v>10</v>
      </c>
      <c r="K48" s="72" t="s">
        <v>485</v>
      </c>
      <c r="L48" s="70"/>
      <c r="M48" s="70" t="s">
        <v>486</v>
      </c>
      <c r="N48" s="70" t="s">
        <v>486</v>
      </c>
      <c r="O48" s="135" t="str">
        <f aca="false">IF(E48="","",IF(M48&lt;&gt;"Sim","Solicitar confirmação à unidade",IF(N48&lt;&gt;"Sim","Validar dados com a unidade pela GOP",IF(IFERROR(VALUE(J48),0)&gt;0,"Planejar instalação de "&amp;J48&amp;" aparelho(s)","Inventário em dia"))))</f>
        <v>Solicitar confirmação à unidade</v>
      </c>
      <c r="P48" s="72" t="s">
        <v>632</v>
      </c>
      <c r="Q48" s="72" t="s">
        <v>580</v>
      </c>
      <c r="R48" s="128"/>
      <c r="S48" s="128"/>
      <c r="T48" s="128"/>
      <c r="U48" s="128"/>
      <c r="V48" s="128"/>
      <c r="W48" s="128"/>
      <c r="X48" s="128"/>
      <c r="Y48" s="128"/>
      <c r="Z48" s="128"/>
      <c r="AA48" s="78"/>
      <c r="AB48" s="78"/>
      <c r="AC48" s="78"/>
      <c r="AD48" s="78"/>
      <c r="AE48" s="78"/>
      <c r="AF48" s="78"/>
      <c r="AG48" s="78"/>
      <c r="AH48" s="78"/>
      <c r="AI48" s="78"/>
    </row>
    <row r="49" customFormat="false" ht="27.75" hidden="false" customHeight="true" outlineLevel="0" collapsed="false">
      <c r="A49" s="79" t="s">
        <v>482</v>
      </c>
      <c r="B49" s="79" t="n">
        <v>312031</v>
      </c>
      <c r="C49" s="79" t="s">
        <v>633</v>
      </c>
      <c r="D49" s="79" t="n">
        <v>10904</v>
      </c>
      <c r="E49" s="81" t="s">
        <v>634</v>
      </c>
      <c r="F49" s="136" t="n">
        <v>16</v>
      </c>
      <c r="G49" s="136" t="n">
        <v>26</v>
      </c>
      <c r="H49" s="136" t="n">
        <v>33</v>
      </c>
      <c r="I49" s="136" t="n">
        <v>0</v>
      </c>
      <c r="J49" s="136" t="n">
        <v>2</v>
      </c>
      <c r="K49" s="81" t="s">
        <v>485</v>
      </c>
      <c r="L49" s="79"/>
      <c r="M49" s="79" t="s">
        <v>486</v>
      </c>
      <c r="N49" s="79" t="s">
        <v>486</v>
      </c>
      <c r="O49" s="137" t="str">
        <f aca="false">IF(E49="","",IF(M49&lt;&gt;"Sim","Solicitar confirmação à unidade",IF(N49&lt;&gt;"Sim","Validar dados com a unidade pela GOP",IF(IFERROR(VALUE(J49),0)&gt;0,"Planejar instalação de "&amp;J49&amp;" aparelho(s)","Inventário em dia"))))</f>
        <v>Solicitar confirmação à unidade</v>
      </c>
      <c r="P49" s="81" t="s">
        <v>635</v>
      </c>
      <c r="Q49" s="81" t="s">
        <v>636</v>
      </c>
      <c r="R49" s="128"/>
      <c r="S49" s="128"/>
      <c r="T49" s="128"/>
      <c r="U49" s="128"/>
      <c r="V49" s="128"/>
      <c r="W49" s="128"/>
      <c r="X49" s="128"/>
      <c r="Y49" s="128"/>
      <c r="Z49" s="128"/>
      <c r="AA49" s="78"/>
      <c r="AB49" s="78"/>
      <c r="AC49" s="78"/>
      <c r="AD49" s="78"/>
      <c r="AE49" s="78"/>
      <c r="AF49" s="78"/>
      <c r="AG49" s="78"/>
      <c r="AH49" s="78"/>
      <c r="AI49" s="78"/>
    </row>
    <row r="50" customFormat="false" ht="27.75" hidden="false" customHeight="true" outlineLevel="0" collapsed="false">
      <c r="A50" s="70" t="s">
        <v>482</v>
      </c>
      <c r="B50" s="70" t="n">
        <v>312021</v>
      </c>
      <c r="C50" s="70" t="s">
        <v>637</v>
      </c>
      <c r="D50" s="70" t="n">
        <v>11502</v>
      </c>
      <c r="E50" s="72" t="s">
        <v>208</v>
      </c>
      <c r="F50" s="134" t="n">
        <v>10</v>
      </c>
      <c r="G50" s="134" t="n">
        <v>29</v>
      </c>
      <c r="H50" s="134" t="n">
        <v>34</v>
      </c>
      <c r="I50" s="134" t="n">
        <v>1</v>
      </c>
      <c r="J50" s="134" t="n">
        <v>7</v>
      </c>
      <c r="K50" s="72" t="s">
        <v>485</v>
      </c>
      <c r="L50" s="70"/>
      <c r="M50" s="70" t="s">
        <v>486</v>
      </c>
      <c r="N50" s="70" t="s">
        <v>486</v>
      </c>
      <c r="O50" s="135" t="str">
        <f aca="false">IF(E50="","",IF(M50&lt;&gt;"Sim","Solicitar confirmação à unidade",IF(N50&lt;&gt;"Sim","Validar dados com a unidade pela GOP",IF(IFERROR(VALUE(J50),0)&gt;0,"Planejar instalação de "&amp;J50&amp;" aparelho(s)","Inventário em dia"))))</f>
        <v>Solicitar confirmação à unidade</v>
      </c>
      <c r="P50" s="72" t="s">
        <v>638</v>
      </c>
      <c r="Q50" s="72" t="s">
        <v>492</v>
      </c>
      <c r="R50" s="128"/>
      <c r="S50" s="128"/>
      <c r="T50" s="128"/>
      <c r="U50" s="128"/>
      <c r="V50" s="128"/>
      <c r="W50" s="128"/>
      <c r="X50" s="128"/>
      <c r="Y50" s="128"/>
      <c r="Z50" s="128"/>
      <c r="AA50" s="78"/>
      <c r="AB50" s="78"/>
      <c r="AC50" s="78"/>
      <c r="AD50" s="78"/>
      <c r="AE50" s="78"/>
      <c r="AF50" s="78"/>
      <c r="AG50" s="78"/>
      <c r="AH50" s="78"/>
      <c r="AI50" s="78"/>
    </row>
    <row r="51" customFormat="false" ht="27.75" hidden="false" customHeight="true" outlineLevel="0" collapsed="false">
      <c r="A51" s="79" t="s">
        <v>482</v>
      </c>
      <c r="B51" s="79" t="n">
        <v>313021</v>
      </c>
      <c r="C51" s="79" t="s">
        <v>639</v>
      </c>
      <c r="D51" s="79" t="n">
        <v>11837</v>
      </c>
      <c r="E51" s="81" t="s">
        <v>640</v>
      </c>
      <c r="F51" s="136" t="n">
        <v>10</v>
      </c>
      <c r="G51" s="136" t="n">
        <v>20</v>
      </c>
      <c r="H51" s="136" t="n">
        <v>27</v>
      </c>
      <c r="I51" s="136" t="n">
        <v>0</v>
      </c>
      <c r="J51" s="136" t="n">
        <v>0</v>
      </c>
      <c r="K51" s="81" t="s">
        <v>485</v>
      </c>
      <c r="L51" s="79"/>
      <c r="M51" s="79" t="s">
        <v>486</v>
      </c>
      <c r="N51" s="79" t="s">
        <v>486</v>
      </c>
      <c r="O51" s="137" t="str">
        <f aca="false">IF(E51="","",IF(M51&lt;&gt;"Sim","Solicitar confirmação à unidade",IF(N51&lt;&gt;"Sim","Validar dados com a unidade pela GOP",IF(IFERROR(VALUE(J51),0)&gt;0,"Planejar instalação de "&amp;J51&amp;" aparelho(s)","Inventário em dia"))))</f>
        <v>Solicitar confirmação à unidade</v>
      </c>
      <c r="P51" s="81" t="s">
        <v>641</v>
      </c>
      <c r="Q51" s="81" t="s">
        <v>569</v>
      </c>
      <c r="R51" s="128"/>
      <c r="S51" s="128"/>
      <c r="T51" s="128"/>
      <c r="U51" s="128"/>
      <c r="V51" s="128"/>
      <c r="W51" s="128"/>
      <c r="X51" s="128"/>
      <c r="Y51" s="128"/>
      <c r="Z51" s="128"/>
      <c r="AA51" s="78"/>
      <c r="AB51" s="78"/>
      <c r="AC51" s="78"/>
      <c r="AD51" s="78"/>
      <c r="AE51" s="78"/>
      <c r="AF51" s="78"/>
      <c r="AG51" s="78"/>
      <c r="AH51" s="78"/>
      <c r="AI51" s="78"/>
    </row>
    <row r="52" customFormat="false" ht="27.75" hidden="false" customHeight="true" outlineLevel="0" collapsed="false">
      <c r="A52" s="70" t="s">
        <v>482</v>
      </c>
      <c r="B52" s="70" t="n">
        <v>312009</v>
      </c>
      <c r="C52" s="70" t="s">
        <v>642</v>
      </c>
      <c r="D52" s="70" t="n">
        <v>11490</v>
      </c>
      <c r="E52" s="72" t="s">
        <v>643</v>
      </c>
      <c r="F52" s="134" t="n">
        <v>19</v>
      </c>
      <c r="G52" s="134" t="n">
        <v>37</v>
      </c>
      <c r="H52" s="134" t="n">
        <v>40</v>
      </c>
      <c r="I52" s="134" t="n">
        <v>0</v>
      </c>
      <c r="J52" s="134" t="n">
        <v>0</v>
      </c>
      <c r="K52" s="72" t="s">
        <v>485</v>
      </c>
      <c r="L52" s="70"/>
      <c r="M52" s="70" t="s">
        <v>486</v>
      </c>
      <c r="N52" s="70" t="s">
        <v>486</v>
      </c>
      <c r="O52" s="135" t="str">
        <f aca="false">IF(E52="","",IF(M52&lt;&gt;"Sim","Solicitar confirmação à unidade",IF(N52&lt;&gt;"Sim","Validar dados com a unidade pela GOP",IF(IFERROR(VALUE(J52),0)&gt;0,"Planejar instalação de "&amp;J52&amp;" aparelho(s)","Inventário em dia"))))</f>
        <v>Solicitar confirmação à unidade</v>
      </c>
      <c r="P52" s="72" t="s">
        <v>644</v>
      </c>
      <c r="Q52" s="72" t="s">
        <v>645</v>
      </c>
      <c r="R52" s="128"/>
      <c r="S52" s="128"/>
      <c r="T52" s="128"/>
      <c r="U52" s="128"/>
      <c r="V52" s="128"/>
      <c r="W52" s="128"/>
      <c r="X52" s="128"/>
      <c r="Y52" s="128"/>
      <c r="Z52" s="128"/>
      <c r="AA52" s="78"/>
      <c r="AB52" s="78"/>
      <c r="AC52" s="78"/>
      <c r="AD52" s="78"/>
      <c r="AE52" s="78"/>
      <c r="AF52" s="78"/>
      <c r="AG52" s="78"/>
      <c r="AH52" s="78"/>
      <c r="AI52" s="78"/>
    </row>
    <row r="53" customFormat="false" ht="27.75" hidden="false" customHeight="true" outlineLevel="0" collapsed="false">
      <c r="A53" s="79" t="s">
        <v>482</v>
      </c>
      <c r="B53" s="79" t="n">
        <v>313042</v>
      </c>
      <c r="C53" s="79" t="s">
        <v>646</v>
      </c>
      <c r="D53" s="79" t="n">
        <v>11816</v>
      </c>
      <c r="E53" s="81" t="s">
        <v>647</v>
      </c>
      <c r="F53" s="136" t="n">
        <v>12</v>
      </c>
      <c r="G53" s="136" t="n">
        <v>20</v>
      </c>
      <c r="H53" s="136" t="n">
        <v>26</v>
      </c>
      <c r="I53" s="136" t="n">
        <v>0</v>
      </c>
      <c r="J53" s="136" t="n">
        <v>0</v>
      </c>
      <c r="K53" s="81" t="s">
        <v>485</v>
      </c>
      <c r="L53" s="79"/>
      <c r="M53" s="79" t="s">
        <v>486</v>
      </c>
      <c r="N53" s="79" t="s">
        <v>486</v>
      </c>
      <c r="O53" s="137" t="str">
        <f aca="false">IF(E53="","",IF(M53&lt;&gt;"Sim","Solicitar confirmação à unidade",IF(N53&lt;&gt;"Sim","Validar dados com a unidade pela GOP",IF(IFERROR(VALUE(J53),0)&gt;0,"Planejar instalação de "&amp;J53&amp;" aparelho(s)","Inventário em dia"))))</f>
        <v>Solicitar confirmação à unidade</v>
      </c>
      <c r="P53" s="81" t="s">
        <v>648</v>
      </c>
      <c r="Q53" s="81" t="s">
        <v>544</v>
      </c>
      <c r="R53" s="128"/>
      <c r="S53" s="128"/>
      <c r="T53" s="128"/>
      <c r="U53" s="128"/>
      <c r="V53" s="128"/>
      <c r="W53" s="128"/>
      <c r="X53" s="128"/>
      <c r="Y53" s="128"/>
      <c r="Z53" s="128"/>
      <c r="AA53" s="78"/>
      <c r="AB53" s="78"/>
      <c r="AC53" s="78"/>
      <c r="AD53" s="78"/>
      <c r="AE53" s="78"/>
      <c r="AF53" s="78"/>
      <c r="AG53" s="78"/>
      <c r="AH53" s="78"/>
      <c r="AI53" s="78"/>
    </row>
    <row r="54" customFormat="false" ht="27.75" hidden="false" customHeight="true" outlineLevel="0" collapsed="false">
      <c r="A54" s="70" t="s">
        <v>482</v>
      </c>
      <c r="B54" s="70" t="n">
        <v>312020</v>
      </c>
      <c r="C54" s="70" t="s">
        <v>649</v>
      </c>
      <c r="D54" s="70" t="n">
        <v>11501</v>
      </c>
      <c r="E54" s="72" t="s">
        <v>650</v>
      </c>
      <c r="F54" s="134" t="n">
        <v>11</v>
      </c>
      <c r="G54" s="134" t="n">
        <v>19</v>
      </c>
      <c r="H54" s="134" t="n">
        <v>24</v>
      </c>
      <c r="I54" s="134" t="n">
        <v>0</v>
      </c>
      <c r="J54" s="134" t="n">
        <v>3</v>
      </c>
      <c r="K54" s="72" t="s">
        <v>485</v>
      </c>
      <c r="L54" s="70"/>
      <c r="M54" s="70" t="s">
        <v>486</v>
      </c>
      <c r="N54" s="70" t="s">
        <v>486</v>
      </c>
      <c r="O54" s="135" t="str">
        <f aca="false">IF(E54="","",IF(M54&lt;&gt;"Sim","Solicitar confirmação à unidade",IF(N54&lt;&gt;"Sim","Validar dados com a unidade pela GOP",IF(IFERROR(VALUE(J54),0)&gt;0,"Planejar instalação de "&amp;J54&amp;" aparelho(s)","Inventário em dia"))))</f>
        <v>Solicitar confirmação à unidade</v>
      </c>
      <c r="P54" s="72" t="s">
        <v>651</v>
      </c>
      <c r="Q54" s="72" t="s">
        <v>492</v>
      </c>
      <c r="R54" s="128"/>
      <c r="S54" s="128"/>
      <c r="T54" s="128"/>
      <c r="U54" s="128"/>
      <c r="V54" s="128"/>
      <c r="W54" s="128"/>
      <c r="X54" s="128"/>
      <c r="Y54" s="128"/>
      <c r="Z54" s="128"/>
      <c r="AA54" s="78"/>
      <c r="AB54" s="78"/>
      <c r="AC54" s="78"/>
      <c r="AD54" s="78"/>
      <c r="AE54" s="78"/>
      <c r="AF54" s="78"/>
      <c r="AG54" s="78"/>
      <c r="AH54" s="78"/>
      <c r="AI54" s="78"/>
    </row>
    <row r="55" customFormat="false" ht="27.75" hidden="false" customHeight="true" outlineLevel="0" collapsed="false">
      <c r="A55" s="79" t="s">
        <v>482</v>
      </c>
      <c r="B55" s="79" t="n">
        <v>313023</v>
      </c>
      <c r="C55" s="79" t="s">
        <v>652</v>
      </c>
      <c r="D55" s="79" t="n">
        <v>11835</v>
      </c>
      <c r="E55" s="81" t="s">
        <v>653</v>
      </c>
      <c r="F55" s="136" t="n">
        <v>7</v>
      </c>
      <c r="G55" s="136" t="n">
        <v>14</v>
      </c>
      <c r="H55" s="136" t="n">
        <v>22</v>
      </c>
      <c r="I55" s="136" t="n">
        <v>0</v>
      </c>
      <c r="J55" s="136" t="n">
        <v>0</v>
      </c>
      <c r="K55" s="81" t="s">
        <v>485</v>
      </c>
      <c r="L55" s="79"/>
      <c r="M55" s="79" t="s">
        <v>486</v>
      </c>
      <c r="N55" s="79" t="s">
        <v>486</v>
      </c>
      <c r="O55" s="137" t="str">
        <f aca="false">IF(E55="","",IF(M55&lt;&gt;"Sim","Solicitar confirmação à unidade",IF(N55&lt;&gt;"Sim","Validar dados com a unidade pela GOP",IF(IFERROR(VALUE(J55),0)&gt;0,"Planejar instalação de "&amp;J55&amp;" aparelho(s)","Inventário em dia"))))</f>
        <v>Solicitar confirmação à unidade</v>
      </c>
      <c r="P55" s="81" t="s">
        <v>654</v>
      </c>
      <c r="Q55" s="81" t="s">
        <v>544</v>
      </c>
      <c r="R55" s="128"/>
      <c r="S55" s="128"/>
      <c r="T55" s="128"/>
      <c r="U55" s="128"/>
      <c r="V55" s="128"/>
      <c r="W55" s="128"/>
      <c r="X55" s="128"/>
      <c r="Y55" s="128"/>
      <c r="Z55" s="128"/>
      <c r="AA55" s="78"/>
      <c r="AB55" s="78"/>
      <c r="AC55" s="78"/>
      <c r="AD55" s="78"/>
      <c r="AE55" s="78"/>
      <c r="AF55" s="78"/>
      <c r="AG55" s="78"/>
      <c r="AH55" s="78"/>
      <c r="AI55" s="78"/>
    </row>
    <row r="56" customFormat="false" ht="27.75" hidden="false" customHeight="true" outlineLevel="0" collapsed="false">
      <c r="A56" s="70" t="s">
        <v>482</v>
      </c>
      <c r="B56" s="70" t="n">
        <v>313034</v>
      </c>
      <c r="C56" s="70" t="s">
        <v>655</v>
      </c>
      <c r="D56" s="70" t="n">
        <v>11824</v>
      </c>
      <c r="E56" s="72" t="s">
        <v>271</v>
      </c>
      <c r="F56" s="134" t="n">
        <v>12</v>
      </c>
      <c r="G56" s="134" t="n">
        <v>11</v>
      </c>
      <c r="H56" s="134" t="n">
        <v>17</v>
      </c>
      <c r="I56" s="134" t="n">
        <v>0</v>
      </c>
      <c r="J56" s="134" t="n">
        <v>4</v>
      </c>
      <c r="K56" s="72" t="s">
        <v>485</v>
      </c>
      <c r="L56" s="70"/>
      <c r="M56" s="70" t="s">
        <v>486</v>
      </c>
      <c r="N56" s="70" t="s">
        <v>486</v>
      </c>
      <c r="O56" s="135" t="str">
        <f aca="false">IF(E56="","",IF(M56&lt;&gt;"Sim","Solicitar confirmação à unidade",IF(N56&lt;&gt;"Sim","Validar dados com a unidade pela GOP",IF(IFERROR(VALUE(J56),0)&gt;0,"Planejar instalação de "&amp;J56&amp;" aparelho(s)","Inventário em dia"))))</f>
        <v>Solicitar confirmação à unidade</v>
      </c>
      <c r="P56" s="72" t="s">
        <v>656</v>
      </c>
      <c r="Q56" s="72" t="s">
        <v>544</v>
      </c>
      <c r="R56" s="128"/>
      <c r="S56" s="128"/>
      <c r="T56" s="128"/>
      <c r="U56" s="128"/>
      <c r="V56" s="128"/>
      <c r="W56" s="128"/>
      <c r="X56" s="128"/>
      <c r="Y56" s="128"/>
      <c r="Z56" s="128"/>
      <c r="AA56" s="78"/>
      <c r="AB56" s="78"/>
      <c r="AC56" s="78"/>
      <c r="AD56" s="78"/>
      <c r="AE56" s="78"/>
      <c r="AF56" s="78"/>
      <c r="AG56" s="78"/>
      <c r="AH56" s="78"/>
      <c r="AI56" s="78"/>
    </row>
    <row r="57" customFormat="false" ht="27.75" hidden="false" customHeight="true" outlineLevel="0" collapsed="false">
      <c r="A57" s="79" t="s">
        <v>482</v>
      </c>
      <c r="B57" s="79" t="n">
        <v>313018</v>
      </c>
      <c r="C57" s="79" t="s">
        <v>657</v>
      </c>
      <c r="D57" s="79" t="n">
        <v>11840</v>
      </c>
      <c r="E57" s="81" t="s">
        <v>204</v>
      </c>
      <c r="F57" s="136" t="n">
        <v>13</v>
      </c>
      <c r="G57" s="136" t="n">
        <v>25</v>
      </c>
      <c r="H57" s="136" t="n">
        <v>28</v>
      </c>
      <c r="I57" s="136" t="n">
        <v>1</v>
      </c>
      <c r="J57" s="136" t="n">
        <v>13</v>
      </c>
      <c r="K57" s="81" t="s">
        <v>485</v>
      </c>
      <c r="L57" s="79"/>
      <c r="M57" s="79" t="s">
        <v>486</v>
      </c>
      <c r="N57" s="79" t="s">
        <v>486</v>
      </c>
      <c r="O57" s="137" t="str">
        <f aca="false">IF(E57="","",IF(M57&lt;&gt;"Sim","Solicitar confirmação à unidade",IF(N57&lt;&gt;"Sim","Validar dados com a unidade pela GOP",IF(IFERROR(VALUE(J57),0)&gt;0,"Planejar instalação de "&amp;J57&amp;" aparelho(s)","Inventário em dia"))))</f>
        <v>Solicitar confirmação à unidade</v>
      </c>
      <c r="P57" s="81" t="s">
        <v>658</v>
      </c>
      <c r="Q57" s="81" t="s">
        <v>573</v>
      </c>
      <c r="R57" s="128"/>
      <c r="S57" s="128"/>
      <c r="T57" s="128"/>
      <c r="U57" s="128"/>
      <c r="V57" s="128"/>
      <c r="W57" s="128"/>
      <c r="X57" s="128"/>
      <c r="Y57" s="128"/>
      <c r="Z57" s="128"/>
      <c r="AA57" s="78"/>
      <c r="AB57" s="78"/>
      <c r="AC57" s="78"/>
      <c r="AD57" s="78"/>
      <c r="AE57" s="78"/>
      <c r="AF57" s="78"/>
      <c r="AG57" s="78"/>
      <c r="AH57" s="78"/>
      <c r="AI57" s="78"/>
    </row>
    <row r="58" customFormat="false" ht="27.75" hidden="false" customHeight="true" outlineLevel="0" collapsed="false">
      <c r="A58" s="70" t="s">
        <v>482</v>
      </c>
      <c r="B58" s="70" t="n">
        <v>313027</v>
      </c>
      <c r="C58" s="70" t="s">
        <v>659</v>
      </c>
      <c r="D58" s="70" t="n">
        <v>11831</v>
      </c>
      <c r="E58" s="72" t="s">
        <v>660</v>
      </c>
      <c r="F58" s="134" t="n">
        <v>13</v>
      </c>
      <c r="G58" s="134" t="n">
        <v>25</v>
      </c>
      <c r="H58" s="134" t="n">
        <v>37</v>
      </c>
      <c r="I58" s="134" t="n">
        <v>0</v>
      </c>
      <c r="J58" s="134" t="n">
        <v>0</v>
      </c>
      <c r="K58" s="72" t="s">
        <v>485</v>
      </c>
      <c r="L58" s="70"/>
      <c r="M58" s="70" t="s">
        <v>486</v>
      </c>
      <c r="N58" s="70" t="s">
        <v>486</v>
      </c>
      <c r="O58" s="135" t="str">
        <f aca="false">IF(E58="","",IF(M58&lt;&gt;"Sim","Solicitar confirmação à unidade",IF(N58&lt;&gt;"Sim","Validar dados com a unidade pela GOP",IF(IFERROR(VALUE(J58),0)&gt;0,"Planejar instalação de "&amp;J58&amp;" aparelho(s)","Inventário em dia"))))</f>
        <v>Solicitar confirmação à unidade</v>
      </c>
      <c r="P58" s="72" t="s">
        <v>661</v>
      </c>
      <c r="Q58" s="72" t="s">
        <v>662</v>
      </c>
      <c r="R58" s="128"/>
      <c r="S58" s="128"/>
      <c r="T58" s="128"/>
      <c r="U58" s="128"/>
      <c r="V58" s="128"/>
      <c r="W58" s="128"/>
      <c r="X58" s="128"/>
      <c r="Y58" s="128"/>
      <c r="Z58" s="128"/>
      <c r="AA58" s="78"/>
      <c r="AB58" s="78"/>
      <c r="AC58" s="78"/>
      <c r="AD58" s="78"/>
      <c r="AE58" s="78"/>
      <c r="AF58" s="78"/>
      <c r="AG58" s="78"/>
      <c r="AH58" s="78"/>
      <c r="AI58" s="78"/>
    </row>
    <row r="59" customFormat="false" ht="27.75" hidden="false" customHeight="true" outlineLevel="0" collapsed="false">
      <c r="A59" s="79" t="s">
        <v>482</v>
      </c>
      <c r="B59" s="79" t="n">
        <v>312023</v>
      </c>
      <c r="C59" s="79" t="s">
        <v>663</v>
      </c>
      <c r="D59" s="79" t="n">
        <v>11504</v>
      </c>
      <c r="E59" s="81" t="s">
        <v>223</v>
      </c>
      <c r="F59" s="136" t="n">
        <v>19</v>
      </c>
      <c r="G59" s="136" t="n">
        <v>20</v>
      </c>
      <c r="H59" s="136" t="n">
        <v>25</v>
      </c>
      <c r="I59" s="136" t="n">
        <v>0</v>
      </c>
      <c r="J59" s="136" t="n">
        <v>3</v>
      </c>
      <c r="K59" s="81" t="s">
        <v>485</v>
      </c>
      <c r="L59" s="79"/>
      <c r="M59" s="79" t="s">
        <v>486</v>
      </c>
      <c r="N59" s="79" t="s">
        <v>486</v>
      </c>
      <c r="O59" s="137" t="str">
        <f aca="false">IF(E59="","",IF(M59&lt;&gt;"Sim","Solicitar confirmação à unidade",IF(N59&lt;&gt;"Sim","Validar dados com a unidade pela GOP",IF(IFERROR(VALUE(J59),0)&gt;0,"Planejar instalação de "&amp;J59&amp;" aparelho(s)","Inventário em dia"))))</f>
        <v>Solicitar confirmação à unidade</v>
      </c>
      <c r="P59" s="81" t="s">
        <v>664</v>
      </c>
      <c r="Q59" s="81" t="s">
        <v>492</v>
      </c>
      <c r="R59" s="128"/>
      <c r="S59" s="128"/>
      <c r="T59" s="128"/>
      <c r="U59" s="128"/>
      <c r="V59" s="128"/>
      <c r="W59" s="128"/>
      <c r="X59" s="128"/>
      <c r="Y59" s="128"/>
      <c r="Z59" s="128"/>
      <c r="AA59" s="78"/>
      <c r="AB59" s="78"/>
      <c r="AC59" s="78"/>
      <c r="AD59" s="78"/>
      <c r="AE59" s="78"/>
      <c r="AF59" s="78"/>
      <c r="AG59" s="78"/>
      <c r="AH59" s="78"/>
      <c r="AI59" s="78"/>
    </row>
    <row r="60" customFormat="false" ht="27.75" hidden="false" customHeight="true" outlineLevel="0" collapsed="false">
      <c r="A60" s="70" t="s">
        <v>482</v>
      </c>
      <c r="B60" s="70" t="n">
        <v>312041</v>
      </c>
      <c r="C60" s="70" t="s">
        <v>665</v>
      </c>
      <c r="D60" s="70" t="n">
        <v>44148</v>
      </c>
      <c r="E60" s="72" t="s">
        <v>666</v>
      </c>
      <c r="F60" s="134" t="n">
        <v>9</v>
      </c>
      <c r="G60" s="134" t="n">
        <v>18</v>
      </c>
      <c r="H60" s="134" t="n">
        <v>29</v>
      </c>
      <c r="I60" s="134" t="n">
        <v>0</v>
      </c>
      <c r="J60" s="134" t="n">
        <v>0</v>
      </c>
      <c r="K60" s="72" t="s">
        <v>485</v>
      </c>
      <c r="L60" s="70"/>
      <c r="M60" s="70" t="s">
        <v>486</v>
      </c>
      <c r="N60" s="70" t="s">
        <v>486</v>
      </c>
      <c r="O60" s="135" t="str">
        <f aca="false">IF(E60="","",IF(M60&lt;&gt;"Sim","Solicitar confirmação à unidade",IF(N60&lt;&gt;"Sim","Validar dados com a unidade pela GOP",IF(IFERROR(VALUE(J60),0)&gt;0,"Planejar instalação de "&amp;J60&amp;" aparelho(s)","Inventário em dia"))))</f>
        <v>Solicitar confirmação à unidade</v>
      </c>
      <c r="P60" s="72" t="s">
        <v>667</v>
      </c>
      <c r="Q60" s="72" t="s">
        <v>492</v>
      </c>
      <c r="R60" s="128"/>
      <c r="S60" s="128"/>
      <c r="T60" s="128"/>
      <c r="U60" s="128"/>
      <c r="V60" s="128"/>
      <c r="W60" s="128"/>
      <c r="X60" s="128"/>
      <c r="Y60" s="128"/>
      <c r="Z60" s="128"/>
      <c r="AA60" s="78"/>
      <c r="AB60" s="78"/>
      <c r="AC60" s="78"/>
      <c r="AD60" s="78"/>
      <c r="AE60" s="78"/>
      <c r="AF60" s="78"/>
      <c r="AG60" s="78"/>
      <c r="AH60" s="78"/>
      <c r="AI60" s="78"/>
    </row>
    <row r="61" customFormat="false" ht="27.75" hidden="false" customHeight="true" outlineLevel="0" collapsed="false">
      <c r="A61" s="79" t="s">
        <v>482</v>
      </c>
      <c r="B61" s="79" t="n">
        <v>313011</v>
      </c>
      <c r="C61" s="79" t="s">
        <v>668</v>
      </c>
      <c r="D61" s="79" t="n">
        <v>11848</v>
      </c>
      <c r="E61" s="81" t="s">
        <v>669</v>
      </c>
      <c r="F61" s="136" t="n">
        <v>12</v>
      </c>
      <c r="G61" s="136" t="n">
        <v>24</v>
      </c>
      <c r="H61" s="136" t="n">
        <v>34</v>
      </c>
      <c r="I61" s="136" t="n">
        <v>0</v>
      </c>
      <c r="J61" s="136" t="n">
        <v>12</v>
      </c>
      <c r="K61" s="81" t="s">
        <v>485</v>
      </c>
      <c r="L61" s="79"/>
      <c r="M61" s="79" t="s">
        <v>486</v>
      </c>
      <c r="N61" s="79" t="s">
        <v>486</v>
      </c>
      <c r="O61" s="137" t="str">
        <f aca="false">IF(E61="","",IF(M61&lt;&gt;"Sim","Solicitar confirmação à unidade",IF(N61&lt;&gt;"Sim","Validar dados com a unidade pela GOP",IF(IFERROR(VALUE(J61),0)&gt;0,"Planejar instalação de "&amp;J61&amp;" aparelho(s)","Inventário em dia"))))</f>
        <v>Solicitar confirmação à unidade</v>
      </c>
      <c r="P61" s="81" t="s">
        <v>670</v>
      </c>
      <c r="Q61" s="81" t="s">
        <v>505</v>
      </c>
      <c r="R61" s="128"/>
      <c r="S61" s="128"/>
      <c r="T61" s="128"/>
      <c r="U61" s="128"/>
      <c r="V61" s="128"/>
      <c r="W61" s="128"/>
      <c r="X61" s="128"/>
      <c r="Y61" s="128"/>
      <c r="Z61" s="128"/>
      <c r="AA61" s="78"/>
      <c r="AB61" s="78"/>
      <c r="AC61" s="78"/>
      <c r="AD61" s="78"/>
      <c r="AE61" s="78"/>
      <c r="AF61" s="78"/>
      <c r="AG61" s="78"/>
      <c r="AH61" s="78"/>
      <c r="AI61" s="78"/>
    </row>
    <row r="62" customFormat="false" ht="27.75" hidden="false" customHeight="true" outlineLevel="0" collapsed="false">
      <c r="A62" s="70" t="s">
        <v>482</v>
      </c>
      <c r="B62" s="70" t="n">
        <v>313026</v>
      </c>
      <c r="C62" s="70" t="s">
        <v>671</v>
      </c>
      <c r="D62" s="70" t="n">
        <v>11832</v>
      </c>
      <c r="E62" s="72" t="s">
        <v>672</v>
      </c>
      <c r="F62" s="134" t="n">
        <v>5</v>
      </c>
      <c r="G62" s="134" t="n">
        <v>5</v>
      </c>
      <c r="H62" s="134" t="n">
        <v>7</v>
      </c>
      <c r="I62" s="134" t="n">
        <v>0</v>
      </c>
      <c r="J62" s="134" t="n">
        <v>1</v>
      </c>
      <c r="K62" s="72" t="s">
        <v>485</v>
      </c>
      <c r="L62" s="70"/>
      <c r="M62" s="70" t="s">
        <v>486</v>
      </c>
      <c r="N62" s="70" t="s">
        <v>486</v>
      </c>
      <c r="O62" s="135" t="str">
        <f aca="false">IF(E62="","",IF(M62&lt;&gt;"Sim","Solicitar confirmação à unidade",IF(N62&lt;&gt;"Sim","Validar dados com a unidade pela GOP",IF(IFERROR(VALUE(J62),0)&gt;0,"Planejar instalação de "&amp;J62&amp;" aparelho(s)","Inventário em dia"))))</f>
        <v>Solicitar confirmação à unidade</v>
      </c>
      <c r="P62" s="72" t="s">
        <v>673</v>
      </c>
      <c r="Q62" s="72" t="s">
        <v>662</v>
      </c>
      <c r="R62" s="128"/>
      <c r="S62" s="128"/>
      <c r="T62" s="128"/>
      <c r="U62" s="128"/>
      <c r="V62" s="128"/>
      <c r="W62" s="128"/>
      <c r="X62" s="128"/>
      <c r="Y62" s="128"/>
      <c r="Z62" s="128"/>
      <c r="AA62" s="78"/>
      <c r="AB62" s="78"/>
      <c r="AC62" s="78"/>
      <c r="AD62" s="78"/>
      <c r="AE62" s="78"/>
      <c r="AF62" s="78"/>
      <c r="AG62" s="78"/>
      <c r="AH62" s="78"/>
      <c r="AI62" s="78"/>
    </row>
    <row r="63" customFormat="false" ht="27.75" hidden="false" customHeight="true" outlineLevel="0" collapsed="false">
      <c r="A63" s="79" t="s">
        <v>482</v>
      </c>
      <c r="B63" s="79" t="n">
        <v>312029</v>
      </c>
      <c r="C63" s="79" t="s">
        <v>674</v>
      </c>
      <c r="D63" s="79" t="n">
        <v>10902</v>
      </c>
      <c r="E63" s="81" t="s">
        <v>675</v>
      </c>
      <c r="F63" s="136" t="n">
        <v>5</v>
      </c>
      <c r="G63" s="136" t="n">
        <v>10</v>
      </c>
      <c r="H63" s="136" t="n">
        <v>12</v>
      </c>
      <c r="I63" s="136" t="n">
        <v>0</v>
      </c>
      <c r="J63" s="136" t="n">
        <v>2</v>
      </c>
      <c r="K63" s="81" t="s">
        <v>485</v>
      </c>
      <c r="L63" s="79"/>
      <c r="M63" s="79" t="s">
        <v>486</v>
      </c>
      <c r="N63" s="79" t="s">
        <v>486</v>
      </c>
      <c r="O63" s="137" t="str">
        <f aca="false">IF(E63="","",IF(M63&lt;&gt;"Sim","Solicitar confirmação à unidade",IF(N63&lt;&gt;"Sim","Validar dados com a unidade pela GOP",IF(IFERROR(VALUE(J63),0)&gt;0,"Planejar instalação de "&amp;J63&amp;" aparelho(s)","Inventário em dia"))))</f>
        <v>Solicitar confirmação à unidade</v>
      </c>
      <c r="P63" s="81" t="s">
        <v>676</v>
      </c>
      <c r="Q63" s="81" t="s">
        <v>636</v>
      </c>
      <c r="R63" s="128"/>
      <c r="S63" s="128"/>
      <c r="T63" s="128"/>
      <c r="U63" s="128"/>
      <c r="V63" s="128"/>
      <c r="W63" s="128"/>
      <c r="X63" s="128"/>
      <c r="Y63" s="128"/>
      <c r="Z63" s="128"/>
      <c r="AA63" s="78"/>
      <c r="AB63" s="78"/>
      <c r="AC63" s="78"/>
      <c r="AD63" s="78"/>
      <c r="AE63" s="78"/>
      <c r="AF63" s="78"/>
      <c r="AG63" s="78"/>
      <c r="AH63" s="78"/>
      <c r="AI63" s="78"/>
    </row>
    <row r="64" customFormat="false" ht="27.75" hidden="false" customHeight="true" outlineLevel="0" collapsed="false">
      <c r="A64" s="70" t="s">
        <v>482</v>
      </c>
      <c r="B64" s="70" t="n">
        <v>313002</v>
      </c>
      <c r="C64" s="70" t="s">
        <v>677</v>
      </c>
      <c r="D64" s="70" t="n">
        <v>11856</v>
      </c>
      <c r="E64" s="72" t="s">
        <v>196</v>
      </c>
      <c r="F64" s="134" t="n">
        <v>21</v>
      </c>
      <c r="G64" s="134" t="n">
        <v>24</v>
      </c>
      <c r="H64" s="134" t="n">
        <v>29</v>
      </c>
      <c r="I64" s="134" t="n">
        <v>2</v>
      </c>
      <c r="J64" s="134" t="n">
        <v>12</v>
      </c>
      <c r="K64" s="72" t="s">
        <v>485</v>
      </c>
      <c r="L64" s="70"/>
      <c r="M64" s="70" t="s">
        <v>486</v>
      </c>
      <c r="N64" s="70" t="s">
        <v>486</v>
      </c>
      <c r="O64" s="135" t="str">
        <f aca="false">IF(E64="","",IF(M64&lt;&gt;"Sim","Solicitar confirmação à unidade",IF(N64&lt;&gt;"Sim","Validar dados com a unidade pela GOP",IF(IFERROR(VALUE(J64),0)&gt;0,"Planejar instalação de "&amp;J64&amp;" aparelho(s)","Inventário em dia"))))</f>
        <v>Solicitar confirmação à unidade</v>
      </c>
      <c r="P64" s="72" t="s">
        <v>678</v>
      </c>
      <c r="Q64" s="72" t="s">
        <v>608</v>
      </c>
      <c r="R64" s="128"/>
      <c r="S64" s="128"/>
      <c r="T64" s="128"/>
      <c r="U64" s="128"/>
      <c r="V64" s="128"/>
      <c r="W64" s="128"/>
      <c r="X64" s="128"/>
      <c r="Y64" s="128"/>
      <c r="Z64" s="128"/>
      <c r="AA64" s="78"/>
      <c r="AB64" s="78"/>
      <c r="AC64" s="78"/>
      <c r="AD64" s="78"/>
      <c r="AE64" s="78"/>
      <c r="AF64" s="78"/>
      <c r="AG64" s="78"/>
      <c r="AH64" s="78"/>
      <c r="AI64" s="78"/>
    </row>
    <row r="65" customFormat="false" ht="27.75" hidden="false" customHeight="true" outlineLevel="0" collapsed="false">
      <c r="A65" s="79" t="s">
        <v>482</v>
      </c>
      <c r="B65" s="79" t="n">
        <v>313044</v>
      </c>
      <c r="C65" s="79" t="s">
        <v>679</v>
      </c>
      <c r="D65" s="79" t="n">
        <v>11814</v>
      </c>
      <c r="E65" s="81" t="s">
        <v>680</v>
      </c>
      <c r="F65" s="136" t="n">
        <v>18</v>
      </c>
      <c r="G65" s="136" t="n">
        <v>36</v>
      </c>
      <c r="H65" s="136" t="n">
        <v>50</v>
      </c>
      <c r="I65" s="136" t="n">
        <v>0</v>
      </c>
      <c r="J65" s="136" t="n">
        <v>0</v>
      </c>
      <c r="K65" s="81" t="s">
        <v>485</v>
      </c>
      <c r="L65" s="79"/>
      <c r="M65" s="79" t="s">
        <v>486</v>
      </c>
      <c r="N65" s="79" t="s">
        <v>486</v>
      </c>
      <c r="O65" s="137" t="str">
        <f aca="false">IF(E65="","",IF(M65&lt;&gt;"Sim","Solicitar confirmação à unidade",IF(N65&lt;&gt;"Sim","Validar dados com a unidade pela GOP",IF(IFERROR(VALUE(J65),0)&gt;0,"Planejar instalação de "&amp;J65&amp;" aparelho(s)","Inventário em dia"))))</f>
        <v>Solicitar confirmação à unidade</v>
      </c>
      <c r="P65" s="81" t="s">
        <v>681</v>
      </c>
      <c r="Q65" s="81" t="s">
        <v>554</v>
      </c>
      <c r="R65" s="128"/>
      <c r="S65" s="128"/>
      <c r="T65" s="128"/>
      <c r="U65" s="128"/>
      <c r="V65" s="128"/>
      <c r="W65" s="128"/>
      <c r="X65" s="128"/>
      <c r="Y65" s="128"/>
      <c r="Z65" s="128"/>
      <c r="AA65" s="78"/>
      <c r="AB65" s="78"/>
      <c r="AC65" s="78"/>
      <c r="AD65" s="78"/>
      <c r="AE65" s="78"/>
      <c r="AF65" s="78"/>
      <c r="AG65" s="78"/>
      <c r="AH65" s="78"/>
      <c r="AI65" s="78"/>
    </row>
    <row r="66" customFormat="false" ht="27.75" hidden="false" customHeight="true" outlineLevel="0" collapsed="false">
      <c r="A66" s="70" t="s">
        <v>482</v>
      </c>
      <c r="B66" s="70" t="n">
        <v>312017</v>
      </c>
      <c r="C66" s="70" t="s">
        <v>682</v>
      </c>
      <c r="D66" s="70" t="n">
        <v>11498</v>
      </c>
      <c r="E66" s="72" t="s">
        <v>683</v>
      </c>
      <c r="F66" s="134" t="n">
        <v>11</v>
      </c>
      <c r="G66" s="134" t="n">
        <v>20</v>
      </c>
      <c r="H66" s="134" t="n">
        <v>25</v>
      </c>
      <c r="I66" s="134" t="n">
        <v>1</v>
      </c>
      <c r="J66" s="134" t="n">
        <v>3</v>
      </c>
      <c r="K66" s="72" t="s">
        <v>485</v>
      </c>
      <c r="L66" s="70"/>
      <c r="M66" s="70" t="s">
        <v>486</v>
      </c>
      <c r="N66" s="70" t="s">
        <v>486</v>
      </c>
      <c r="O66" s="135" t="str">
        <f aca="false">IF(E66="","",IF(M66&lt;&gt;"Sim","Solicitar confirmação à unidade",IF(N66&lt;&gt;"Sim","Validar dados com a unidade pela GOP",IF(IFERROR(VALUE(J66),0)&gt;0,"Planejar instalação de "&amp;J66&amp;" aparelho(s)","Inventário em dia"))))</f>
        <v>Solicitar confirmação à unidade</v>
      </c>
      <c r="P66" s="72" t="s">
        <v>684</v>
      </c>
      <c r="Q66" s="72" t="s">
        <v>492</v>
      </c>
      <c r="R66" s="128"/>
      <c r="S66" s="128"/>
      <c r="T66" s="128"/>
      <c r="U66" s="128"/>
      <c r="V66" s="128"/>
      <c r="W66" s="128"/>
      <c r="X66" s="128"/>
      <c r="Y66" s="128"/>
      <c r="Z66" s="128"/>
      <c r="AA66" s="78"/>
      <c r="AB66" s="78"/>
      <c r="AC66" s="78"/>
      <c r="AD66" s="78"/>
      <c r="AE66" s="78"/>
      <c r="AF66" s="78"/>
      <c r="AG66" s="78"/>
      <c r="AH66" s="78"/>
      <c r="AI66" s="78"/>
    </row>
    <row r="67" customFormat="false" ht="27.75" hidden="false" customHeight="true" outlineLevel="0" collapsed="false">
      <c r="A67" s="79" t="s">
        <v>482</v>
      </c>
      <c r="B67" s="79" t="n">
        <v>312033</v>
      </c>
      <c r="C67" s="79" t="s">
        <v>685</v>
      </c>
      <c r="D67" s="79" t="n">
        <v>10906</v>
      </c>
      <c r="E67" s="81" t="s">
        <v>275</v>
      </c>
      <c r="F67" s="136" t="n">
        <v>20</v>
      </c>
      <c r="G67" s="136" t="n">
        <v>27</v>
      </c>
      <c r="H67" s="136" t="n">
        <v>37</v>
      </c>
      <c r="I67" s="136" t="n">
        <v>0</v>
      </c>
      <c r="J67" s="136" t="n">
        <v>14</v>
      </c>
      <c r="K67" s="81" t="s">
        <v>485</v>
      </c>
      <c r="L67" s="79"/>
      <c r="M67" s="79" t="s">
        <v>486</v>
      </c>
      <c r="N67" s="79" t="s">
        <v>486</v>
      </c>
      <c r="O67" s="137" t="str">
        <f aca="false">IF(E67="","",IF(M67&lt;&gt;"Sim","Solicitar confirmação à unidade",IF(N67&lt;&gt;"Sim","Validar dados com a unidade pela GOP",IF(IFERROR(VALUE(J67),0)&gt;0,"Planejar instalação de "&amp;J67&amp;" aparelho(s)","Inventário em dia"))))</f>
        <v>Solicitar confirmação à unidade</v>
      </c>
      <c r="P67" s="81" t="s">
        <v>686</v>
      </c>
      <c r="Q67" s="81" t="s">
        <v>636</v>
      </c>
      <c r="R67" s="128"/>
      <c r="S67" s="128"/>
      <c r="T67" s="128"/>
      <c r="U67" s="128"/>
      <c r="V67" s="128"/>
      <c r="W67" s="128"/>
      <c r="X67" s="128"/>
      <c r="Y67" s="128"/>
      <c r="Z67" s="128"/>
      <c r="AA67" s="78"/>
      <c r="AB67" s="78"/>
      <c r="AC67" s="78"/>
      <c r="AD67" s="78"/>
      <c r="AE67" s="78"/>
      <c r="AF67" s="78"/>
      <c r="AG67" s="78"/>
      <c r="AH67" s="78"/>
      <c r="AI67" s="78"/>
    </row>
    <row r="68" customFormat="false" ht="27.75" hidden="false" customHeight="true" outlineLevel="0" collapsed="false">
      <c r="A68" s="70" t="s">
        <v>482</v>
      </c>
      <c r="B68" s="70" t="n">
        <v>312034</v>
      </c>
      <c r="C68" s="70" t="s">
        <v>687</v>
      </c>
      <c r="D68" s="70" t="n">
        <v>10907</v>
      </c>
      <c r="E68" s="72" t="s">
        <v>688</v>
      </c>
      <c r="F68" s="134" t="n">
        <v>12</v>
      </c>
      <c r="G68" s="134" t="n">
        <v>20</v>
      </c>
      <c r="H68" s="134" t="n">
        <v>22</v>
      </c>
      <c r="I68" s="134" t="n">
        <v>0</v>
      </c>
      <c r="J68" s="134" t="n">
        <v>3</v>
      </c>
      <c r="K68" s="72" t="s">
        <v>485</v>
      </c>
      <c r="L68" s="70"/>
      <c r="M68" s="70" t="s">
        <v>486</v>
      </c>
      <c r="N68" s="70" t="s">
        <v>486</v>
      </c>
      <c r="O68" s="135" t="str">
        <f aca="false">IF(E68="","",IF(M68&lt;&gt;"Sim","Solicitar confirmação à unidade",IF(N68&lt;&gt;"Sim","Validar dados com a unidade pela GOP",IF(IFERROR(VALUE(J68),0)&gt;0,"Planejar instalação de "&amp;J68&amp;" aparelho(s)","Inventário em dia"))))</f>
        <v>Solicitar confirmação à unidade</v>
      </c>
      <c r="P68" s="72" t="s">
        <v>689</v>
      </c>
      <c r="Q68" s="72" t="s">
        <v>636</v>
      </c>
      <c r="R68" s="128"/>
      <c r="S68" s="128"/>
      <c r="T68" s="128"/>
      <c r="U68" s="128"/>
      <c r="V68" s="128"/>
      <c r="W68" s="128"/>
      <c r="X68" s="128"/>
      <c r="Y68" s="128"/>
      <c r="Z68" s="128"/>
      <c r="AA68" s="78"/>
      <c r="AB68" s="78"/>
      <c r="AC68" s="78"/>
      <c r="AD68" s="78"/>
      <c r="AE68" s="78"/>
      <c r="AF68" s="78"/>
      <c r="AG68" s="78"/>
      <c r="AH68" s="78"/>
      <c r="AI68" s="78"/>
    </row>
    <row r="69" customFormat="false" ht="27.75" hidden="false" customHeight="true" outlineLevel="0" collapsed="false">
      <c r="A69" s="79" t="s">
        <v>482</v>
      </c>
      <c r="B69" s="79" t="n">
        <v>313503</v>
      </c>
      <c r="C69" s="79" t="s">
        <v>690</v>
      </c>
      <c r="D69" s="79" t="n">
        <v>11792</v>
      </c>
      <c r="E69" s="81" t="s">
        <v>691</v>
      </c>
      <c r="F69" s="136" t="n">
        <v>17</v>
      </c>
      <c r="G69" s="136" t="n">
        <v>31</v>
      </c>
      <c r="H69" s="136" t="n">
        <v>36</v>
      </c>
      <c r="I69" s="136" t="n">
        <v>6</v>
      </c>
      <c r="J69" s="136" t="n">
        <v>8</v>
      </c>
      <c r="K69" s="81" t="s">
        <v>485</v>
      </c>
      <c r="L69" s="79"/>
      <c r="M69" s="79" t="s">
        <v>486</v>
      </c>
      <c r="N69" s="79" t="s">
        <v>486</v>
      </c>
      <c r="O69" s="137" t="str">
        <f aca="false">IF(E69="","",IF(M69&lt;&gt;"Sim","Solicitar confirmação à unidade",IF(N69&lt;&gt;"Sim","Validar dados com a unidade pela GOP",IF(IFERROR(VALUE(J69),0)&gt;0,"Planejar instalação de "&amp;J69&amp;" aparelho(s)","Inventário em dia"))))</f>
        <v>Solicitar confirmação à unidade</v>
      </c>
      <c r="P69" s="81" t="s">
        <v>692</v>
      </c>
      <c r="Q69" s="81" t="s">
        <v>505</v>
      </c>
      <c r="R69" s="128"/>
      <c r="S69" s="128"/>
      <c r="T69" s="128"/>
      <c r="U69" s="128"/>
      <c r="V69" s="128"/>
      <c r="W69" s="128"/>
      <c r="X69" s="128"/>
      <c r="Y69" s="128"/>
      <c r="Z69" s="128"/>
      <c r="AA69" s="78"/>
      <c r="AB69" s="78"/>
      <c r="AC69" s="78"/>
      <c r="AD69" s="78"/>
      <c r="AE69" s="78"/>
      <c r="AF69" s="78"/>
      <c r="AG69" s="78"/>
      <c r="AH69" s="78"/>
      <c r="AI69" s="78"/>
    </row>
    <row r="70" customFormat="false" ht="27.75" hidden="false" customHeight="true" outlineLevel="0" collapsed="false">
      <c r="A70" s="70" t="s">
        <v>482</v>
      </c>
      <c r="B70" s="70" t="n">
        <v>313038</v>
      </c>
      <c r="C70" s="70" t="s">
        <v>693</v>
      </c>
      <c r="D70" s="70" t="n">
        <v>11820</v>
      </c>
      <c r="E70" s="72" t="s">
        <v>694</v>
      </c>
      <c r="F70" s="134" t="n">
        <v>10</v>
      </c>
      <c r="G70" s="134" t="n">
        <v>10</v>
      </c>
      <c r="H70" s="134" t="n">
        <v>19</v>
      </c>
      <c r="I70" s="134" t="n">
        <v>0</v>
      </c>
      <c r="J70" s="134" t="n">
        <v>9</v>
      </c>
      <c r="K70" s="72" t="s">
        <v>485</v>
      </c>
      <c r="L70" s="70"/>
      <c r="M70" s="70" t="s">
        <v>486</v>
      </c>
      <c r="N70" s="70" t="s">
        <v>486</v>
      </c>
      <c r="O70" s="135" t="str">
        <f aca="false">IF(E70="","",IF(M70&lt;&gt;"Sim","Solicitar confirmação à unidade",IF(N70&lt;&gt;"Sim","Validar dados com a unidade pela GOP",IF(IFERROR(VALUE(J70),0)&gt;0,"Planejar instalação de "&amp;J70&amp;" aparelho(s)","Inventário em dia"))))</f>
        <v>Solicitar confirmação à unidade</v>
      </c>
      <c r="P70" s="72" t="s">
        <v>695</v>
      </c>
      <c r="Q70" s="72" t="s">
        <v>544</v>
      </c>
      <c r="R70" s="128"/>
      <c r="S70" s="128"/>
      <c r="T70" s="128"/>
      <c r="U70" s="128"/>
      <c r="V70" s="128"/>
      <c r="W70" s="128"/>
      <c r="X70" s="128"/>
      <c r="Y70" s="128"/>
      <c r="Z70" s="128"/>
      <c r="AA70" s="78"/>
      <c r="AB70" s="78"/>
      <c r="AC70" s="78"/>
      <c r="AD70" s="78"/>
      <c r="AE70" s="78"/>
      <c r="AF70" s="78"/>
      <c r="AG70" s="78"/>
      <c r="AH70" s="78"/>
      <c r="AI70" s="78"/>
    </row>
    <row r="71" customFormat="false" ht="27.75" hidden="false" customHeight="true" outlineLevel="0" collapsed="false">
      <c r="A71" s="79" t="s">
        <v>482</v>
      </c>
      <c r="B71" s="79" t="n">
        <v>312012</v>
      </c>
      <c r="C71" s="79" t="s">
        <v>696</v>
      </c>
      <c r="D71" s="79" t="n">
        <v>11493</v>
      </c>
      <c r="E71" s="81" t="s">
        <v>232</v>
      </c>
      <c r="F71" s="136" t="n">
        <v>18</v>
      </c>
      <c r="G71" s="136" t="n">
        <v>31</v>
      </c>
      <c r="H71" s="136" t="n">
        <v>35</v>
      </c>
      <c r="I71" s="136" t="n">
        <v>1</v>
      </c>
      <c r="J71" s="136" t="n">
        <v>7</v>
      </c>
      <c r="K71" s="81" t="s">
        <v>485</v>
      </c>
      <c r="L71" s="79"/>
      <c r="M71" s="79" t="s">
        <v>486</v>
      </c>
      <c r="N71" s="79" t="s">
        <v>486</v>
      </c>
      <c r="O71" s="137" t="str">
        <f aca="false">IF(E71="","",IF(M71&lt;&gt;"Sim","Solicitar confirmação à unidade",IF(N71&lt;&gt;"Sim","Validar dados com a unidade pela GOP",IF(IFERROR(VALUE(J71),0)&gt;0,"Planejar instalação de "&amp;J71&amp;" aparelho(s)","Inventário em dia"))))</f>
        <v>Solicitar confirmação à unidade</v>
      </c>
      <c r="P71" s="81" t="s">
        <v>697</v>
      </c>
      <c r="Q71" s="81" t="s">
        <v>496</v>
      </c>
      <c r="R71" s="128"/>
      <c r="S71" s="128"/>
      <c r="T71" s="128"/>
      <c r="U71" s="128"/>
      <c r="V71" s="128"/>
      <c r="W71" s="128"/>
      <c r="X71" s="128"/>
      <c r="Y71" s="128"/>
      <c r="Z71" s="128"/>
      <c r="AA71" s="78"/>
      <c r="AB71" s="78"/>
      <c r="AC71" s="78"/>
      <c r="AD71" s="78"/>
      <c r="AE71" s="78"/>
      <c r="AF71" s="78"/>
      <c r="AG71" s="78"/>
      <c r="AH71" s="78"/>
      <c r="AI71" s="78"/>
    </row>
    <row r="72" customFormat="false" ht="27.75" hidden="false" customHeight="true" outlineLevel="0" collapsed="false">
      <c r="A72" s="70" t="s">
        <v>482</v>
      </c>
      <c r="B72" s="70" t="n">
        <v>313052</v>
      </c>
      <c r="C72" s="70" t="s">
        <v>698</v>
      </c>
      <c r="D72" s="70" t="n">
        <v>11806</v>
      </c>
      <c r="E72" s="72" t="s">
        <v>699</v>
      </c>
      <c r="F72" s="134" t="n">
        <v>13</v>
      </c>
      <c r="G72" s="134" t="n">
        <v>22</v>
      </c>
      <c r="H72" s="134" t="n">
        <v>35</v>
      </c>
      <c r="I72" s="134" t="n">
        <v>0</v>
      </c>
      <c r="J72" s="134" t="n">
        <v>0</v>
      </c>
      <c r="K72" s="72" t="s">
        <v>485</v>
      </c>
      <c r="L72" s="70"/>
      <c r="M72" s="70" t="s">
        <v>486</v>
      </c>
      <c r="N72" s="70" t="s">
        <v>486</v>
      </c>
      <c r="O72" s="135" t="str">
        <f aca="false">IF(E72="","",IF(M72&lt;&gt;"Sim","Solicitar confirmação à unidade",IF(N72&lt;&gt;"Sim","Validar dados com a unidade pela GOP",IF(IFERROR(VALUE(J72),0)&gt;0,"Planejar instalação de "&amp;J72&amp;" aparelho(s)","Inventário em dia"))))</f>
        <v>Solicitar confirmação à unidade</v>
      </c>
      <c r="P72" s="72" t="s">
        <v>700</v>
      </c>
      <c r="Q72" s="72" t="s">
        <v>576</v>
      </c>
      <c r="R72" s="128"/>
      <c r="S72" s="128"/>
      <c r="T72" s="128"/>
      <c r="U72" s="128"/>
      <c r="V72" s="128"/>
      <c r="W72" s="128"/>
      <c r="X72" s="128"/>
      <c r="Y72" s="128"/>
      <c r="Z72" s="128"/>
      <c r="AA72" s="78"/>
      <c r="AB72" s="78"/>
      <c r="AC72" s="78"/>
      <c r="AD72" s="78"/>
      <c r="AE72" s="78"/>
      <c r="AF72" s="78"/>
      <c r="AG72" s="78"/>
      <c r="AH72" s="78"/>
      <c r="AI72" s="78"/>
    </row>
    <row r="73" customFormat="false" ht="27.75" hidden="false" customHeight="true" outlineLevel="0" collapsed="false">
      <c r="A73" s="79" t="s">
        <v>482</v>
      </c>
      <c r="B73" s="79" t="n">
        <v>313001</v>
      </c>
      <c r="C73" s="79" t="s">
        <v>701</v>
      </c>
      <c r="D73" s="79" t="n">
        <v>11857</v>
      </c>
      <c r="E73" s="81" t="s">
        <v>702</v>
      </c>
      <c r="F73" s="136" t="n">
        <v>9</v>
      </c>
      <c r="G73" s="136" t="n">
        <v>19</v>
      </c>
      <c r="H73" s="136" t="n">
        <v>23</v>
      </c>
      <c r="I73" s="136" t="n">
        <v>0</v>
      </c>
      <c r="J73" s="136" t="n">
        <v>9</v>
      </c>
      <c r="K73" s="81" t="s">
        <v>485</v>
      </c>
      <c r="L73" s="79"/>
      <c r="M73" s="79" t="s">
        <v>486</v>
      </c>
      <c r="N73" s="79" t="s">
        <v>486</v>
      </c>
      <c r="O73" s="137" t="str">
        <f aca="false">IF(E73="","",IF(M73&lt;&gt;"Sim","Solicitar confirmação à unidade",IF(N73&lt;&gt;"Sim","Validar dados com a unidade pela GOP",IF(IFERROR(VALUE(J73),0)&gt;0,"Planejar instalação de "&amp;J73&amp;" aparelho(s)","Inventário em dia"))))</f>
        <v>Solicitar confirmação à unidade</v>
      </c>
      <c r="P73" s="81" t="s">
        <v>703</v>
      </c>
      <c r="Q73" s="81" t="s">
        <v>608</v>
      </c>
      <c r="R73" s="128"/>
      <c r="S73" s="128"/>
      <c r="T73" s="128"/>
      <c r="U73" s="128"/>
      <c r="V73" s="128"/>
      <c r="W73" s="128"/>
      <c r="X73" s="128"/>
      <c r="Y73" s="128"/>
      <c r="Z73" s="128"/>
      <c r="AA73" s="78"/>
      <c r="AB73" s="78"/>
      <c r="AC73" s="78"/>
      <c r="AD73" s="78"/>
      <c r="AE73" s="78"/>
      <c r="AF73" s="78"/>
      <c r="AG73" s="78"/>
      <c r="AH73" s="78"/>
      <c r="AI73" s="78"/>
    </row>
    <row r="74" customFormat="false" ht="27.75" hidden="false" customHeight="true" outlineLevel="0" collapsed="false">
      <c r="A74" s="70" t="s">
        <v>482</v>
      </c>
      <c r="B74" s="70" t="n">
        <v>312030</v>
      </c>
      <c r="C74" s="70" t="s">
        <v>704</v>
      </c>
      <c r="D74" s="70" t="n">
        <v>10903</v>
      </c>
      <c r="E74" s="72" t="s">
        <v>705</v>
      </c>
      <c r="F74" s="134" t="n">
        <v>14</v>
      </c>
      <c r="G74" s="134" t="n">
        <v>16</v>
      </c>
      <c r="H74" s="134" t="n">
        <v>18</v>
      </c>
      <c r="I74" s="134" t="n">
        <v>0</v>
      </c>
      <c r="J74" s="134" t="n">
        <v>0</v>
      </c>
      <c r="K74" s="72" t="s">
        <v>485</v>
      </c>
      <c r="L74" s="70"/>
      <c r="M74" s="70" t="s">
        <v>486</v>
      </c>
      <c r="N74" s="70" t="s">
        <v>486</v>
      </c>
      <c r="O74" s="135" t="str">
        <f aca="false">IF(E74="","",IF(M74&lt;&gt;"Sim","Solicitar confirmação à unidade",IF(N74&lt;&gt;"Sim","Validar dados com a unidade pela GOP",IF(IFERROR(VALUE(J74),0)&gt;0,"Planejar instalação de "&amp;J74&amp;" aparelho(s)","Inventário em dia"))))</f>
        <v>Solicitar confirmação à unidade</v>
      </c>
      <c r="P74" s="72" t="s">
        <v>706</v>
      </c>
      <c r="Q74" s="72" t="s">
        <v>519</v>
      </c>
      <c r="R74" s="128"/>
      <c r="S74" s="128"/>
      <c r="T74" s="128"/>
      <c r="U74" s="128"/>
      <c r="V74" s="128"/>
      <c r="W74" s="128"/>
      <c r="X74" s="128"/>
      <c r="Y74" s="128"/>
      <c r="Z74" s="128"/>
      <c r="AA74" s="78"/>
      <c r="AB74" s="78"/>
      <c r="AC74" s="78"/>
      <c r="AD74" s="78"/>
      <c r="AE74" s="78"/>
      <c r="AF74" s="78"/>
      <c r="AG74" s="78"/>
      <c r="AH74" s="78"/>
      <c r="AI74" s="78"/>
    </row>
    <row r="75" customFormat="false" ht="27.75" hidden="false" customHeight="true" outlineLevel="0" collapsed="false">
      <c r="A75" s="79" t="s">
        <v>482</v>
      </c>
      <c r="B75" s="79" t="n">
        <v>313033</v>
      </c>
      <c r="C75" s="79" t="s">
        <v>707</v>
      </c>
      <c r="D75" s="79" t="n">
        <v>11825</v>
      </c>
      <c r="E75" s="81" t="s">
        <v>708</v>
      </c>
      <c r="F75" s="136" t="n">
        <v>12</v>
      </c>
      <c r="G75" s="136" t="n">
        <v>17</v>
      </c>
      <c r="H75" s="136" t="n">
        <v>22</v>
      </c>
      <c r="I75" s="136" t="n">
        <v>0</v>
      </c>
      <c r="J75" s="136" t="n">
        <v>3</v>
      </c>
      <c r="K75" s="81" t="s">
        <v>485</v>
      </c>
      <c r="L75" s="79"/>
      <c r="M75" s="79" t="s">
        <v>486</v>
      </c>
      <c r="N75" s="79" t="s">
        <v>486</v>
      </c>
      <c r="O75" s="137" t="str">
        <f aca="false">IF(E75="","",IF(M75&lt;&gt;"Sim","Solicitar confirmação à unidade",IF(N75&lt;&gt;"Sim","Validar dados com a unidade pela GOP",IF(IFERROR(VALUE(J75),0)&gt;0,"Planejar instalação de "&amp;J75&amp;" aparelho(s)","Inventário em dia"))))</f>
        <v>Solicitar confirmação à unidade</v>
      </c>
      <c r="P75" s="81" t="s">
        <v>709</v>
      </c>
      <c r="Q75" s="81" t="s">
        <v>544</v>
      </c>
      <c r="R75" s="128"/>
      <c r="S75" s="128"/>
      <c r="T75" s="128"/>
      <c r="U75" s="128"/>
      <c r="V75" s="128"/>
      <c r="W75" s="128"/>
      <c r="X75" s="128"/>
      <c r="Y75" s="128"/>
      <c r="Z75" s="128"/>
      <c r="AA75" s="78"/>
      <c r="AB75" s="78"/>
      <c r="AC75" s="78"/>
      <c r="AD75" s="78"/>
      <c r="AE75" s="78"/>
      <c r="AF75" s="78"/>
      <c r="AG75" s="78"/>
      <c r="AH75" s="78"/>
      <c r="AI75" s="78"/>
    </row>
    <row r="76" customFormat="false" ht="27.75" hidden="false" customHeight="true" outlineLevel="0" collapsed="false">
      <c r="A76" s="70" t="s">
        <v>482</v>
      </c>
      <c r="B76" s="70" t="n">
        <v>313014</v>
      </c>
      <c r="C76" s="70" t="s">
        <v>710</v>
      </c>
      <c r="D76" s="70" t="n">
        <v>11844</v>
      </c>
      <c r="E76" s="72" t="s">
        <v>711</v>
      </c>
      <c r="F76" s="134" t="n">
        <v>6</v>
      </c>
      <c r="G76" s="134" t="n">
        <v>12</v>
      </c>
      <c r="H76" s="134" t="n">
        <v>17</v>
      </c>
      <c r="I76" s="134" t="n">
        <v>0</v>
      </c>
      <c r="J76" s="134" t="n">
        <v>1</v>
      </c>
      <c r="K76" s="72" t="s">
        <v>485</v>
      </c>
      <c r="L76" s="70"/>
      <c r="M76" s="70" t="s">
        <v>486</v>
      </c>
      <c r="N76" s="70" t="s">
        <v>486</v>
      </c>
      <c r="O76" s="135" t="str">
        <f aca="false">IF(E76="","",IF(M76&lt;&gt;"Sim","Solicitar confirmação à unidade",IF(N76&lt;&gt;"Sim","Validar dados com a unidade pela GOP",IF(IFERROR(VALUE(J76),0)&gt;0,"Planejar instalação de "&amp;J76&amp;" aparelho(s)","Inventário em dia"))))</f>
        <v>Solicitar confirmação à unidade</v>
      </c>
      <c r="P76" s="72" t="s">
        <v>712</v>
      </c>
      <c r="Q76" s="72" t="s">
        <v>488</v>
      </c>
      <c r="R76" s="128"/>
      <c r="S76" s="128"/>
      <c r="T76" s="128"/>
      <c r="U76" s="128"/>
      <c r="V76" s="128"/>
      <c r="W76" s="128"/>
      <c r="X76" s="128"/>
      <c r="Y76" s="128"/>
      <c r="Z76" s="128"/>
      <c r="AA76" s="78"/>
      <c r="AB76" s="78"/>
      <c r="AC76" s="78"/>
      <c r="AD76" s="78"/>
      <c r="AE76" s="78"/>
      <c r="AF76" s="78"/>
      <c r="AG76" s="78"/>
      <c r="AH76" s="78"/>
      <c r="AI76" s="78"/>
    </row>
    <row r="77" customFormat="false" ht="27.75" hidden="false" customHeight="true" outlineLevel="0" collapsed="false">
      <c r="A77" s="79" t="s">
        <v>482</v>
      </c>
      <c r="B77" s="79" t="n">
        <v>313056</v>
      </c>
      <c r="C77" s="79" t="s">
        <v>713</v>
      </c>
      <c r="D77" s="79" t="n">
        <v>44812</v>
      </c>
      <c r="E77" s="81" t="s">
        <v>714</v>
      </c>
      <c r="F77" s="136" t="n">
        <v>10</v>
      </c>
      <c r="G77" s="136" t="n">
        <v>20</v>
      </c>
      <c r="H77" s="136" t="n">
        <v>32</v>
      </c>
      <c r="I77" s="136" t="n">
        <v>0</v>
      </c>
      <c r="J77" s="136" t="n">
        <v>3</v>
      </c>
      <c r="K77" s="81" t="s">
        <v>485</v>
      </c>
      <c r="L77" s="79"/>
      <c r="M77" s="79" t="s">
        <v>486</v>
      </c>
      <c r="N77" s="79" t="s">
        <v>486</v>
      </c>
      <c r="O77" s="137" t="str">
        <f aca="false">IF(E77="","",IF(M77&lt;&gt;"Sim","Solicitar confirmação à unidade",IF(N77&lt;&gt;"Sim","Validar dados com a unidade pela GOP",IF(IFERROR(VALUE(J77),0)&gt;0,"Planejar instalação de "&amp;J77&amp;" aparelho(s)","Inventário em dia"))))</f>
        <v>Solicitar confirmação à unidade</v>
      </c>
      <c r="P77" s="81" t="s">
        <v>715</v>
      </c>
      <c r="Q77" s="81" t="s">
        <v>608</v>
      </c>
      <c r="R77" s="128"/>
      <c r="S77" s="128"/>
      <c r="T77" s="128"/>
      <c r="U77" s="128"/>
      <c r="V77" s="128"/>
      <c r="W77" s="128"/>
      <c r="X77" s="128"/>
      <c r="Y77" s="128"/>
      <c r="Z77" s="128"/>
      <c r="AA77" s="78"/>
      <c r="AB77" s="78"/>
      <c r="AC77" s="78"/>
      <c r="AD77" s="78"/>
      <c r="AE77" s="78"/>
      <c r="AF77" s="78"/>
      <c r="AG77" s="78"/>
      <c r="AH77" s="78"/>
      <c r="AI77" s="78"/>
    </row>
    <row r="78" customFormat="false" ht="27.75" hidden="false" customHeight="true" outlineLevel="0" collapsed="false">
      <c r="A78" s="70" t="s">
        <v>482</v>
      </c>
      <c r="B78" s="70" t="n">
        <v>313013</v>
      </c>
      <c r="C78" s="70" t="s">
        <v>716</v>
      </c>
      <c r="D78" s="70" t="n">
        <v>11845</v>
      </c>
      <c r="E78" s="72" t="s">
        <v>717</v>
      </c>
      <c r="F78" s="134" t="n">
        <v>17</v>
      </c>
      <c r="G78" s="134" t="n">
        <v>37</v>
      </c>
      <c r="H78" s="134" t="n">
        <v>46</v>
      </c>
      <c r="I78" s="134" t="n">
        <v>0</v>
      </c>
      <c r="J78" s="134" t="n">
        <v>0</v>
      </c>
      <c r="K78" s="72" t="s">
        <v>485</v>
      </c>
      <c r="L78" s="70"/>
      <c r="M78" s="70" t="s">
        <v>486</v>
      </c>
      <c r="N78" s="70" t="s">
        <v>486</v>
      </c>
      <c r="O78" s="135" t="str">
        <f aca="false">IF(E78="","",IF(M78&lt;&gt;"Sim","Solicitar confirmação à unidade",IF(N78&lt;&gt;"Sim","Validar dados com a unidade pela GOP",IF(IFERROR(VALUE(J78),0)&gt;0,"Planejar instalação de "&amp;J78&amp;" aparelho(s)","Inventário em dia"))))</f>
        <v>Solicitar confirmação à unidade</v>
      </c>
      <c r="P78" s="72" t="s">
        <v>718</v>
      </c>
      <c r="Q78" s="72" t="s">
        <v>505</v>
      </c>
      <c r="R78" s="128"/>
      <c r="S78" s="128"/>
      <c r="T78" s="128"/>
      <c r="U78" s="128"/>
      <c r="V78" s="128"/>
      <c r="W78" s="128"/>
      <c r="X78" s="128"/>
      <c r="Y78" s="128"/>
      <c r="Z78" s="128"/>
      <c r="AA78" s="78"/>
      <c r="AB78" s="78"/>
      <c r="AC78" s="78"/>
      <c r="AD78" s="78"/>
      <c r="AE78" s="78"/>
      <c r="AF78" s="78"/>
      <c r="AG78" s="78"/>
      <c r="AH78" s="78"/>
      <c r="AI78" s="78"/>
    </row>
    <row r="79" customFormat="false" ht="27.75" hidden="false" customHeight="true" outlineLevel="0" collapsed="false">
      <c r="A79" s="79" t="s">
        <v>482</v>
      </c>
      <c r="B79" s="79" t="n">
        <v>312006</v>
      </c>
      <c r="C79" s="79" t="s">
        <v>719</v>
      </c>
      <c r="D79" s="79" t="n">
        <v>11487</v>
      </c>
      <c r="E79" s="81" t="s">
        <v>720</v>
      </c>
      <c r="F79" s="136" t="n">
        <v>13</v>
      </c>
      <c r="G79" s="136" t="n">
        <v>13</v>
      </c>
      <c r="H79" s="136" t="n">
        <v>23</v>
      </c>
      <c r="I79" s="136" t="n">
        <v>0</v>
      </c>
      <c r="J79" s="136" t="n">
        <v>0</v>
      </c>
      <c r="K79" s="81" t="s">
        <v>485</v>
      </c>
      <c r="L79" s="79"/>
      <c r="M79" s="79" t="s">
        <v>486</v>
      </c>
      <c r="N79" s="79" t="s">
        <v>486</v>
      </c>
      <c r="O79" s="137" t="str">
        <f aca="false">IF(E79="","",IF(M79&lt;&gt;"Sim","Solicitar confirmação à unidade",IF(N79&lt;&gt;"Sim","Validar dados com a unidade pela GOP",IF(IFERROR(VALUE(J79),0)&gt;0,"Planejar instalação de "&amp;J79&amp;" aparelho(s)","Inventário em dia"))))</f>
        <v>Solicitar confirmação à unidade</v>
      </c>
      <c r="P79" s="81" t="s">
        <v>721</v>
      </c>
      <c r="Q79" s="81" t="s">
        <v>580</v>
      </c>
      <c r="R79" s="128"/>
      <c r="S79" s="128"/>
      <c r="T79" s="128"/>
      <c r="U79" s="128"/>
      <c r="V79" s="128"/>
      <c r="W79" s="128"/>
      <c r="X79" s="128"/>
      <c r="Y79" s="128"/>
      <c r="Z79" s="128"/>
      <c r="AA79" s="78"/>
      <c r="AB79" s="78"/>
      <c r="AC79" s="78"/>
      <c r="AD79" s="78"/>
      <c r="AE79" s="78"/>
      <c r="AF79" s="78"/>
      <c r="AG79" s="78"/>
      <c r="AH79" s="78"/>
      <c r="AI79" s="78"/>
    </row>
    <row r="80" customFormat="false" ht="27.75" hidden="false" customHeight="true" outlineLevel="0" collapsed="false">
      <c r="A80" s="70" t="s">
        <v>482</v>
      </c>
      <c r="B80" s="70" t="n">
        <v>312014</v>
      </c>
      <c r="C80" s="70" t="s">
        <v>722</v>
      </c>
      <c r="D80" s="70" t="n">
        <v>11495</v>
      </c>
      <c r="E80" s="72" t="s">
        <v>193</v>
      </c>
      <c r="F80" s="134" t="n">
        <v>20</v>
      </c>
      <c r="G80" s="134" t="n">
        <v>25</v>
      </c>
      <c r="H80" s="134" t="n">
        <v>45</v>
      </c>
      <c r="I80" s="134" t="n">
        <v>3</v>
      </c>
      <c r="J80" s="134" t="n">
        <v>13</v>
      </c>
      <c r="K80" s="72" t="s">
        <v>485</v>
      </c>
      <c r="L80" s="70"/>
      <c r="M80" s="70" t="s">
        <v>486</v>
      </c>
      <c r="N80" s="70" t="s">
        <v>486</v>
      </c>
      <c r="O80" s="135" t="str">
        <f aca="false">IF(E80="","",IF(M80&lt;&gt;"Sim","Solicitar confirmação à unidade",IF(N80&lt;&gt;"Sim","Validar dados com a unidade pela GOP",IF(IFERROR(VALUE(J80),0)&gt;0,"Planejar instalação de "&amp;J80&amp;" aparelho(s)","Inventário em dia"))))</f>
        <v>Solicitar confirmação à unidade</v>
      </c>
      <c r="P80" s="72" t="s">
        <v>723</v>
      </c>
      <c r="Q80" s="72" t="s">
        <v>492</v>
      </c>
      <c r="R80" s="128"/>
      <c r="S80" s="128"/>
      <c r="T80" s="128"/>
      <c r="U80" s="128"/>
      <c r="V80" s="128"/>
      <c r="W80" s="128"/>
      <c r="X80" s="128"/>
      <c r="Y80" s="128"/>
      <c r="Z80" s="128"/>
      <c r="AA80" s="78"/>
      <c r="AB80" s="78"/>
      <c r="AC80" s="78"/>
      <c r="AD80" s="78"/>
      <c r="AE80" s="78"/>
      <c r="AF80" s="78"/>
      <c r="AG80" s="78"/>
      <c r="AH80" s="78"/>
      <c r="AI80" s="78"/>
    </row>
    <row r="81" customFormat="false" ht="27.75" hidden="false" customHeight="true" outlineLevel="0" collapsed="false">
      <c r="A81" s="79" t="s">
        <v>482</v>
      </c>
      <c r="B81" s="79" t="n">
        <v>312018</v>
      </c>
      <c r="C81" s="79" t="s">
        <v>724</v>
      </c>
      <c r="D81" s="79" t="n">
        <v>11499</v>
      </c>
      <c r="E81" s="81" t="s">
        <v>725</v>
      </c>
      <c r="F81" s="136" t="n">
        <v>15</v>
      </c>
      <c r="G81" s="136" t="n">
        <v>21</v>
      </c>
      <c r="H81" s="136" t="n">
        <v>24</v>
      </c>
      <c r="I81" s="136" t="n">
        <v>0</v>
      </c>
      <c r="J81" s="136" t="n">
        <v>0</v>
      </c>
      <c r="K81" s="81" t="s">
        <v>485</v>
      </c>
      <c r="L81" s="79"/>
      <c r="M81" s="79" t="s">
        <v>486</v>
      </c>
      <c r="N81" s="79" t="s">
        <v>486</v>
      </c>
      <c r="O81" s="137" t="str">
        <f aca="false">IF(E81="","",IF(M81&lt;&gt;"Sim","Solicitar confirmação à unidade",IF(N81&lt;&gt;"Sim","Validar dados com a unidade pela GOP",IF(IFERROR(VALUE(J81),0)&gt;0,"Planejar instalação de "&amp;J81&amp;" aparelho(s)","Inventário em dia"))))</f>
        <v>Solicitar confirmação à unidade</v>
      </c>
      <c r="P81" s="81" t="s">
        <v>726</v>
      </c>
      <c r="Q81" s="81" t="s">
        <v>492</v>
      </c>
      <c r="R81" s="128"/>
      <c r="S81" s="128"/>
      <c r="T81" s="128"/>
      <c r="U81" s="128"/>
      <c r="V81" s="128"/>
      <c r="W81" s="128"/>
      <c r="X81" s="128"/>
      <c r="Y81" s="128"/>
      <c r="Z81" s="128"/>
      <c r="AA81" s="78"/>
      <c r="AB81" s="78"/>
      <c r="AC81" s="78"/>
      <c r="AD81" s="78"/>
      <c r="AE81" s="78"/>
      <c r="AF81" s="78"/>
      <c r="AG81" s="78"/>
      <c r="AH81" s="78"/>
      <c r="AI81" s="78"/>
    </row>
    <row r="82" customFormat="false" ht="27.75" hidden="false" customHeight="true" outlineLevel="0" collapsed="false">
      <c r="A82" s="70" t="s">
        <v>482</v>
      </c>
      <c r="B82" s="70" t="n">
        <v>313031</v>
      </c>
      <c r="C82" s="70" t="s">
        <v>727</v>
      </c>
      <c r="D82" s="70" t="n">
        <v>11827</v>
      </c>
      <c r="E82" s="72" t="s">
        <v>728</v>
      </c>
      <c r="F82" s="134" t="n">
        <v>8</v>
      </c>
      <c r="G82" s="134" t="n">
        <v>12</v>
      </c>
      <c r="H82" s="134" t="n">
        <v>19</v>
      </c>
      <c r="I82" s="134" t="n">
        <v>0</v>
      </c>
      <c r="J82" s="134" t="n">
        <v>5</v>
      </c>
      <c r="K82" s="72" t="s">
        <v>485</v>
      </c>
      <c r="L82" s="70"/>
      <c r="M82" s="70" t="s">
        <v>486</v>
      </c>
      <c r="N82" s="70" t="s">
        <v>486</v>
      </c>
      <c r="O82" s="135" t="str">
        <f aca="false">IF(E82="","",IF(M82&lt;&gt;"Sim","Solicitar confirmação à unidade",IF(N82&lt;&gt;"Sim","Validar dados com a unidade pela GOP",IF(IFERROR(VALUE(J82),0)&gt;0,"Planejar instalação de "&amp;J82&amp;" aparelho(s)","Inventário em dia"))))</f>
        <v>Solicitar confirmação à unidade</v>
      </c>
      <c r="P82" s="72" t="s">
        <v>729</v>
      </c>
      <c r="Q82" s="72" t="s">
        <v>662</v>
      </c>
      <c r="R82" s="128"/>
      <c r="S82" s="128"/>
      <c r="T82" s="128"/>
      <c r="U82" s="128"/>
      <c r="V82" s="128"/>
      <c r="W82" s="128"/>
      <c r="X82" s="128"/>
      <c r="Y82" s="128"/>
      <c r="Z82" s="128"/>
      <c r="AA82" s="78"/>
      <c r="AB82" s="78"/>
      <c r="AC82" s="78"/>
      <c r="AD82" s="78"/>
      <c r="AE82" s="78"/>
      <c r="AF82" s="78"/>
      <c r="AG82" s="78"/>
      <c r="AH82" s="78"/>
      <c r="AI82" s="78"/>
    </row>
    <row r="83" customFormat="false" ht="27.75" hidden="false" customHeight="true" outlineLevel="0" collapsed="false">
      <c r="A83" s="79" t="s">
        <v>482</v>
      </c>
      <c r="B83" s="79" t="n">
        <v>312019</v>
      </c>
      <c r="C83" s="79" t="s">
        <v>730</v>
      </c>
      <c r="D83" s="79" t="n">
        <v>11500</v>
      </c>
      <c r="E83" s="81" t="s">
        <v>731</v>
      </c>
      <c r="F83" s="136" t="n">
        <v>15</v>
      </c>
      <c r="G83" s="136" t="n">
        <v>27</v>
      </c>
      <c r="H83" s="136" t="n">
        <v>32</v>
      </c>
      <c r="I83" s="136" t="n">
        <v>0</v>
      </c>
      <c r="J83" s="136" t="n">
        <v>4</v>
      </c>
      <c r="K83" s="81" t="s">
        <v>485</v>
      </c>
      <c r="L83" s="79"/>
      <c r="M83" s="79" t="s">
        <v>486</v>
      </c>
      <c r="N83" s="79" t="s">
        <v>486</v>
      </c>
      <c r="O83" s="137" t="str">
        <f aca="false">IF(E83="","",IF(M83&lt;&gt;"Sim","Solicitar confirmação à unidade",IF(N83&lt;&gt;"Sim","Validar dados com a unidade pela GOP",IF(IFERROR(VALUE(J83),0)&gt;0,"Planejar instalação de "&amp;J83&amp;" aparelho(s)","Inventário em dia"))))</f>
        <v>Solicitar confirmação à unidade</v>
      </c>
      <c r="P83" s="81" t="s">
        <v>732</v>
      </c>
      <c r="Q83" s="81" t="s">
        <v>492</v>
      </c>
      <c r="R83" s="128"/>
      <c r="S83" s="128"/>
      <c r="T83" s="128"/>
      <c r="U83" s="128"/>
      <c r="V83" s="128"/>
      <c r="W83" s="128"/>
      <c r="X83" s="128"/>
      <c r="Y83" s="128"/>
      <c r="Z83" s="128"/>
      <c r="AA83" s="78"/>
      <c r="AB83" s="78"/>
      <c r="AC83" s="78"/>
      <c r="AD83" s="78"/>
      <c r="AE83" s="78"/>
      <c r="AF83" s="78"/>
      <c r="AG83" s="78"/>
      <c r="AH83" s="78"/>
      <c r="AI83" s="78"/>
    </row>
    <row r="84" customFormat="false" ht="27.75" hidden="false" customHeight="true" outlineLevel="0" collapsed="false">
      <c r="A84" s="70" t="s">
        <v>482</v>
      </c>
      <c r="B84" s="70" t="n">
        <v>312003</v>
      </c>
      <c r="C84" s="70" t="s">
        <v>733</v>
      </c>
      <c r="D84" s="70" t="n">
        <v>11484</v>
      </c>
      <c r="E84" s="72" t="s">
        <v>734</v>
      </c>
      <c r="F84" s="134" t="n">
        <v>7</v>
      </c>
      <c r="G84" s="134" t="n">
        <v>7</v>
      </c>
      <c r="H84" s="134" t="n">
        <v>10</v>
      </c>
      <c r="I84" s="134" t="n">
        <v>0</v>
      </c>
      <c r="J84" s="134" t="n">
        <v>5</v>
      </c>
      <c r="K84" s="72" t="s">
        <v>485</v>
      </c>
      <c r="L84" s="70"/>
      <c r="M84" s="70" t="s">
        <v>486</v>
      </c>
      <c r="N84" s="70" t="s">
        <v>486</v>
      </c>
      <c r="O84" s="135" t="str">
        <f aca="false">IF(E84="","",IF(M84&lt;&gt;"Sim","Solicitar confirmação à unidade",IF(N84&lt;&gt;"Sim","Validar dados com a unidade pela GOP",IF(IFERROR(VALUE(J84),0)&gt;0,"Planejar instalação de "&amp;J84&amp;" aparelho(s)","Inventário em dia"))))</f>
        <v>Solicitar confirmação à unidade</v>
      </c>
      <c r="P84" s="72" t="s">
        <v>735</v>
      </c>
      <c r="Q84" s="72" t="s">
        <v>580</v>
      </c>
      <c r="R84" s="128"/>
      <c r="S84" s="128"/>
      <c r="T84" s="128"/>
      <c r="U84" s="128"/>
      <c r="V84" s="128"/>
      <c r="W84" s="128"/>
      <c r="X84" s="128"/>
      <c r="Y84" s="128"/>
      <c r="Z84" s="128"/>
      <c r="AA84" s="78"/>
      <c r="AB84" s="78"/>
      <c r="AC84" s="78"/>
      <c r="AD84" s="78"/>
      <c r="AE84" s="78"/>
      <c r="AF84" s="78"/>
      <c r="AG84" s="78"/>
      <c r="AH84" s="78"/>
      <c r="AI84" s="78"/>
    </row>
    <row r="85" customFormat="false" ht="27.75" hidden="false" customHeight="true" outlineLevel="0" collapsed="false">
      <c r="A85" s="79" t="s">
        <v>482</v>
      </c>
      <c r="B85" s="79" t="n">
        <v>312001</v>
      </c>
      <c r="C85" s="79" t="s">
        <v>736</v>
      </c>
      <c r="D85" s="79" t="n">
        <v>11482</v>
      </c>
      <c r="E85" s="81" t="s">
        <v>737</v>
      </c>
      <c r="F85" s="136" t="n">
        <v>20</v>
      </c>
      <c r="G85" s="136" t="n">
        <v>32</v>
      </c>
      <c r="H85" s="136" t="n">
        <v>43</v>
      </c>
      <c r="I85" s="136" t="n">
        <v>0</v>
      </c>
      <c r="J85" s="136" t="n">
        <v>2</v>
      </c>
      <c r="K85" s="81" t="s">
        <v>485</v>
      </c>
      <c r="L85" s="79"/>
      <c r="M85" s="79" t="s">
        <v>486</v>
      </c>
      <c r="N85" s="79" t="s">
        <v>486</v>
      </c>
      <c r="O85" s="137" t="str">
        <f aca="false">IF(E85="","",IF(M85&lt;&gt;"Sim","Solicitar confirmação à unidade",IF(N85&lt;&gt;"Sim","Validar dados com a unidade pela GOP",IF(IFERROR(VALUE(J85),0)&gt;0,"Planejar instalação de "&amp;J85&amp;" aparelho(s)","Inventário em dia"))))</f>
        <v>Solicitar confirmação à unidade</v>
      </c>
      <c r="P85" s="81" t="s">
        <v>738</v>
      </c>
      <c r="Q85" s="81" t="s">
        <v>739</v>
      </c>
      <c r="R85" s="128"/>
      <c r="S85" s="128"/>
      <c r="T85" s="128"/>
      <c r="U85" s="128"/>
      <c r="V85" s="128"/>
      <c r="W85" s="128"/>
      <c r="X85" s="128"/>
      <c r="Y85" s="128"/>
      <c r="Z85" s="128"/>
      <c r="AA85" s="78"/>
      <c r="AB85" s="78"/>
      <c r="AC85" s="78"/>
      <c r="AD85" s="78"/>
      <c r="AE85" s="78"/>
      <c r="AF85" s="78"/>
      <c r="AG85" s="78"/>
      <c r="AH85" s="78"/>
      <c r="AI85" s="78"/>
    </row>
    <row r="86" customFormat="false" ht="27.75" hidden="false" customHeight="true" outlineLevel="0" collapsed="false">
      <c r="A86" s="70" t="s">
        <v>482</v>
      </c>
      <c r="B86" s="70" t="n">
        <v>312010</v>
      </c>
      <c r="C86" s="70" t="s">
        <v>740</v>
      </c>
      <c r="D86" s="70" t="n">
        <v>11491</v>
      </c>
      <c r="E86" s="72" t="s">
        <v>741</v>
      </c>
      <c r="F86" s="134" t="n">
        <v>7</v>
      </c>
      <c r="G86" s="134" t="n">
        <v>11</v>
      </c>
      <c r="H86" s="134" t="n">
        <v>14</v>
      </c>
      <c r="I86" s="134" t="n">
        <v>0</v>
      </c>
      <c r="J86" s="134" t="n">
        <v>2</v>
      </c>
      <c r="K86" s="72" t="s">
        <v>485</v>
      </c>
      <c r="L86" s="70"/>
      <c r="M86" s="70" t="s">
        <v>486</v>
      </c>
      <c r="N86" s="70" t="s">
        <v>486</v>
      </c>
      <c r="O86" s="135" t="str">
        <f aca="false">IF(E86="","",IF(M86&lt;&gt;"Sim","Solicitar confirmação à unidade",IF(N86&lt;&gt;"Sim","Validar dados com a unidade pela GOP",IF(IFERROR(VALUE(J86),0)&gt;0,"Planejar instalação de "&amp;J86&amp;" aparelho(s)","Inventário em dia"))))</f>
        <v>Solicitar confirmação à unidade</v>
      </c>
      <c r="P86" s="72" t="s">
        <v>742</v>
      </c>
      <c r="Q86" s="72" t="s">
        <v>743</v>
      </c>
      <c r="R86" s="128"/>
      <c r="S86" s="128"/>
      <c r="T86" s="128"/>
      <c r="U86" s="128"/>
      <c r="V86" s="128"/>
      <c r="W86" s="128"/>
      <c r="X86" s="128"/>
      <c r="Y86" s="128"/>
      <c r="Z86" s="128"/>
      <c r="AA86" s="78"/>
      <c r="AB86" s="78"/>
      <c r="AC86" s="78"/>
      <c r="AD86" s="78"/>
      <c r="AE86" s="78"/>
      <c r="AF86" s="78"/>
      <c r="AG86" s="78"/>
      <c r="AH86" s="78"/>
      <c r="AI86" s="78"/>
    </row>
    <row r="87" customFormat="false" ht="27.75" hidden="false" customHeight="true" outlineLevel="0" collapsed="false">
      <c r="A87" s="79" t="s">
        <v>482</v>
      </c>
      <c r="B87" s="79" t="n">
        <v>313003</v>
      </c>
      <c r="C87" s="79" t="s">
        <v>744</v>
      </c>
      <c r="D87" s="79" t="n">
        <v>11855</v>
      </c>
      <c r="E87" s="81" t="s">
        <v>745</v>
      </c>
      <c r="F87" s="136" t="n">
        <v>17</v>
      </c>
      <c r="G87" s="136" t="n">
        <v>32</v>
      </c>
      <c r="H87" s="136" t="n">
        <v>42</v>
      </c>
      <c r="I87" s="136" t="n">
        <v>0</v>
      </c>
      <c r="J87" s="136" t="n">
        <v>2</v>
      </c>
      <c r="K87" s="81" t="s">
        <v>485</v>
      </c>
      <c r="L87" s="79"/>
      <c r="M87" s="79" t="s">
        <v>486</v>
      </c>
      <c r="N87" s="79" t="s">
        <v>486</v>
      </c>
      <c r="O87" s="137" t="str">
        <f aca="false">IF(E87="","",IF(M87&lt;&gt;"Sim","Solicitar confirmação à unidade",IF(N87&lt;&gt;"Sim","Validar dados com a unidade pela GOP",IF(IFERROR(VALUE(J87),0)&gt;0,"Planejar instalação de "&amp;J87&amp;" aparelho(s)","Inventário em dia"))))</f>
        <v>Solicitar confirmação à unidade</v>
      </c>
      <c r="P87" s="81" t="s">
        <v>746</v>
      </c>
      <c r="Q87" s="81" t="s">
        <v>645</v>
      </c>
      <c r="R87" s="128"/>
      <c r="S87" s="128"/>
      <c r="T87" s="128"/>
      <c r="U87" s="128"/>
      <c r="V87" s="128"/>
      <c r="W87" s="128"/>
      <c r="X87" s="128"/>
      <c r="Y87" s="128"/>
      <c r="Z87" s="128"/>
      <c r="AA87" s="78"/>
      <c r="AB87" s="78"/>
      <c r="AC87" s="78"/>
      <c r="AD87" s="78"/>
      <c r="AE87" s="78"/>
      <c r="AF87" s="78"/>
      <c r="AG87" s="78"/>
      <c r="AH87" s="78"/>
      <c r="AI87" s="78"/>
    </row>
    <row r="88" customFormat="false" ht="27.75" hidden="false" customHeight="true" outlineLevel="0" collapsed="false">
      <c r="A88" s="70" t="s">
        <v>482</v>
      </c>
      <c r="B88" s="70" t="n">
        <v>313030</v>
      </c>
      <c r="C88" s="70" t="s">
        <v>747</v>
      </c>
      <c r="D88" s="70" t="n">
        <v>11828</v>
      </c>
      <c r="E88" s="72" t="s">
        <v>748</v>
      </c>
      <c r="F88" s="134" t="n">
        <v>11</v>
      </c>
      <c r="G88" s="134" t="n">
        <v>20</v>
      </c>
      <c r="H88" s="134" t="n">
        <v>33</v>
      </c>
      <c r="I88" s="134" t="n">
        <v>0</v>
      </c>
      <c r="J88" s="134" t="n">
        <v>4</v>
      </c>
      <c r="K88" s="72" t="s">
        <v>485</v>
      </c>
      <c r="L88" s="70"/>
      <c r="M88" s="70" t="s">
        <v>486</v>
      </c>
      <c r="N88" s="70" t="s">
        <v>486</v>
      </c>
      <c r="O88" s="135" t="str">
        <f aca="false">IF(E88="","",IF(M88&lt;&gt;"Sim","Solicitar confirmação à unidade",IF(N88&lt;&gt;"Sim","Validar dados com a unidade pela GOP",IF(IFERROR(VALUE(J88),0)&gt;0,"Planejar instalação de "&amp;J88&amp;" aparelho(s)","Inventário em dia"))))</f>
        <v>Solicitar confirmação à unidade</v>
      </c>
      <c r="P88" s="72" t="s">
        <v>749</v>
      </c>
      <c r="Q88" s="72" t="s">
        <v>662</v>
      </c>
      <c r="R88" s="128"/>
      <c r="S88" s="128"/>
      <c r="T88" s="128"/>
      <c r="U88" s="128"/>
      <c r="V88" s="128"/>
      <c r="W88" s="128"/>
      <c r="X88" s="128"/>
      <c r="Y88" s="128"/>
      <c r="Z88" s="128"/>
      <c r="AA88" s="78"/>
      <c r="AB88" s="78"/>
      <c r="AC88" s="78"/>
      <c r="AD88" s="78"/>
      <c r="AE88" s="78"/>
      <c r="AF88" s="78"/>
      <c r="AG88" s="78"/>
      <c r="AH88" s="78"/>
      <c r="AI88" s="78"/>
    </row>
    <row r="89" customFormat="false" ht="27.75" hidden="false" customHeight="true" outlineLevel="0" collapsed="false">
      <c r="A89" s="79" t="s">
        <v>482</v>
      </c>
      <c r="B89" s="79" t="n">
        <v>312011</v>
      </c>
      <c r="C89" s="79" t="s">
        <v>750</v>
      </c>
      <c r="D89" s="79" t="n">
        <v>11492</v>
      </c>
      <c r="E89" s="81" t="s">
        <v>751</v>
      </c>
      <c r="F89" s="136" t="n">
        <v>21</v>
      </c>
      <c r="G89" s="136" t="n">
        <v>21</v>
      </c>
      <c r="H89" s="136" t="n">
        <v>25</v>
      </c>
      <c r="I89" s="136" t="n">
        <v>0</v>
      </c>
      <c r="J89" s="136" t="n">
        <v>16</v>
      </c>
      <c r="K89" s="81" t="s">
        <v>485</v>
      </c>
      <c r="L89" s="79"/>
      <c r="M89" s="79" t="s">
        <v>486</v>
      </c>
      <c r="N89" s="79" t="s">
        <v>486</v>
      </c>
      <c r="O89" s="137" t="str">
        <f aca="false">IF(E89="","",IF(M89&lt;&gt;"Sim","Solicitar confirmação à unidade",IF(N89&lt;&gt;"Sim","Validar dados com a unidade pela GOP",IF(IFERROR(VALUE(J89),0)&gt;0,"Planejar instalação de "&amp;J89&amp;" aparelho(s)","Inventário em dia"))))</f>
        <v>Solicitar confirmação à unidade</v>
      </c>
      <c r="P89" s="81" t="s">
        <v>752</v>
      </c>
      <c r="Q89" s="81" t="s">
        <v>743</v>
      </c>
      <c r="R89" s="128"/>
      <c r="S89" s="128"/>
      <c r="T89" s="128"/>
      <c r="U89" s="128"/>
      <c r="V89" s="128"/>
      <c r="W89" s="128"/>
      <c r="X89" s="128"/>
      <c r="Y89" s="128"/>
      <c r="Z89" s="128"/>
      <c r="AA89" s="78"/>
      <c r="AB89" s="78"/>
      <c r="AC89" s="78"/>
      <c r="AD89" s="78"/>
      <c r="AE89" s="78"/>
      <c r="AF89" s="78"/>
      <c r="AG89" s="78"/>
      <c r="AH89" s="78"/>
      <c r="AI89" s="78"/>
    </row>
    <row r="90" customFormat="false" ht="27.75" hidden="false" customHeight="true" outlineLevel="0" collapsed="false">
      <c r="A90" s="70" t="s">
        <v>482</v>
      </c>
      <c r="B90" s="70" t="n">
        <v>312027</v>
      </c>
      <c r="C90" s="70" t="s">
        <v>753</v>
      </c>
      <c r="D90" s="70" t="n">
        <v>10900</v>
      </c>
      <c r="E90" s="72" t="s">
        <v>754</v>
      </c>
      <c r="F90" s="134" t="n">
        <v>26</v>
      </c>
      <c r="G90" s="134" t="n">
        <v>28</v>
      </c>
      <c r="H90" s="134" t="n">
        <v>32</v>
      </c>
      <c r="I90" s="134" t="n">
        <v>0</v>
      </c>
      <c r="J90" s="134" t="n">
        <v>13</v>
      </c>
      <c r="K90" s="72" t="s">
        <v>485</v>
      </c>
      <c r="L90" s="70"/>
      <c r="M90" s="70" t="s">
        <v>486</v>
      </c>
      <c r="N90" s="70" t="s">
        <v>486</v>
      </c>
      <c r="O90" s="135" t="str">
        <f aca="false">IF(E90="","",IF(M90&lt;&gt;"Sim","Solicitar confirmação à unidade",IF(N90&lt;&gt;"Sim","Validar dados com a unidade pela GOP",IF(IFERROR(VALUE(J90),0)&gt;0,"Planejar instalação de "&amp;J90&amp;" aparelho(s)","Inventário em dia"))))</f>
        <v>Solicitar confirmação à unidade</v>
      </c>
      <c r="P90" s="72" t="s">
        <v>755</v>
      </c>
      <c r="Q90" s="72" t="s">
        <v>492</v>
      </c>
      <c r="R90" s="128"/>
      <c r="S90" s="128"/>
      <c r="T90" s="128"/>
      <c r="U90" s="128"/>
      <c r="V90" s="128"/>
      <c r="W90" s="128"/>
      <c r="X90" s="128"/>
      <c r="Y90" s="128"/>
      <c r="Z90" s="128"/>
      <c r="AA90" s="78"/>
      <c r="AB90" s="78"/>
      <c r="AC90" s="78"/>
      <c r="AD90" s="78"/>
      <c r="AE90" s="78"/>
      <c r="AF90" s="78"/>
      <c r="AG90" s="78"/>
      <c r="AH90" s="78"/>
      <c r="AI90" s="78"/>
    </row>
    <row r="91" customFormat="false" ht="27.75" hidden="false" customHeight="true" outlineLevel="0" collapsed="false">
      <c r="A91" s="79" t="s">
        <v>482</v>
      </c>
      <c r="B91" s="79" t="n">
        <v>313022</v>
      </c>
      <c r="C91" s="79" t="s">
        <v>756</v>
      </c>
      <c r="D91" s="79" t="n">
        <v>11836</v>
      </c>
      <c r="E91" s="81" t="s">
        <v>200</v>
      </c>
      <c r="F91" s="136" t="n">
        <v>23</v>
      </c>
      <c r="G91" s="136" t="n">
        <v>40</v>
      </c>
      <c r="H91" s="136" t="n">
        <v>46</v>
      </c>
      <c r="I91" s="136" t="n">
        <v>2</v>
      </c>
      <c r="J91" s="136" t="n">
        <v>6</v>
      </c>
      <c r="K91" s="81" t="s">
        <v>485</v>
      </c>
      <c r="L91" s="79"/>
      <c r="M91" s="79" t="s">
        <v>486</v>
      </c>
      <c r="N91" s="79" t="s">
        <v>486</v>
      </c>
      <c r="O91" s="137" t="str">
        <f aca="false">IF(E91="","",IF(M91&lt;&gt;"Sim","Solicitar confirmação à unidade",IF(N91&lt;&gt;"Sim","Validar dados com a unidade pela GOP",IF(IFERROR(VALUE(J91),0)&gt;0,"Planejar instalação de "&amp;J91&amp;" aparelho(s)","Inventário em dia"))))</f>
        <v>Solicitar confirmação à unidade</v>
      </c>
      <c r="P91" s="81" t="s">
        <v>757</v>
      </c>
      <c r="Q91" s="81" t="s">
        <v>573</v>
      </c>
      <c r="R91" s="128"/>
      <c r="S91" s="128"/>
      <c r="T91" s="128"/>
      <c r="U91" s="128"/>
      <c r="V91" s="128"/>
      <c r="W91" s="128"/>
      <c r="X91" s="128"/>
      <c r="Y91" s="128"/>
      <c r="Z91" s="128"/>
      <c r="AA91" s="78"/>
      <c r="AB91" s="78"/>
      <c r="AC91" s="78"/>
      <c r="AD91" s="78"/>
      <c r="AE91" s="78"/>
      <c r="AF91" s="78"/>
      <c r="AG91" s="78"/>
      <c r="AH91" s="78"/>
      <c r="AI91" s="78"/>
    </row>
    <row r="92" customFormat="false" ht="27.75" hidden="false" customHeight="true" outlineLevel="0" collapsed="false">
      <c r="A92" s="70" t="s">
        <v>482</v>
      </c>
      <c r="B92" s="70" t="n">
        <v>329001</v>
      </c>
      <c r="C92" s="70" t="s">
        <v>758</v>
      </c>
      <c r="D92" s="70" t="n">
        <v>11788</v>
      </c>
      <c r="E92" s="72" t="s">
        <v>759</v>
      </c>
      <c r="F92" s="134" t="n">
        <v>16</v>
      </c>
      <c r="G92" s="134" t="n">
        <v>11</v>
      </c>
      <c r="H92" s="134" t="n">
        <v>39</v>
      </c>
      <c r="I92" s="134" t="n">
        <v>2</v>
      </c>
      <c r="J92" s="134" t="n">
        <v>11</v>
      </c>
      <c r="K92" s="72" t="s">
        <v>485</v>
      </c>
      <c r="L92" s="70"/>
      <c r="M92" s="70" t="s">
        <v>486</v>
      </c>
      <c r="N92" s="70" t="s">
        <v>486</v>
      </c>
      <c r="O92" s="135" t="str">
        <f aca="false">IF(E92="","",IF(M92&lt;&gt;"Sim","Solicitar confirmação à unidade",IF(N92&lt;&gt;"Sim","Validar dados com a unidade pela GOP",IF(IFERROR(VALUE(J92),0)&gt;0,"Planejar instalação de "&amp;J92&amp;" aparelho(s)","Inventário em dia"))))</f>
        <v>Solicitar confirmação à unidade</v>
      </c>
      <c r="P92" s="72" t="s">
        <v>760</v>
      </c>
      <c r="Q92" s="72" t="s">
        <v>527</v>
      </c>
      <c r="R92" s="128"/>
      <c r="S92" s="128"/>
      <c r="T92" s="128"/>
      <c r="U92" s="128"/>
      <c r="V92" s="128"/>
      <c r="W92" s="128"/>
      <c r="X92" s="128"/>
      <c r="Y92" s="128"/>
      <c r="Z92" s="128"/>
      <c r="AA92" s="78"/>
      <c r="AB92" s="78"/>
      <c r="AC92" s="78"/>
      <c r="AD92" s="78"/>
      <c r="AE92" s="78"/>
      <c r="AF92" s="78"/>
      <c r="AG92" s="78"/>
      <c r="AH92" s="78"/>
      <c r="AI92" s="78"/>
    </row>
    <row r="93" customFormat="false" ht="27.75" hidden="false" customHeight="true" outlineLevel="0" collapsed="false">
      <c r="A93" s="79" t="s">
        <v>482</v>
      </c>
      <c r="B93" s="79" t="n">
        <v>313025</v>
      </c>
      <c r="C93" s="79" t="s">
        <v>761</v>
      </c>
      <c r="D93" s="79" t="n">
        <v>11833</v>
      </c>
      <c r="E93" s="81" t="s">
        <v>149</v>
      </c>
      <c r="F93" s="136" t="n">
        <v>9</v>
      </c>
      <c r="G93" s="136" t="n">
        <v>17</v>
      </c>
      <c r="H93" s="136" t="n">
        <v>21</v>
      </c>
      <c r="I93" s="136" t="n">
        <v>1</v>
      </c>
      <c r="J93" s="136" t="n">
        <v>6</v>
      </c>
      <c r="K93" s="81" t="s">
        <v>485</v>
      </c>
      <c r="L93" s="79"/>
      <c r="M93" s="79" t="s">
        <v>486</v>
      </c>
      <c r="N93" s="79" t="s">
        <v>486</v>
      </c>
      <c r="O93" s="137" t="str">
        <f aca="false">IF(E93="","",IF(M93&lt;&gt;"Sim","Solicitar confirmação à unidade",IF(N93&lt;&gt;"Sim","Validar dados com a unidade pela GOP",IF(IFERROR(VALUE(J93),0)&gt;0,"Planejar instalação de "&amp;J93&amp;" aparelho(s)","Inventário em dia"))))</f>
        <v>Solicitar confirmação à unidade</v>
      </c>
      <c r="P93" s="81" t="s">
        <v>762</v>
      </c>
      <c r="Q93" s="81" t="s">
        <v>662</v>
      </c>
      <c r="R93" s="128"/>
      <c r="S93" s="128"/>
      <c r="T93" s="128"/>
      <c r="U93" s="128"/>
      <c r="V93" s="128"/>
      <c r="W93" s="128"/>
      <c r="X93" s="128"/>
      <c r="Y93" s="128"/>
      <c r="Z93" s="128"/>
      <c r="AA93" s="78"/>
      <c r="AB93" s="78"/>
      <c r="AC93" s="78"/>
      <c r="AD93" s="78"/>
      <c r="AE93" s="78"/>
      <c r="AF93" s="78"/>
      <c r="AG93" s="78"/>
      <c r="AH93" s="78"/>
      <c r="AI93" s="78"/>
    </row>
    <row r="94" customFormat="false" ht="27.75" hidden="false" customHeight="true" outlineLevel="0" collapsed="false">
      <c r="A94" s="70" t="s">
        <v>482</v>
      </c>
      <c r="B94" s="70" t="n">
        <v>312025</v>
      </c>
      <c r="C94" s="70" t="s">
        <v>763</v>
      </c>
      <c r="D94" s="70" t="n">
        <v>10898</v>
      </c>
      <c r="E94" s="72" t="s">
        <v>764</v>
      </c>
      <c r="F94" s="134" t="n">
        <v>5</v>
      </c>
      <c r="G94" s="134" t="n">
        <v>10</v>
      </c>
      <c r="H94" s="134" t="n">
        <v>16</v>
      </c>
      <c r="I94" s="134" t="n">
        <v>0</v>
      </c>
      <c r="J94" s="134" t="n">
        <v>0</v>
      </c>
      <c r="K94" s="72" t="s">
        <v>485</v>
      </c>
      <c r="L94" s="70"/>
      <c r="M94" s="70" t="s">
        <v>486</v>
      </c>
      <c r="N94" s="70" t="s">
        <v>486</v>
      </c>
      <c r="O94" s="135" t="str">
        <f aca="false">IF(E94="","",IF(M94&lt;&gt;"Sim","Solicitar confirmação à unidade",IF(N94&lt;&gt;"Sim","Validar dados com a unidade pela GOP",IF(IFERROR(VALUE(J94),0)&gt;0,"Planejar instalação de "&amp;J94&amp;" aparelho(s)","Inventário em dia"))))</f>
        <v>Solicitar confirmação à unidade</v>
      </c>
      <c r="P94" s="72" t="s">
        <v>765</v>
      </c>
      <c r="Q94" s="72" t="s">
        <v>492</v>
      </c>
      <c r="R94" s="128"/>
      <c r="S94" s="128"/>
      <c r="T94" s="128"/>
      <c r="U94" s="128"/>
      <c r="V94" s="128"/>
      <c r="W94" s="128"/>
      <c r="X94" s="128"/>
      <c r="Y94" s="128"/>
      <c r="Z94" s="128"/>
      <c r="AA94" s="78"/>
      <c r="AB94" s="78"/>
      <c r="AC94" s="78"/>
      <c r="AD94" s="78"/>
      <c r="AE94" s="78"/>
      <c r="AF94" s="78"/>
      <c r="AG94" s="78"/>
      <c r="AH94" s="78"/>
      <c r="AI94" s="78"/>
    </row>
    <row r="95" customFormat="false" ht="27.75" hidden="false" customHeight="true" outlineLevel="0" collapsed="false">
      <c r="A95" s="79" t="s">
        <v>482</v>
      </c>
      <c r="B95" s="79" t="n">
        <v>312037</v>
      </c>
      <c r="C95" s="79" t="s">
        <v>766</v>
      </c>
      <c r="D95" s="79" t="n">
        <v>11866</v>
      </c>
      <c r="E95" s="81" t="s">
        <v>767</v>
      </c>
      <c r="F95" s="136" t="n">
        <v>20</v>
      </c>
      <c r="G95" s="136" t="n">
        <v>20</v>
      </c>
      <c r="H95" s="136" t="n">
        <v>27</v>
      </c>
      <c r="I95" s="136" t="n">
        <v>0</v>
      </c>
      <c r="J95" s="136" t="n">
        <v>18</v>
      </c>
      <c r="K95" s="81" t="s">
        <v>485</v>
      </c>
      <c r="L95" s="79"/>
      <c r="M95" s="79" t="s">
        <v>486</v>
      </c>
      <c r="N95" s="79" t="s">
        <v>486</v>
      </c>
      <c r="O95" s="137" t="str">
        <f aca="false">IF(E95="","",IF(M95&lt;&gt;"Sim","Solicitar confirmação à unidade",IF(N95&lt;&gt;"Sim","Validar dados com a unidade pela GOP",IF(IFERROR(VALUE(J95),0)&gt;0,"Planejar instalação de "&amp;J95&amp;" aparelho(s)","Inventário em dia"))))</f>
        <v>Solicitar confirmação à unidade</v>
      </c>
      <c r="P95" s="81" t="s">
        <v>768</v>
      </c>
      <c r="Q95" s="81" t="s">
        <v>527</v>
      </c>
      <c r="R95" s="128"/>
      <c r="S95" s="128"/>
      <c r="T95" s="128"/>
      <c r="U95" s="128"/>
      <c r="V95" s="128"/>
      <c r="W95" s="128"/>
      <c r="X95" s="128"/>
      <c r="Y95" s="128"/>
      <c r="Z95" s="128"/>
      <c r="AA95" s="78"/>
      <c r="AB95" s="78"/>
      <c r="AC95" s="78"/>
      <c r="AD95" s="78"/>
      <c r="AE95" s="78"/>
      <c r="AF95" s="78"/>
      <c r="AG95" s="78"/>
      <c r="AH95" s="78"/>
      <c r="AI95" s="78"/>
    </row>
    <row r="96" customFormat="false" ht="27.75" hidden="false" customHeight="true" outlineLevel="0" collapsed="false">
      <c r="A96" s="70" t="s">
        <v>482</v>
      </c>
      <c r="B96" s="70" t="n">
        <v>313046</v>
      </c>
      <c r="C96" s="70" t="s">
        <v>769</v>
      </c>
      <c r="D96" s="70" t="n">
        <v>11812</v>
      </c>
      <c r="E96" s="72" t="s">
        <v>770</v>
      </c>
      <c r="F96" s="134" t="n">
        <v>13</v>
      </c>
      <c r="G96" s="134" t="n">
        <v>19</v>
      </c>
      <c r="H96" s="134" t="n">
        <v>29</v>
      </c>
      <c r="I96" s="134" t="n">
        <v>0</v>
      </c>
      <c r="J96" s="134" t="n">
        <v>4</v>
      </c>
      <c r="K96" s="72" t="s">
        <v>485</v>
      </c>
      <c r="L96" s="70"/>
      <c r="M96" s="70" t="s">
        <v>486</v>
      </c>
      <c r="N96" s="70" t="s">
        <v>486</v>
      </c>
      <c r="O96" s="135" t="str">
        <f aca="false">IF(E96="","",IF(M96&lt;&gt;"Sim","Solicitar confirmação à unidade",IF(N96&lt;&gt;"Sim","Validar dados com a unidade pela GOP",IF(IFERROR(VALUE(J96),0)&gt;0,"Planejar instalação de "&amp;J96&amp;" aparelho(s)","Inventário em dia"))))</f>
        <v>Solicitar confirmação à unidade</v>
      </c>
      <c r="P96" s="72" t="s">
        <v>771</v>
      </c>
      <c r="Q96" s="72" t="s">
        <v>554</v>
      </c>
      <c r="R96" s="128"/>
      <c r="S96" s="128"/>
      <c r="T96" s="128"/>
      <c r="U96" s="128"/>
      <c r="V96" s="128"/>
      <c r="W96" s="128"/>
      <c r="X96" s="128"/>
      <c r="Y96" s="128"/>
      <c r="Z96" s="128"/>
      <c r="AA96" s="78"/>
      <c r="AB96" s="78"/>
      <c r="AC96" s="78"/>
      <c r="AD96" s="78"/>
      <c r="AE96" s="78"/>
      <c r="AF96" s="78"/>
      <c r="AG96" s="78"/>
      <c r="AH96" s="78"/>
      <c r="AI96" s="78"/>
    </row>
    <row r="97" customFormat="false" ht="27.75" hidden="false" customHeight="true" outlineLevel="0" collapsed="false">
      <c r="A97" s="79" t="s">
        <v>482</v>
      </c>
      <c r="B97" s="79" t="n">
        <v>313015</v>
      </c>
      <c r="C97" s="79" t="s">
        <v>772</v>
      </c>
      <c r="D97" s="79" t="n">
        <v>11843</v>
      </c>
      <c r="E97" s="81" t="s">
        <v>773</v>
      </c>
      <c r="F97" s="136" t="n">
        <v>16</v>
      </c>
      <c r="G97" s="136" t="n">
        <v>31</v>
      </c>
      <c r="H97" s="136" t="n">
        <v>37</v>
      </c>
      <c r="I97" s="136" t="n">
        <v>0</v>
      </c>
      <c r="J97" s="136" t="n">
        <v>4</v>
      </c>
      <c r="K97" s="81" t="s">
        <v>485</v>
      </c>
      <c r="L97" s="79"/>
      <c r="M97" s="79" t="s">
        <v>486</v>
      </c>
      <c r="N97" s="79" t="s">
        <v>486</v>
      </c>
      <c r="O97" s="137" t="str">
        <f aca="false">IF(E97="","",IF(M97&lt;&gt;"Sim","Solicitar confirmação à unidade",IF(N97&lt;&gt;"Sim","Validar dados com a unidade pela GOP",IF(IFERROR(VALUE(J97),0)&gt;0,"Planejar instalação de "&amp;J97&amp;" aparelho(s)","Inventário em dia"))))</f>
        <v>Solicitar confirmação à unidade</v>
      </c>
      <c r="P97" s="81" t="s">
        <v>774</v>
      </c>
      <c r="Q97" s="81" t="s">
        <v>573</v>
      </c>
      <c r="R97" s="128"/>
      <c r="S97" s="128"/>
      <c r="T97" s="128"/>
      <c r="U97" s="128"/>
      <c r="V97" s="128"/>
      <c r="W97" s="128"/>
      <c r="X97" s="128"/>
      <c r="Y97" s="128"/>
      <c r="Z97" s="128"/>
      <c r="AA97" s="78"/>
      <c r="AB97" s="78"/>
      <c r="AC97" s="78"/>
      <c r="AD97" s="78"/>
      <c r="AE97" s="78"/>
      <c r="AF97" s="78"/>
      <c r="AG97" s="78"/>
      <c r="AH97" s="78"/>
      <c r="AI97" s="78"/>
    </row>
    <row r="98" customFormat="false" ht="27.75" hidden="false" customHeight="true" outlineLevel="0" collapsed="false">
      <c r="A98" s="70" t="s">
        <v>482</v>
      </c>
      <c r="B98" s="70" t="n">
        <v>312032</v>
      </c>
      <c r="C98" s="70" t="s">
        <v>775</v>
      </c>
      <c r="D98" s="70" t="n">
        <v>10905</v>
      </c>
      <c r="E98" s="72" t="s">
        <v>776</v>
      </c>
      <c r="F98" s="134" t="n">
        <v>14</v>
      </c>
      <c r="G98" s="134" t="n">
        <v>29</v>
      </c>
      <c r="H98" s="134" t="n">
        <v>32</v>
      </c>
      <c r="I98" s="134" t="n">
        <v>0</v>
      </c>
      <c r="J98" s="134" t="n">
        <v>3</v>
      </c>
      <c r="K98" s="72" t="s">
        <v>485</v>
      </c>
      <c r="L98" s="70"/>
      <c r="M98" s="70" t="s">
        <v>486</v>
      </c>
      <c r="N98" s="70" t="s">
        <v>486</v>
      </c>
      <c r="O98" s="135" t="str">
        <f aca="false">IF(E98="","",IF(M98&lt;&gt;"Sim","Solicitar confirmação à unidade",IF(N98&lt;&gt;"Sim","Validar dados com a unidade pela GOP",IF(IFERROR(VALUE(J98),0)&gt;0,"Planejar instalação de "&amp;J98&amp;" aparelho(s)","Inventário em dia"))))</f>
        <v>Solicitar confirmação à unidade</v>
      </c>
      <c r="P98" s="72" t="s">
        <v>777</v>
      </c>
      <c r="Q98" s="72" t="s">
        <v>636</v>
      </c>
      <c r="R98" s="128"/>
      <c r="S98" s="128"/>
      <c r="T98" s="128"/>
      <c r="U98" s="128"/>
      <c r="V98" s="128"/>
      <c r="W98" s="128"/>
      <c r="X98" s="128"/>
      <c r="Y98" s="128"/>
      <c r="Z98" s="128"/>
      <c r="AA98" s="78"/>
      <c r="AB98" s="78"/>
      <c r="AC98" s="78"/>
      <c r="AD98" s="78"/>
      <c r="AE98" s="78"/>
      <c r="AF98" s="78"/>
      <c r="AG98" s="78"/>
      <c r="AH98" s="78"/>
      <c r="AI98" s="78"/>
    </row>
    <row r="99" customFormat="false" ht="27.75" hidden="false" customHeight="true" outlineLevel="0" collapsed="false">
      <c r="A99" s="79" t="s">
        <v>482</v>
      </c>
      <c r="B99" s="79" t="n">
        <v>313036</v>
      </c>
      <c r="C99" s="79" t="s">
        <v>778</v>
      </c>
      <c r="D99" s="79" t="n">
        <v>11822</v>
      </c>
      <c r="E99" s="81" t="s">
        <v>779</v>
      </c>
      <c r="F99" s="136" t="n">
        <v>26</v>
      </c>
      <c r="G99" s="136" t="n">
        <v>39</v>
      </c>
      <c r="H99" s="136" t="n">
        <v>46</v>
      </c>
      <c r="I99" s="136" t="n">
        <v>0</v>
      </c>
      <c r="J99" s="136" t="n">
        <v>0</v>
      </c>
      <c r="K99" s="81" t="s">
        <v>485</v>
      </c>
      <c r="L99" s="79"/>
      <c r="M99" s="79" t="s">
        <v>486</v>
      </c>
      <c r="N99" s="79" t="s">
        <v>486</v>
      </c>
      <c r="O99" s="137" t="str">
        <f aca="false">IF(E99="","",IF(M99&lt;&gt;"Sim","Solicitar confirmação à unidade",IF(N99&lt;&gt;"Sim","Validar dados com a unidade pela GOP",IF(IFERROR(VALUE(J99),0)&gt;0,"Planejar instalação de "&amp;J99&amp;" aparelho(s)","Inventário em dia"))))</f>
        <v>Solicitar confirmação à unidade</v>
      </c>
      <c r="P99" s="81" t="s">
        <v>780</v>
      </c>
      <c r="Q99" s="81" t="s">
        <v>544</v>
      </c>
      <c r="R99" s="128"/>
      <c r="S99" s="128"/>
      <c r="T99" s="128"/>
      <c r="U99" s="128"/>
      <c r="V99" s="128"/>
      <c r="W99" s="128"/>
      <c r="X99" s="128"/>
      <c r="Y99" s="128"/>
      <c r="Z99" s="128"/>
      <c r="AA99" s="78"/>
      <c r="AB99" s="78"/>
      <c r="AC99" s="78"/>
      <c r="AD99" s="78"/>
      <c r="AE99" s="78"/>
      <c r="AF99" s="78"/>
      <c r="AG99" s="78"/>
      <c r="AH99" s="78"/>
      <c r="AI99" s="78"/>
    </row>
    <row r="100" customFormat="false" ht="27.75" hidden="false" customHeight="true" outlineLevel="0" collapsed="false">
      <c r="A100" s="70" t="s">
        <v>482</v>
      </c>
      <c r="B100" s="70" t="n">
        <v>313006</v>
      </c>
      <c r="C100" s="70" t="s">
        <v>781</v>
      </c>
      <c r="D100" s="70" t="n">
        <v>11852</v>
      </c>
      <c r="E100" s="72" t="s">
        <v>782</v>
      </c>
      <c r="F100" s="134" t="n">
        <v>10</v>
      </c>
      <c r="G100" s="134" t="n">
        <v>18</v>
      </c>
      <c r="H100" s="134" t="n">
        <v>25</v>
      </c>
      <c r="I100" s="134" t="n">
        <v>0</v>
      </c>
      <c r="J100" s="134" t="n">
        <v>0</v>
      </c>
      <c r="K100" s="72" t="s">
        <v>485</v>
      </c>
      <c r="L100" s="70"/>
      <c r="M100" s="70" t="s">
        <v>486</v>
      </c>
      <c r="N100" s="70" t="s">
        <v>486</v>
      </c>
      <c r="O100" s="135" t="str">
        <f aca="false">IF(E100="","",IF(M100&lt;&gt;"Sim","Solicitar confirmação à unidade",IF(N100&lt;&gt;"Sim","Validar dados com a unidade pela GOP",IF(IFERROR(VALUE(J100),0)&gt;0,"Planejar instalação de "&amp;J100&amp;" aparelho(s)","Inventário em dia"))))</f>
        <v>Solicitar confirmação à unidade</v>
      </c>
      <c r="P100" s="72" t="s">
        <v>783</v>
      </c>
      <c r="Q100" s="72" t="s">
        <v>488</v>
      </c>
      <c r="R100" s="128"/>
      <c r="S100" s="128"/>
      <c r="T100" s="128"/>
      <c r="U100" s="128"/>
      <c r="V100" s="128"/>
      <c r="W100" s="128"/>
      <c r="X100" s="128"/>
      <c r="Y100" s="128"/>
      <c r="Z100" s="128"/>
      <c r="AA100" s="78"/>
      <c r="AB100" s="78"/>
      <c r="AC100" s="78"/>
      <c r="AD100" s="78"/>
      <c r="AE100" s="78"/>
      <c r="AF100" s="78"/>
      <c r="AG100" s="78"/>
      <c r="AH100" s="78"/>
      <c r="AI100" s="78"/>
    </row>
    <row r="101" customFormat="false" ht="27.75" hidden="false" customHeight="true" outlineLevel="0" collapsed="false">
      <c r="A101" s="79" t="s">
        <v>482</v>
      </c>
      <c r="B101" s="79" t="n">
        <v>312022</v>
      </c>
      <c r="C101" s="79" t="s">
        <v>784</v>
      </c>
      <c r="D101" s="79" t="n">
        <v>11503</v>
      </c>
      <c r="E101" s="81" t="s">
        <v>785</v>
      </c>
      <c r="F101" s="136" t="n">
        <v>17</v>
      </c>
      <c r="G101" s="136" t="n">
        <v>17</v>
      </c>
      <c r="H101" s="136" t="n">
        <v>22</v>
      </c>
      <c r="I101" s="136" t="n">
        <v>0</v>
      </c>
      <c r="J101" s="136" t="n">
        <v>17</v>
      </c>
      <c r="K101" s="81" t="s">
        <v>485</v>
      </c>
      <c r="L101" s="79"/>
      <c r="M101" s="79" t="s">
        <v>486</v>
      </c>
      <c r="N101" s="79" t="s">
        <v>486</v>
      </c>
      <c r="O101" s="137" t="str">
        <f aca="false">IF(E101="","",IF(M101&lt;&gt;"Sim","Solicitar confirmação à unidade",IF(N101&lt;&gt;"Sim","Validar dados com a unidade pela GOP",IF(IFERROR(VALUE(J101),0)&gt;0,"Planejar instalação de "&amp;J101&amp;" aparelho(s)","Inventário em dia"))))</f>
        <v>Solicitar confirmação à unidade</v>
      </c>
      <c r="P101" s="81" t="s">
        <v>786</v>
      </c>
      <c r="Q101" s="81" t="s">
        <v>492</v>
      </c>
      <c r="R101" s="128"/>
      <c r="S101" s="128"/>
      <c r="T101" s="128"/>
      <c r="U101" s="128"/>
      <c r="V101" s="128"/>
      <c r="W101" s="128"/>
      <c r="X101" s="128"/>
      <c r="Y101" s="128"/>
      <c r="Z101" s="128"/>
      <c r="AA101" s="78"/>
      <c r="AB101" s="78"/>
      <c r="AC101" s="78"/>
      <c r="AD101" s="78"/>
      <c r="AE101" s="78"/>
      <c r="AF101" s="78"/>
      <c r="AG101" s="78"/>
      <c r="AH101" s="78"/>
      <c r="AI101" s="78"/>
    </row>
    <row r="102" customFormat="false" ht="27.75" hidden="false" customHeight="true" outlineLevel="0" collapsed="false">
      <c r="A102" s="70" t="s">
        <v>482</v>
      </c>
      <c r="B102" s="70" t="n">
        <v>313007</v>
      </c>
      <c r="C102" s="70" t="s">
        <v>787</v>
      </c>
      <c r="D102" s="70" t="n">
        <v>11851</v>
      </c>
      <c r="E102" s="72" t="s">
        <v>227</v>
      </c>
      <c r="F102" s="134" t="n">
        <v>18</v>
      </c>
      <c r="G102" s="134" t="n">
        <v>16</v>
      </c>
      <c r="H102" s="134" t="n">
        <v>18</v>
      </c>
      <c r="I102" s="134" t="n">
        <v>3</v>
      </c>
      <c r="J102" s="134" t="n">
        <v>16</v>
      </c>
      <c r="K102" s="72" t="s">
        <v>485</v>
      </c>
      <c r="L102" s="70"/>
      <c r="M102" s="70" t="s">
        <v>486</v>
      </c>
      <c r="N102" s="70" t="s">
        <v>486</v>
      </c>
      <c r="O102" s="135" t="str">
        <f aca="false">IF(E102="","",IF(M102&lt;&gt;"Sim","Solicitar confirmação à unidade",IF(N102&lt;&gt;"Sim","Validar dados com a unidade pela GOP",IF(IFERROR(VALUE(J102),0)&gt;0,"Planejar instalação de "&amp;J102&amp;" aparelho(s)","Inventário em dia"))))</f>
        <v>Solicitar confirmação à unidade</v>
      </c>
      <c r="P102" s="72" t="s">
        <v>788</v>
      </c>
      <c r="Q102" s="72" t="s">
        <v>488</v>
      </c>
      <c r="R102" s="128"/>
      <c r="S102" s="128"/>
      <c r="T102" s="128"/>
      <c r="U102" s="128"/>
      <c r="V102" s="128"/>
      <c r="W102" s="128"/>
      <c r="X102" s="128"/>
      <c r="Y102" s="128"/>
      <c r="Z102" s="128"/>
      <c r="AA102" s="78"/>
      <c r="AB102" s="78"/>
      <c r="AC102" s="78"/>
      <c r="AD102" s="78"/>
      <c r="AE102" s="78"/>
      <c r="AF102" s="78"/>
      <c r="AG102" s="78"/>
      <c r="AH102" s="78"/>
      <c r="AI102" s="78"/>
    </row>
    <row r="103" customFormat="false" ht="27.75" hidden="false" customHeight="true" outlineLevel="0" collapsed="false">
      <c r="A103" s="79" t="s">
        <v>482</v>
      </c>
      <c r="B103" s="79" t="n">
        <v>313012</v>
      </c>
      <c r="C103" s="79" t="s">
        <v>789</v>
      </c>
      <c r="D103" s="79" t="n">
        <v>11847</v>
      </c>
      <c r="E103" s="81" t="s">
        <v>790</v>
      </c>
      <c r="F103" s="136" t="n">
        <v>16</v>
      </c>
      <c r="G103" s="136" t="n">
        <v>18</v>
      </c>
      <c r="H103" s="136" t="n">
        <v>24</v>
      </c>
      <c r="I103" s="136" t="n">
        <v>0</v>
      </c>
      <c r="J103" s="136" t="n">
        <v>16</v>
      </c>
      <c r="K103" s="81" t="s">
        <v>485</v>
      </c>
      <c r="L103" s="79"/>
      <c r="M103" s="79" t="s">
        <v>486</v>
      </c>
      <c r="N103" s="79" t="s">
        <v>486</v>
      </c>
      <c r="O103" s="137" t="str">
        <f aca="false">IF(E103="","",IF(M103&lt;&gt;"Sim","Solicitar confirmação à unidade",IF(N103&lt;&gt;"Sim","Validar dados com a unidade pela GOP",IF(IFERROR(VALUE(J103),0)&gt;0,"Planejar instalação de "&amp;J103&amp;" aparelho(s)","Inventário em dia"))))</f>
        <v>Solicitar confirmação à unidade</v>
      </c>
      <c r="P103" s="81" t="s">
        <v>791</v>
      </c>
      <c r="Q103" s="81" t="s">
        <v>505</v>
      </c>
      <c r="R103" s="128"/>
      <c r="S103" s="128"/>
      <c r="T103" s="128"/>
      <c r="U103" s="128"/>
      <c r="V103" s="128"/>
      <c r="W103" s="128"/>
      <c r="X103" s="128"/>
      <c r="Y103" s="128"/>
      <c r="Z103" s="128"/>
      <c r="AA103" s="78"/>
      <c r="AB103" s="78"/>
      <c r="AC103" s="78"/>
      <c r="AD103" s="78"/>
      <c r="AE103" s="78"/>
      <c r="AF103" s="78"/>
      <c r="AG103" s="78"/>
      <c r="AH103" s="78"/>
      <c r="AI103" s="78"/>
    </row>
    <row r="104" customFormat="false" ht="27.75" hidden="false" customHeight="true" outlineLevel="0" collapsed="false">
      <c r="A104" s="70" t="s">
        <v>482</v>
      </c>
      <c r="B104" s="70" t="n">
        <v>313501</v>
      </c>
      <c r="C104" s="70" t="s">
        <v>792</v>
      </c>
      <c r="D104" s="70" t="n">
        <v>11798</v>
      </c>
      <c r="E104" s="72" t="s">
        <v>793</v>
      </c>
      <c r="F104" s="134" t="n">
        <v>11</v>
      </c>
      <c r="G104" s="134" t="n">
        <v>22</v>
      </c>
      <c r="H104" s="134" t="n">
        <v>30</v>
      </c>
      <c r="I104" s="134" t="n">
        <v>0</v>
      </c>
      <c r="J104" s="134" t="n">
        <v>0</v>
      </c>
      <c r="K104" s="72" t="s">
        <v>485</v>
      </c>
      <c r="L104" s="70"/>
      <c r="M104" s="70" t="s">
        <v>486</v>
      </c>
      <c r="N104" s="70" t="s">
        <v>486</v>
      </c>
      <c r="O104" s="135" t="str">
        <f aca="false">IF(E104="","",IF(M104&lt;&gt;"Sim","Solicitar confirmação à unidade",IF(N104&lt;&gt;"Sim","Validar dados com a unidade pela GOP",IF(IFERROR(VALUE(J104),0)&gt;0,"Planejar instalação de "&amp;J104&amp;" aparelho(s)","Inventário em dia"))))</f>
        <v>Solicitar confirmação à unidade</v>
      </c>
      <c r="P104" s="72" t="s">
        <v>794</v>
      </c>
      <c r="Q104" s="72" t="s">
        <v>645</v>
      </c>
      <c r="R104" s="128"/>
      <c r="S104" s="128"/>
      <c r="T104" s="128"/>
      <c r="U104" s="128"/>
      <c r="V104" s="128"/>
      <c r="W104" s="128"/>
      <c r="X104" s="128"/>
      <c r="Y104" s="128"/>
      <c r="Z104" s="128"/>
      <c r="AA104" s="78"/>
      <c r="AB104" s="78"/>
      <c r="AC104" s="78"/>
      <c r="AD104" s="78"/>
      <c r="AE104" s="78"/>
      <c r="AF104" s="78"/>
      <c r="AG104" s="78"/>
      <c r="AH104" s="78"/>
      <c r="AI104" s="78"/>
    </row>
    <row r="105" customFormat="false" ht="27.75" hidden="false" customHeight="true" outlineLevel="0" collapsed="false">
      <c r="A105" s="79" t="s">
        <v>482</v>
      </c>
      <c r="B105" s="79" t="n">
        <v>313053</v>
      </c>
      <c r="C105" s="79" t="s">
        <v>795</v>
      </c>
      <c r="D105" s="79" t="n">
        <v>11805</v>
      </c>
      <c r="E105" s="81" t="s">
        <v>796</v>
      </c>
      <c r="F105" s="136" t="n">
        <v>12</v>
      </c>
      <c r="G105" s="136" t="n">
        <v>17</v>
      </c>
      <c r="H105" s="136" t="n">
        <v>29</v>
      </c>
      <c r="I105" s="136" t="n">
        <v>0</v>
      </c>
      <c r="J105" s="136" t="n">
        <v>8</v>
      </c>
      <c r="K105" s="81" t="s">
        <v>485</v>
      </c>
      <c r="L105" s="79"/>
      <c r="M105" s="79" t="s">
        <v>486</v>
      </c>
      <c r="N105" s="79" t="s">
        <v>486</v>
      </c>
      <c r="O105" s="137" t="str">
        <f aca="false">IF(E105="","",IF(M105&lt;&gt;"Sim","Solicitar confirmação à unidade",IF(N105&lt;&gt;"Sim","Validar dados com a unidade pela GOP",IF(IFERROR(VALUE(J105),0)&gt;0,"Planejar instalação de "&amp;J105&amp;" aparelho(s)","Inventário em dia"))))</f>
        <v>Solicitar confirmação à unidade</v>
      </c>
      <c r="P105" s="81" t="s">
        <v>797</v>
      </c>
      <c r="Q105" s="81" t="s">
        <v>576</v>
      </c>
      <c r="R105" s="128"/>
      <c r="S105" s="128"/>
      <c r="T105" s="128"/>
      <c r="U105" s="128"/>
      <c r="V105" s="128"/>
      <c r="W105" s="128"/>
      <c r="X105" s="128"/>
      <c r="Y105" s="128"/>
      <c r="Z105" s="128"/>
      <c r="AA105" s="78"/>
      <c r="AB105" s="78"/>
      <c r="AC105" s="78"/>
      <c r="AD105" s="78"/>
      <c r="AE105" s="78"/>
      <c r="AF105" s="78"/>
      <c r="AG105" s="78"/>
      <c r="AH105" s="78"/>
      <c r="AI105" s="78"/>
    </row>
    <row r="106" customFormat="false" ht="27.75" hidden="false" customHeight="true" outlineLevel="0" collapsed="false">
      <c r="A106" s="70" t="s">
        <v>482</v>
      </c>
      <c r="B106" s="70" t="n">
        <v>312013</v>
      </c>
      <c r="C106" s="70" t="s">
        <v>798</v>
      </c>
      <c r="D106" s="70" t="n">
        <v>11494</v>
      </c>
      <c r="E106" s="72" t="s">
        <v>799</v>
      </c>
      <c r="F106" s="134" t="n">
        <v>8</v>
      </c>
      <c r="G106" s="134" t="n">
        <v>14</v>
      </c>
      <c r="H106" s="134" t="n">
        <v>17</v>
      </c>
      <c r="I106" s="134" t="n">
        <v>0</v>
      </c>
      <c r="J106" s="134" t="n">
        <v>4</v>
      </c>
      <c r="K106" s="72" t="s">
        <v>485</v>
      </c>
      <c r="L106" s="70"/>
      <c r="M106" s="70" t="s">
        <v>486</v>
      </c>
      <c r="N106" s="70" t="s">
        <v>486</v>
      </c>
      <c r="O106" s="135" t="str">
        <f aca="false">IF(E106="","",IF(M106&lt;&gt;"Sim","Solicitar confirmação à unidade",IF(N106&lt;&gt;"Sim","Validar dados com a unidade pela GOP",IF(IFERROR(VALUE(J106),0)&gt;0,"Planejar instalação de "&amp;J106&amp;" aparelho(s)","Inventário em dia"))))</f>
        <v>Solicitar confirmação à unidade</v>
      </c>
      <c r="P106" s="72" t="s">
        <v>800</v>
      </c>
      <c r="Q106" s="72" t="s">
        <v>496</v>
      </c>
      <c r="R106" s="128"/>
      <c r="S106" s="128"/>
      <c r="T106" s="128"/>
      <c r="U106" s="128"/>
      <c r="V106" s="128"/>
      <c r="W106" s="128"/>
      <c r="X106" s="128"/>
      <c r="Y106" s="128"/>
      <c r="Z106" s="128"/>
      <c r="AA106" s="78"/>
      <c r="AB106" s="78"/>
      <c r="AC106" s="78"/>
      <c r="AD106" s="78"/>
      <c r="AE106" s="78"/>
      <c r="AF106" s="78"/>
      <c r="AG106" s="78"/>
      <c r="AH106" s="78"/>
      <c r="AI106" s="78"/>
    </row>
    <row r="107" customFormat="false" ht="27.75" hidden="false" customHeight="true" outlineLevel="0" collapsed="false">
      <c r="A107" s="79" t="s">
        <v>482</v>
      </c>
      <c r="B107" s="79" t="n">
        <v>313048</v>
      </c>
      <c r="C107" s="79" t="s">
        <v>801</v>
      </c>
      <c r="D107" s="79" t="n">
        <v>11810</v>
      </c>
      <c r="E107" s="81" t="s">
        <v>802</v>
      </c>
      <c r="F107" s="136" t="n">
        <v>5</v>
      </c>
      <c r="G107" s="136" t="n">
        <v>5</v>
      </c>
      <c r="H107" s="136" t="n">
        <v>7</v>
      </c>
      <c r="I107" s="136" t="n">
        <v>0</v>
      </c>
      <c r="J107" s="136" t="n">
        <v>0</v>
      </c>
      <c r="K107" s="81" t="s">
        <v>485</v>
      </c>
      <c r="L107" s="79"/>
      <c r="M107" s="79" t="s">
        <v>486</v>
      </c>
      <c r="N107" s="79" t="s">
        <v>486</v>
      </c>
      <c r="O107" s="137" t="str">
        <f aca="false">IF(E107="","",IF(M107&lt;&gt;"Sim","Solicitar confirmação à unidade",IF(N107&lt;&gt;"Sim","Validar dados com a unidade pela GOP",IF(IFERROR(VALUE(J107),0)&gt;0,"Planejar instalação de "&amp;J107&amp;" aparelho(s)","Inventário em dia"))))</f>
        <v>Solicitar confirmação à unidade</v>
      </c>
      <c r="P107" s="81" t="s">
        <v>803</v>
      </c>
      <c r="Q107" s="81" t="s">
        <v>554</v>
      </c>
      <c r="R107" s="128"/>
      <c r="S107" s="128"/>
      <c r="T107" s="128"/>
      <c r="U107" s="128"/>
      <c r="V107" s="128"/>
      <c r="W107" s="128"/>
      <c r="X107" s="128"/>
      <c r="Y107" s="128"/>
      <c r="Z107" s="128"/>
      <c r="AA107" s="78"/>
      <c r="AB107" s="78"/>
      <c r="AC107" s="78"/>
      <c r="AD107" s="78"/>
      <c r="AE107" s="78"/>
      <c r="AF107" s="78"/>
      <c r="AG107" s="78"/>
      <c r="AH107" s="78"/>
      <c r="AI107" s="78"/>
    </row>
    <row r="108" customFormat="false" ht="27.75" hidden="false" customHeight="true" outlineLevel="0" collapsed="false">
      <c r="A108" s="70" t="s">
        <v>482</v>
      </c>
      <c r="B108" s="70" t="n">
        <v>313043</v>
      </c>
      <c r="C108" s="70" t="s">
        <v>804</v>
      </c>
      <c r="D108" s="70" t="n">
        <v>11815</v>
      </c>
      <c r="E108" s="72" t="s">
        <v>805</v>
      </c>
      <c r="F108" s="134" t="n">
        <v>9</v>
      </c>
      <c r="G108" s="134" t="n">
        <v>15</v>
      </c>
      <c r="H108" s="134" t="n">
        <v>18</v>
      </c>
      <c r="I108" s="134" t="n">
        <v>0</v>
      </c>
      <c r="J108" s="134" t="n">
        <v>0</v>
      </c>
      <c r="K108" s="72" t="s">
        <v>485</v>
      </c>
      <c r="L108" s="70"/>
      <c r="M108" s="70" t="s">
        <v>486</v>
      </c>
      <c r="N108" s="70" t="s">
        <v>486</v>
      </c>
      <c r="O108" s="135" t="str">
        <f aca="false">IF(E108="","",IF(M108&lt;&gt;"Sim","Solicitar confirmação à unidade",IF(N108&lt;&gt;"Sim","Validar dados com a unidade pela GOP",IF(IFERROR(VALUE(J108),0)&gt;0,"Planejar instalação de "&amp;J108&amp;" aparelho(s)","Inventário em dia"))))</f>
        <v>Solicitar confirmação à unidade</v>
      </c>
      <c r="P108" s="72" t="s">
        <v>806</v>
      </c>
      <c r="Q108" s="72" t="s">
        <v>554</v>
      </c>
      <c r="R108" s="128"/>
      <c r="S108" s="128"/>
      <c r="T108" s="128"/>
      <c r="U108" s="128"/>
      <c r="V108" s="128"/>
      <c r="W108" s="128"/>
      <c r="X108" s="128"/>
      <c r="Y108" s="128"/>
      <c r="Z108" s="128"/>
      <c r="AA108" s="78"/>
      <c r="AB108" s="78"/>
      <c r="AC108" s="78"/>
      <c r="AD108" s="78"/>
      <c r="AE108" s="78"/>
      <c r="AF108" s="78"/>
      <c r="AG108" s="78"/>
      <c r="AH108" s="78"/>
      <c r="AI108" s="78"/>
    </row>
    <row r="109" customFormat="false" ht="27.75" hidden="false" customHeight="true" outlineLevel="0" collapsed="false">
      <c r="A109" s="79" t="s">
        <v>482</v>
      </c>
      <c r="B109" s="79" t="n">
        <v>313029</v>
      </c>
      <c r="C109" s="79" t="s">
        <v>807</v>
      </c>
      <c r="D109" s="79" t="n">
        <v>11829</v>
      </c>
      <c r="E109" s="81" t="s">
        <v>808</v>
      </c>
      <c r="F109" s="136" t="n">
        <v>8</v>
      </c>
      <c r="G109" s="136" t="n">
        <v>19</v>
      </c>
      <c r="H109" s="136" t="n">
        <v>23</v>
      </c>
      <c r="I109" s="136" t="n">
        <v>0</v>
      </c>
      <c r="J109" s="136" t="n">
        <v>1</v>
      </c>
      <c r="K109" s="81" t="s">
        <v>485</v>
      </c>
      <c r="L109" s="79"/>
      <c r="M109" s="79" t="s">
        <v>486</v>
      </c>
      <c r="N109" s="79" t="s">
        <v>486</v>
      </c>
      <c r="O109" s="137" t="str">
        <f aca="false">IF(E109="","",IF(M109&lt;&gt;"Sim","Solicitar confirmação à unidade",IF(N109&lt;&gt;"Sim","Validar dados com a unidade pela GOP",IF(IFERROR(VALUE(J109),0)&gt;0,"Planejar instalação de "&amp;J109&amp;" aparelho(s)","Inventário em dia"))))</f>
        <v>Solicitar confirmação à unidade</v>
      </c>
      <c r="P109" s="81" t="s">
        <v>809</v>
      </c>
      <c r="Q109" s="81" t="s">
        <v>662</v>
      </c>
      <c r="R109" s="128"/>
      <c r="S109" s="128"/>
      <c r="T109" s="128"/>
      <c r="U109" s="128"/>
      <c r="V109" s="128"/>
      <c r="W109" s="128"/>
      <c r="X109" s="128"/>
      <c r="Y109" s="128"/>
      <c r="Z109" s="128"/>
      <c r="AA109" s="78"/>
      <c r="AB109" s="78"/>
      <c r="AC109" s="78"/>
      <c r="AD109" s="78"/>
      <c r="AE109" s="78"/>
      <c r="AF109" s="78"/>
      <c r="AG109" s="78"/>
      <c r="AH109" s="78"/>
      <c r="AI109" s="78"/>
    </row>
    <row r="110" customFormat="false" ht="27.75" hidden="false" customHeight="true" outlineLevel="0" collapsed="false">
      <c r="A110" s="70" t="s">
        <v>482</v>
      </c>
      <c r="B110" s="70" t="n">
        <v>313041</v>
      </c>
      <c r="C110" s="70" t="s">
        <v>810</v>
      </c>
      <c r="D110" s="70" t="n">
        <v>11817</v>
      </c>
      <c r="E110" s="72" t="s">
        <v>216</v>
      </c>
      <c r="F110" s="134" t="n">
        <v>13</v>
      </c>
      <c r="G110" s="134" t="n">
        <v>24</v>
      </c>
      <c r="H110" s="134" t="n">
        <v>30</v>
      </c>
      <c r="I110" s="134" t="n">
        <v>1</v>
      </c>
      <c r="J110" s="134" t="n">
        <v>8</v>
      </c>
      <c r="K110" s="72" t="s">
        <v>485</v>
      </c>
      <c r="L110" s="70"/>
      <c r="M110" s="70" t="s">
        <v>486</v>
      </c>
      <c r="N110" s="70" t="s">
        <v>486</v>
      </c>
      <c r="O110" s="135" t="str">
        <f aca="false">IF(E110="","",IF(M110&lt;&gt;"Sim","Solicitar confirmação à unidade",IF(N110&lt;&gt;"Sim","Validar dados com a unidade pela GOP",IF(IFERROR(VALUE(J110),0)&gt;0,"Planejar instalação de "&amp;J110&amp;" aparelho(s)","Inventário em dia"))))</f>
        <v>Solicitar confirmação à unidade</v>
      </c>
      <c r="P110" s="72" t="s">
        <v>811</v>
      </c>
      <c r="Q110" s="72" t="s">
        <v>565</v>
      </c>
      <c r="R110" s="128"/>
      <c r="S110" s="128"/>
      <c r="T110" s="128"/>
      <c r="U110" s="128"/>
      <c r="V110" s="128"/>
      <c r="W110" s="128"/>
      <c r="X110" s="128"/>
      <c r="Y110" s="128"/>
      <c r="Z110" s="128"/>
      <c r="AA110" s="78"/>
      <c r="AB110" s="78"/>
      <c r="AC110" s="78"/>
      <c r="AD110" s="78"/>
      <c r="AE110" s="78"/>
      <c r="AF110" s="78"/>
      <c r="AG110" s="78"/>
      <c r="AH110" s="78"/>
      <c r="AI110" s="78"/>
    </row>
    <row r="111" customFormat="false" ht="27.75" hidden="false" customHeight="true" outlineLevel="0" collapsed="false">
      <c r="A111" s="79" t="s">
        <v>482</v>
      </c>
      <c r="B111" s="79" t="n">
        <v>313049</v>
      </c>
      <c r="C111" s="79" t="s">
        <v>812</v>
      </c>
      <c r="D111" s="79" t="n">
        <v>11809</v>
      </c>
      <c r="E111" s="81" t="s">
        <v>813</v>
      </c>
      <c r="F111" s="136" t="n">
        <v>15</v>
      </c>
      <c r="G111" s="136" t="n">
        <v>27</v>
      </c>
      <c r="H111" s="136" t="n">
        <v>38</v>
      </c>
      <c r="I111" s="136" t="n">
        <v>0</v>
      </c>
      <c r="J111" s="136" t="n">
        <v>2</v>
      </c>
      <c r="K111" s="81" t="s">
        <v>485</v>
      </c>
      <c r="L111" s="79"/>
      <c r="M111" s="79" t="s">
        <v>486</v>
      </c>
      <c r="N111" s="79" t="s">
        <v>486</v>
      </c>
      <c r="O111" s="137" t="str">
        <f aca="false">IF(E111="","",IF(M111&lt;&gt;"Sim","Solicitar confirmação à unidade",IF(N111&lt;&gt;"Sim","Validar dados com a unidade pela GOP",IF(IFERROR(VALUE(J111),0)&gt;0,"Planejar instalação de "&amp;J111&amp;" aparelho(s)","Inventário em dia"))))</f>
        <v>Solicitar confirmação à unidade</v>
      </c>
      <c r="P111" s="81" t="s">
        <v>814</v>
      </c>
      <c r="Q111" s="81" t="s">
        <v>554</v>
      </c>
      <c r="R111" s="128"/>
      <c r="S111" s="128"/>
      <c r="T111" s="128"/>
      <c r="U111" s="128"/>
      <c r="V111" s="128"/>
      <c r="W111" s="128"/>
      <c r="X111" s="128"/>
      <c r="Y111" s="128"/>
      <c r="Z111" s="128"/>
      <c r="AA111" s="78"/>
      <c r="AB111" s="78"/>
      <c r="AC111" s="78"/>
      <c r="AD111" s="78"/>
      <c r="AE111" s="78"/>
      <c r="AF111" s="78"/>
      <c r="AG111" s="78"/>
      <c r="AH111" s="78"/>
      <c r="AI111" s="78"/>
    </row>
    <row r="112" customFormat="false" ht="27.75" hidden="false" customHeight="true" outlineLevel="0" collapsed="false">
      <c r="A112" s="70" t="s">
        <v>482</v>
      </c>
      <c r="B112" s="70" t="n">
        <v>313802</v>
      </c>
      <c r="C112" s="70" t="s">
        <v>815</v>
      </c>
      <c r="D112" s="70" t="n">
        <v>44859</v>
      </c>
      <c r="E112" s="72" t="s">
        <v>816</v>
      </c>
      <c r="F112" s="134" t="n">
        <v>6</v>
      </c>
      <c r="G112" s="134" t="n">
        <v>6</v>
      </c>
      <c r="H112" s="134" t="n">
        <v>9</v>
      </c>
      <c r="I112" s="134" t="n">
        <v>2</v>
      </c>
      <c r="J112" s="134" t="n">
        <v>3</v>
      </c>
      <c r="K112" s="72" t="s">
        <v>485</v>
      </c>
      <c r="L112" s="70"/>
      <c r="M112" s="70" t="s">
        <v>486</v>
      </c>
      <c r="N112" s="70" t="s">
        <v>486</v>
      </c>
      <c r="O112" s="135" t="str">
        <f aca="false">IF(E112="","",IF(M112&lt;&gt;"Sim","Solicitar confirmação à unidade",IF(N112&lt;&gt;"Sim","Validar dados com a unidade pela GOP",IF(IFERROR(VALUE(J112),0)&gt;0,"Planejar instalação de "&amp;J112&amp;" aparelho(s)","Inventário em dia"))))</f>
        <v>Solicitar confirmação à unidade</v>
      </c>
      <c r="P112" s="72" t="s">
        <v>817</v>
      </c>
      <c r="Q112" s="72" t="s">
        <v>576</v>
      </c>
      <c r="R112" s="128"/>
      <c r="S112" s="128"/>
      <c r="T112" s="128"/>
      <c r="U112" s="128"/>
      <c r="V112" s="128"/>
      <c r="W112" s="128"/>
      <c r="X112" s="128"/>
      <c r="Y112" s="128"/>
      <c r="Z112" s="128"/>
      <c r="AA112" s="78"/>
      <c r="AB112" s="78"/>
      <c r="AC112" s="78"/>
      <c r="AD112" s="78"/>
      <c r="AE112" s="78"/>
      <c r="AF112" s="78"/>
      <c r="AG112" s="78"/>
      <c r="AH112" s="78"/>
      <c r="AI112" s="78"/>
    </row>
    <row r="113" customFormat="false" ht="27.75" hidden="false" customHeight="true" outlineLevel="0" collapsed="false">
      <c r="A113" s="79" t="s">
        <v>482</v>
      </c>
      <c r="B113" s="79" t="n">
        <v>312811</v>
      </c>
      <c r="C113" s="79" t="s">
        <v>818</v>
      </c>
      <c r="D113" s="79" t="n">
        <v>11488</v>
      </c>
      <c r="E113" s="81" t="s">
        <v>819</v>
      </c>
      <c r="F113" s="136" t="n">
        <v>8</v>
      </c>
      <c r="G113" s="136" t="n">
        <v>16</v>
      </c>
      <c r="H113" s="136" t="n">
        <v>19</v>
      </c>
      <c r="I113" s="136" t="n">
        <v>0</v>
      </c>
      <c r="J113" s="136" t="n">
        <v>0</v>
      </c>
      <c r="K113" s="81" t="s">
        <v>485</v>
      </c>
      <c r="L113" s="79"/>
      <c r="M113" s="79" t="s">
        <v>486</v>
      </c>
      <c r="N113" s="79" t="s">
        <v>486</v>
      </c>
      <c r="O113" s="137" t="str">
        <f aca="false">IF(E113="","",IF(M113&lt;&gt;"Sim","Solicitar confirmação à unidade",IF(N113&lt;&gt;"Sim","Validar dados com a unidade pela GOP",IF(IFERROR(VALUE(J113),0)&gt;0,"Planejar instalação de "&amp;J113&amp;" aparelho(s)","Inventário em dia"))))</f>
        <v>Solicitar confirmação à unidade</v>
      </c>
      <c r="P113" s="81" t="s">
        <v>820</v>
      </c>
      <c r="Q113" s="81" t="s">
        <v>821</v>
      </c>
      <c r="R113" s="128"/>
      <c r="S113" s="128"/>
      <c r="T113" s="128"/>
      <c r="U113" s="128"/>
      <c r="V113" s="128"/>
      <c r="W113" s="128"/>
      <c r="X113" s="128"/>
      <c r="Y113" s="128"/>
      <c r="Z113" s="128"/>
      <c r="AA113" s="78"/>
      <c r="AB113" s="78"/>
      <c r="AC113" s="78"/>
      <c r="AD113" s="78"/>
      <c r="AE113" s="78"/>
      <c r="AF113" s="78"/>
      <c r="AG113" s="78"/>
      <c r="AH113" s="78"/>
      <c r="AI113" s="78"/>
    </row>
    <row r="114" customFormat="false" ht="27.75" hidden="false" customHeight="true" outlineLevel="0" collapsed="false">
      <c r="A114" s="70" t="s">
        <v>482</v>
      </c>
      <c r="B114" s="70" t="n">
        <v>313807</v>
      </c>
      <c r="C114" s="70" t="s">
        <v>822</v>
      </c>
      <c r="D114" s="70" t="n">
        <v>11808</v>
      </c>
      <c r="E114" s="72" t="s">
        <v>823</v>
      </c>
      <c r="F114" s="134" t="n">
        <v>5</v>
      </c>
      <c r="G114" s="134" t="n">
        <v>10</v>
      </c>
      <c r="H114" s="134" t="n">
        <v>12</v>
      </c>
      <c r="I114" s="134" t="n">
        <v>0</v>
      </c>
      <c r="J114" s="134" t="n">
        <v>1</v>
      </c>
      <c r="K114" s="72" t="s">
        <v>485</v>
      </c>
      <c r="L114" s="70"/>
      <c r="M114" s="70" t="s">
        <v>486</v>
      </c>
      <c r="N114" s="70" t="s">
        <v>486</v>
      </c>
      <c r="O114" s="135" t="str">
        <f aca="false">IF(E114="","",IF(M114&lt;&gt;"Sim","Solicitar confirmação à unidade",IF(N114&lt;&gt;"Sim","Validar dados com a unidade pela GOP",IF(IFERROR(VALUE(J114),0)&gt;0,"Planejar instalação de "&amp;J114&amp;" aparelho(s)","Inventário em dia"))))</f>
        <v>Solicitar confirmação à unidade</v>
      </c>
      <c r="P114" s="72" t="s">
        <v>824</v>
      </c>
      <c r="Q114" s="72" t="s">
        <v>544</v>
      </c>
      <c r="R114" s="128"/>
      <c r="S114" s="128"/>
      <c r="T114" s="128"/>
      <c r="U114" s="128"/>
      <c r="V114" s="128"/>
      <c r="W114" s="128"/>
      <c r="X114" s="128"/>
      <c r="Y114" s="128"/>
      <c r="Z114" s="128"/>
      <c r="AA114" s="78"/>
      <c r="AB114" s="78"/>
      <c r="AC114" s="78"/>
      <c r="AD114" s="78"/>
      <c r="AE114" s="78"/>
      <c r="AF114" s="78"/>
      <c r="AG114" s="78"/>
      <c r="AH114" s="78"/>
      <c r="AI114" s="78"/>
    </row>
    <row r="115" customFormat="false" ht="27.75" hidden="false" customHeight="true" outlineLevel="0" collapsed="false">
      <c r="A115" s="79" t="s">
        <v>482</v>
      </c>
      <c r="B115" s="79" t="n">
        <v>312807</v>
      </c>
      <c r="C115" s="79" t="s">
        <v>825</v>
      </c>
      <c r="D115" s="79" t="n">
        <v>10910</v>
      </c>
      <c r="E115" s="81" t="s">
        <v>826</v>
      </c>
      <c r="F115" s="136" t="n">
        <v>5</v>
      </c>
      <c r="G115" s="136" t="n">
        <v>5</v>
      </c>
      <c r="H115" s="136" t="n">
        <v>7</v>
      </c>
      <c r="I115" s="136" t="n">
        <v>0</v>
      </c>
      <c r="J115" s="136" t="n">
        <v>0</v>
      </c>
      <c r="K115" s="81" t="s">
        <v>485</v>
      </c>
      <c r="L115" s="79"/>
      <c r="M115" s="79" t="s">
        <v>486</v>
      </c>
      <c r="N115" s="79" t="s">
        <v>486</v>
      </c>
      <c r="O115" s="137" t="str">
        <f aca="false">IF(E115="","",IF(M115&lt;&gt;"Sim","Solicitar confirmação à unidade",IF(N115&lt;&gt;"Sim","Validar dados com a unidade pela GOP",IF(IFERROR(VALUE(J115),0)&gt;0,"Planejar instalação de "&amp;J115&amp;" aparelho(s)","Inventário em dia"))))</f>
        <v>Solicitar confirmação à unidade</v>
      </c>
      <c r="P115" s="81" t="s">
        <v>827</v>
      </c>
      <c r="Q115" s="81" t="s">
        <v>496</v>
      </c>
      <c r="R115" s="128"/>
      <c r="S115" s="128"/>
      <c r="T115" s="128"/>
      <c r="U115" s="128"/>
      <c r="V115" s="128"/>
      <c r="W115" s="128"/>
      <c r="X115" s="128"/>
      <c r="Y115" s="128"/>
      <c r="Z115" s="128"/>
      <c r="AA115" s="78"/>
      <c r="AB115" s="78"/>
      <c r="AC115" s="78"/>
      <c r="AD115" s="78"/>
      <c r="AE115" s="78"/>
      <c r="AF115" s="78"/>
      <c r="AG115" s="78"/>
      <c r="AH115" s="78"/>
      <c r="AI115" s="78"/>
    </row>
    <row r="116" customFormat="false" ht="27.75" hidden="false" customHeight="true" outlineLevel="0" collapsed="false">
      <c r="A116" s="70" t="s">
        <v>482</v>
      </c>
      <c r="B116" s="70" t="n">
        <v>329801</v>
      </c>
      <c r="C116" s="70" t="s">
        <v>828</v>
      </c>
      <c r="D116" s="70" t="n">
        <v>43116</v>
      </c>
      <c r="E116" s="72" t="s">
        <v>829</v>
      </c>
      <c r="F116" s="134" t="n">
        <v>7</v>
      </c>
      <c r="G116" s="134" t="n">
        <v>9</v>
      </c>
      <c r="H116" s="134" t="n">
        <v>11</v>
      </c>
      <c r="I116" s="134" t="n">
        <v>0</v>
      </c>
      <c r="J116" s="134" t="n">
        <v>3</v>
      </c>
      <c r="K116" s="72" t="s">
        <v>485</v>
      </c>
      <c r="L116" s="70"/>
      <c r="M116" s="70" t="s">
        <v>486</v>
      </c>
      <c r="N116" s="70" t="s">
        <v>486</v>
      </c>
      <c r="O116" s="135" t="str">
        <f aca="false">IF(E116="","",IF(M116&lt;&gt;"Sim","Solicitar confirmação à unidade",IF(N116&lt;&gt;"Sim","Validar dados com a unidade pela GOP",IF(IFERROR(VALUE(J116),0)&gt;0,"Planejar instalação de "&amp;J116&amp;" aparelho(s)","Inventário em dia"))))</f>
        <v>Solicitar confirmação à unidade</v>
      </c>
      <c r="P116" s="72" t="s">
        <v>830</v>
      </c>
      <c r="Q116" s="72" t="s">
        <v>831</v>
      </c>
      <c r="R116" s="128"/>
      <c r="S116" s="128"/>
      <c r="T116" s="128"/>
      <c r="U116" s="128"/>
      <c r="V116" s="128"/>
      <c r="W116" s="128"/>
      <c r="X116" s="128"/>
      <c r="Y116" s="128"/>
      <c r="Z116" s="128"/>
      <c r="AA116" s="78"/>
      <c r="AB116" s="78"/>
      <c r="AC116" s="78"/>
      <c r="AD116" s="78"/>
      <c r="AE116" s="78"/>
      <c r="AF116" s="78"/>
      <c r="AG116" s="78"/>
      <c r="AH116" s="78"/>
      <c r="AI116" s="78"/>
    </row>
    <row r="117" customFormat="false" ht="27.75" hidden="false" customHeight="true" outlineLevel="0" collapsed="false">
      <c r="A117" s="79" t="s">
        <v>482</v>
      </c>
      <c r="B117" s="79" t="n">
        <v>313806</v>
      </c>
      <c r="C117" s="79" t="s">
        <v>832</v>
      </c>
      <c r="D117" s="79" t="n">
        <v>11813</v>
      </c>
      <c r="E117" s="81" t="s">
        <v>189</v>
      </c>
      <c r="F117" s="136" t="n">
        <v>9</v>
      </c>
      <c r="G117" s="136" t="n">
        <v>11</v>
      </c>
      <c r="H117" s="136" t="n">
        <v>13</v>
      </c>
      <c r="I117" s="136" t="n">
        <v>0</v>
      </c>
      <c r="J117" s="136" t="n">
        <v>0</v>
      </c>
      <c r="K117" s="81" t="s">
        <v>485</v>
      </c>
      <c r="L117" s="79"/>
      <c r="M117" s="79" t="s">
        <v>486</v>
      </c>
      <c r="N117" s="79" t="s">
        <v>486</v>
      </c>
      <c r="O117" s="137" t="str">
        <f aca="false">IF(E117="","",IF(M117&lt;&gt;"Sim","Solicitar confirmação à unidade",IF(N117&lt;&gt;"Sim","Validar dados com a unidade pela GOP",IF(IFERROR(VALUE(J117),0)&gt;0,"Planejar instalação de "&amp;J117&amp;" aparelho(s)","Inventário em dia"))))</f>
        <v>Solicitar confirmação à unidade</v>
      </c>
      <c r="P117" s="81" t="s">
        <v>833</v>
      </c>
      <c r="Q117" s="81" t="s">
        <v>554</v>
      </c>
      <c r="R117" s="128"/>
      <c r="S117" s="128"/>
      <c r="T117" s="128"/>
      <c r="U117" s="128"/>
      <c r="V117" s="128"/>
      <c r="W117" s="128"/>
      <c r="X117" s="128"/>
      <c r="Y117" s="128"/>
      <c r="Z117" s="128"/>
      <c r="AA117" s="78"/>
      <c r="AB117" s="78"/>
      <c r="AC117" s="78"/>
      <c r="AD117" s="78"/>
      <c r="AE117" s="78"/>
      <c r="AF117" s="78"/>
      <c r="AG117" s="78"/>
      <c r="AH117" s="78"/>
      <c r="AI117" s="78"/>
    </row>
    <row r="118" customFormat="false" ht="27.75" hidden="false" customHeight="true" outlineLevel="0" collapsed="false">
      <c r="A118" s="70" t="s">
        <v>482</v>
      </c>
      <c r="B118" s="70" t="n">
        <v>313809</v>
      </c>
      <c r="C118" s="70" t="s">
        <v>834</v>
      </c>
      <c r="D118" s="70" t="n">
        <v>46766</v>
      </c>
      <c r="E118" s="72" t="s">
        <v>835</v>
      </c>
      <c r="F118" s="134" t="n">
        <v>8</v>
      </c>
      <c r="G118" s="134" t="n">
        <v>8</v>
      </c>
      <c r="H118" s="134" t="n">
        <v>10</v>
      </c>
      <c r="I118" s="134" t="n">
        <v>0</v>
      </c>
      <c r="J118" s="134" t="n">
        <v>0</v>
      </c>
      <c r="K118" s="72" t="s">
        <v>485</v>
      </c>
      <c r="L118" s="70"/>
      <c r="M118" s="70" t="s">
        <v>486</v>
      </c>
      <c r="N118" s="70" t="s">
        <v>486</v>
      </c>
      <c r="O118" s="135" t="str">
        <f aca="false">IF(E118="","",IF(M118&lt;&gt;"Sim","Solicitar confirmação à unidade",IF(N118&lt;&gt;"Sim","Validar dados com a unidade pela GOP",IF(IFERROR(VALUE(J118),0)&gt;0,"Planejar instalação de "&amp;J118&amp;" aparelho(s)","Inventário em dia"))))</f>
        <v>Solicitar confirmação à unidade</v>
      </c>
      <c r="P118" s="72" t="s">
        <v>836</v>
      </c>
      <c r="Q118" s="72" t="s">
        <v>599</v>
      </c>
      <c r="R118" s="128"/>
      <c r="S118" s="128"/>
      <c r="T118" s="128"/>
      <c r="U118" s="128"/>
      <c r="V118" s="128"/>
      <c r="W118" s="128"/>
      <c r="X118" s="128"/>
      <c r="Y118" s="128"/>
      <c r="Z118" s="128"/>
      <c r="AA118" s="78"/>
      <c r="AB118" s="78"/>
      <c r="AC118" s="78"/>
      <c r="AD118" s="78"/>
      <c r="AE118" s="78"/>
      <c r="AF118" s="78"/>
      <c r="AG118" s="78"/>
      <c r="AH118" s="78"/>
      <c r="AI118" s="78"/>
    </row>
    <row r="119" customFormat="false" ht="27.75" hidden="false" customHeight="true" outlineLevel="0" collapsed="false">
      <c r="A119" s="79" t="s">
        <v>482</v>
      </c>
      <c r="B119" s="79" t="n">
        <v>313830</v>
      </c>
      <c r="C119" s="79" t="s">
        <v>837</v>
      </c>
      <c r="D119" s="79" t="n">
        <v>11811</v>
      </c>
      <c r="E119" s="81" t="s">
        <v>838</v>
      </c>
      <c r="F119" s="136" t="n">
        <v>9</v>
      </c>
      <c r="G119" s="136" t="n">
        <v>16</v>
      </c>
      <c r="H119" s="136" t="n">
        <v>19</v>
      </c>
      <c r="I119" s="136" t="n">
        <v>0</v>
      </c>
      <c r="J119" s="136" t="n">
        <v>3</v>
      </c>
      <c r="K119" s="81" t="s">
        <v>485</v>
      </c>
      <c r="L119" s="79"/>
      <c r="M119" s="79" t="s">
        <v>486</v>
      </c>
      <c r="N119" s="79" t="s">
        <v>486</v>
      </c>
      <c r="O119" s="137" t="str">
        <f aca="false">IF(E119="","",IF(M119&lt;&gt;"Sim","Solicitar confirmação à unidade",IF(N119&lt;&gt;"Sim","Validar dados com a unidade pela GOP",IF(IFERROR(VALUE(J119),0)&gt;0,"Planejar instalação de "&amp;J119&amp;" aparelho(s)","Inventário em dia"))))</f>
        <v>Solicitar confirmação à unidade</v>
      </c>
      <c r="P119" s="81" t="s">
        <v>839</v>
      </c>
      <c r="Q119" s="81" t="s">
        <v>554</v>
      </c>
      <c r="R119" s="128"/>
      <c r="S119" s="128"/>
      <c r="T119" s="128"/>
      <c r="U119" s="128"/>
      <c r="V119" s="128"/>
      <c r="W119" s="128"/>
      <c r="X119" s="128"/>
      <c r="Y119" s="128"/>
      <c r="Z119" s="128"/>
      <c r="AA119" s="78"/>
      <c r="AB119" s="78"/>
      <c r="AC119" s="78"/>
      <c r="AD119" s="78"/>
      <c r="AE119" s="78"/>
      <c r="AF119" s="78"/>
      <c r="AG119" s="78"/>
      <c r="AH119" s="78"/>
      <c r="AI119" s="78"/>
    </row>
    <row r="120" customFormat="false" ht="27.75" hidden="false" customHeight="true" outlineLevel="0" collapsed="false">
      <c r="A120" s="70" t="s">
        <v>482</v>
      </c>
      <c r="B120" s="70" t="n">
        <v>313804</v>
      </c>
      <c r="C120" s="70" t="s">
        <v>840</v>
      </c>
      <c r="D120" s="70" t="n">
        <v>11830</v>
      </c>
      <c r="E120" s="72" t="s">
        <v>841</v>
      </c>
      <c r="F120" s="134" t="n">
        <v>6</v>
      </c>
      <c r="G120" s="134" t="n">
        <v>12</v>
      </c>
      <c r="H120" s="134" t="n">
        <v>15</v>
      </c>
      <c r="I120" s="134" t="n">
        <v>0</v>
      </c>
      <c r="J120" s="134" t="n">
        <v>2</v>
      </c>
      <c r="K120" s="72" t="s">
        <v>485</v>
      </c>
      <c r="L120" s="70"/>
      <c r="M120" s="70" t="s">
        <v>486</v>
      </c>
      <c r="N120" s="70" t="s">
        <v>486</v>
      </c>
      <c r="O120" s="135" t="str">
        <f aca="false">IF(E120="","",IF(M120&lt;&gt;"Sim","Solicitar confirmação à unidade",IF(N120&lt;&gt;"Sim","Validar dados com a unidade pela GOP",IF(IFERROR(VALUE(J120),0)&gt;0,"Planejar instalação de "&amp;J120&amp;" aparelho(s)","Inventário em dia"))))</f>
        <v>Solicitar confirmação à unidade</v>
      </c>
      <c r="P120" s="72" t="s">
        <v>842</v>
      </c>
      <c r="Q120" s="72" t="s">
        <v>662</v>
      </c>
      <c r="R120" s="128"/>
      <c r="S120" s="128"/>
      <c r="T120" s="128"/>
      <c r="U120" s="128"/>
      <c r="V120" s="128"/>
      <c r="W120" s="128"/>
      <c r="X120" s="128"/>
      <c r="Y120" s="128"/>
      <c r="Z120" s="128"/>
      <c r="AA120" s="78"/>
      <c r="AB120" s="78"/>
      <c r="AC120" s="78"/>
      <c r="AD120" s="78"/>
      <c r="AE120" s="78"/>
      <c r="AF120" s="78"/>
      <c r="AG120" s="78"/>
      <c r="AH120" s="78"/>
      <c r="AI120" s="78"/>
    </row>
    <row r="121" customFormat="false" ht="27.75" hidden="false" customHeight="true" outlineLevel="0" collapsed="false">
      <c r="A121" s="79" t="s">
        <v>482</v>
      </c>
      <c r="B121" s="79" t="n">
        <v>312801</v>
      </c>
      <c r="C121" s="79" t="s">
        <v>843</v>
      </c>
      <c r="D121" s="79" t="n">
        <v>44182</v>
      </c>
      <c r="E121" s="81" t="s">
        <v>243</v>
      </c>
      <c r="F121" s="136" t="n">
        <v>5</v>
      </c>
      <c r="G121" s="136" t="n">
        <v>5</v>
      </c>
      <c r="H121" s="136" t="n">
        <v>9</v>
      </c>
      <c r="I121" s="136" t="n">
        <v>0</v>
      </c>
      <c r="J121" s="136" t="n">
        <v>2</v>
      </c>
      <c r="K121" s="81" t="s">
        <v>485</v>
      </c>
      <c r="L121" s="79"/>
      <c r="M121" s="79" t="s">
        <v>486</v>
      </c>
      <c r="N121" s="79" t="s">
        <v>486</v>
      </c>
      <c r="O121" s="137" t="str">
        <f aca="false">IF(E121="","",IF(M121&lt;&gt;"Sim","Solicitar confirmação à unidade",IF(N121&lt;&gt;"Sim","Validar dados com a unidade pela GOP",IF(IFERROR(VALUE(J121),0)&gt;0,"Planejar instalação de "&amp;J121&amp;" aparelho(s)","Inventário em dia"))))</f>
        <v>Solicitar confirmação à unidade</v>
      </c>
      <c r="P121" s="81" t="s">
        <v>844</v>
      </c>
      <c r="Q121" s="81" t="s">
        <v>845</v>
      </c>
      <c r="R121" s="128"/>
      <c r="S121" s="128"/>
      <c r="T121" s="128"/>
      <c r="U121" s="128"/>
      <c r="V121" s="128"/>
      <c r="W121" s="128"/>
      <c r="X121" s="128"/>
      <c r="Y121" s="128"/>
      <c r="Z121" s="128"/>
      <c r="AA121" s="78"/>
      <c r="AB121" s="78"/>
      <c r="AC121" s="78"/>
      <c r="AD121" s="78"/>
      <c r="AE121" s="78"/>
      <c r="AF121" s="78"/>
      <c r="AG121" s="78"/>
      <c r="AH121" s="78"/>
      <c r="AI121" s="78"/>
    </row>
    <row r="122" customFormat="false" ht="27.75" hidden="false" customHeight="true" outlineLevel="0" collapsed="false">
      <c r="A122" s="70" t="s">
        <v>482</v>
      </c>
      <c r="B122" s="70" t="n">
        <v>312812</v>
      </c>
      <c r="C122" s="70" t="s">
        <v>846</v>
      </c>
      <c r="D122" s="70" t="n">
        <v>10901</v>
      </c>
      <c r="E122" s="72" t="s">
        <v>847</v>
      </c>
      <c r="F122" s="134" t="n">
        <v>10</v>
      </c>
      <c r="G122" s="134" t="n">
        <v>10</v>
      </c>
      <c r="H122" s="134" t="n">
        <v>14</v>
      </c>
      <c r="I122" s="134" t="n">
        <v>0</v>
      </c>
      <c r="J122" s="134" t="n">
        <v>0</v>
      </c>
      <c r="K122" s="72" t="s">
        <v>485</v>
      </c>
      <c r="L122" s="70"/>
      <c r="M122" s="70" t="s">
        <v>486</v>
      </c>
      <c r="N122" s="70" t="s">
        <v>486</v>
      </c>
      <c r="O122" s="135" t="str">
        <f aca="false">IF(E122="","",IF(M122&lt;&gt;"Sim","Solicitar confirmação à unidade",IF(N122&lt;&gt;"Sim","Validar dados com a unidade pela GOP",IF(IFERROR(VALUE(J122),0)&gt;0,"Planejar instalação de "&amp;J122&amp;" aparelho(s)","Inventário em dia"))))</f>
        <v>Solicitar confirmação à unidade</v>
      </c>
      <c r="P122" s="72" t="s">
        <v>848</v>
      </c>
      <c r="Q122" s="72" t="s">
        <v>636</v>
      </c>
      <c r="R122" s="128"/>
      <c r="S122" s="128"/>
      <c r="T122" s="128"/>
      <c r="U122" s="128"/>
      <c r="V122" s="128"/>
      <c r="W122" s="128"/>
      <c r="X122" s="128"/>
      <c r="Y122" s="128"/>
      <c r="Z122" s="128"/>
      <c r="AA122" s="78"/>
      <c r="AB122" s="78"/>
      <c r="AC122" s="78"/>
      <c r="AD122" s="78"/>
      <c r="AE122" s="78"/>
      <c r="AF122" s="78"/>
      <c r="AG122" s="78"/>
      <c r="AH122" s="78"/>
      <c r="AI122" s="78"/>
    </row>
    <row r="123" customFormat="false" ht="27.75" hidden="false" customHeight="true" outlineLevel="0" collapsed="false">
      <c r="A123" s="79" t="s">
        <v>482</v>
      </c>
      <c r="B123" s="79" t="n">
        <v>312813</v>
      </c>
      <c r="C123" s="79" t="s">
        <v>849</v>
      </c>
      <c r="D123" s="79" t="n">
        <v>52274</v>
      </c>
      <c r="E123" s="81" t="s">
        <v>850</v>
      </c>
      <c r="F123" s="136" t="n">
        <v>14</v>
      </c>
      <c r="G123" s="136" t="n">
        <v>21</v>
      </c>
      <c r="H123" s="136" t="n">
        <v>29</v>
      </c>
      <c r="I123" s="136" t="n">
        <v>0</v>
      </c>
      <c r="J123" s="136" t="n">
        <v>4</v>
      </c>
      <c r="K123" s="81" t="s">
        <v>485</v>
      </c>
      <c r="L123" s="79"/>
      <c r="M123" s="79" t="s">
        <v>486</v>
      </c>
      <c r="N123" s="79" t="s">
        <v>486</v>
      </c>
      <c r="O123" s="137" t="str">
        <f aca="false">IF(E123="","",IF(M123&lt;&gt;"Sim","Solicitar confirmação à unidade",IF(N123&lt;&gt;"Sim","Validar dados com a unidade pela GOP",IF(IFERROR(VALUE(J123),0)&gt;0,"Planejar instalação de "&amp;J123&amp;" aparelho(s)","Inventário em dia"))))</f>
        <v>Solicitar confirmação à unidade</v>
      </c>
      <c r="P123" s="81" t="s">
        <v>851</v>
      </c>
      <c r="Q123" s="81" t="s">
        <v>608</v>
      </c>
      <c r="R123" s="128"/>
      <c r="S123" s="128"/>
      <c r="T123" s="128"/>
      <c r="U123" s="128"/>
      <c r="V123" s="128"/>
      <c r="W123" s="128"/>
      <c r="X123" s="128"/>
      <c r="Y123" s="128"/>
      <c r="Z123" s="128"/>
      <c r="AA123" s="78"/>
      <c r="AB123" s="78"/>
      <c r="AC123" s="78"/>
      <c r="AD123" s="78"/>
      <c r="AE123" s="78"/>
      <c r="AF123" s="78"/>
      <c r="AG123" s="78"/>
      <c r="AH123" s="78"/>
      <c r="AI123" s="78"/>
    </row>
    <row r="124" customFormat="false" ht="27.75" hidden="false" customHeight="true" outlineLevel="0" collapsed="false">
      <c r="A124" s="70" t="s">
        <v>482</v>
      </c>
      <c r="B124" s="70" t="n">
        <v>312802</v>
      </c>
      <c r="C124" s="70" t="s">
        <v>852</v>
      </c>
      <c r="D124" s="70" t="n">
        <v>44387</v>
      </c>
      <c r="E124" s="72" t="s">
        <v>853</v>
      </c>
      <c r="F124" s="134" t="n">
        <v>10</v>
      </c>
      <c r="G124" s="134" t="n">
        <v>10</v>
      </c>
      <c r="H124" s="134" t="n">
        <v>10</v>
      </c>
      <c r="I124" s="134" t="n">
        <v>0</v>
      </c>
      <c r="J124" s="134" t="n">
        <v>10</v>
      </c>
      <c r="K124" s="72" t="s">
        <v>485</v>
      </c>
      <c r="L124" s="70"/>
      <c r="M124" s="70" t="s">
        <v>486</v>
      </c>
      <c r="N124" s="70" t="s">
        <v>486</v>
      </c>
      <c r="O124" s="135" t="str">
        <f aca="false">IF(E124="","",IF(M124&lt;&gt;"Sim","Solicitar confirmação à unidade",IF(N124&lt;&gt;"Sim","Validar dados com a unidade pela GOP",IF(IFERROR(VALUE(J124),0)&gt;0,"Planejar instalação de "&amp;J124&amp;" aparelho(s)","Inventário em dia"))))</f>
        <v>Solicitar confirmação à unidade</v>
      </c>
      <c r="P124" s="72" t="s">
        <v>854</v>
      </c>
      <c r="Q124" s="72" t="s">
        <v>527</v>
      </c>
      <c r="R124" s="128"/>
      <c r="S124" s="128"/>
      <c r="T124" s="128"/>
      <c r="U124" s="128"/>
      <c r="V124" s="128"/>
      <c r="W124" s="128"/>
      <c r="X124" s="128"/>
      <c r="Y124" s="128"/>
      <c r="Z124" s="128"/>
      <c r="AA124" s="78"/>
      <c r="AB124" s="78"/>
      <c r="AC124" s="78"/>
      <c r="AD124" s="78"/>
      <c r="AE124" s="78"/>
      <c r="AF124" s="78"/>
      <c r="AG124" s="78"/>
      <c r="AH124" s="78"/>
      <c r="AI124" s="78"/>
    </row>
    <row r="125" customFormat="false" ht="27.75" hidden="false" customHeight="true" outlineLevel="0" collapsed="false">
      <c r="A125" s="79" t="s">
        <v>482</v>
      </c>
      <c r="B125" s="79" t="n">
        <v>313803</v>
      </c>
      <c r="C125" s="79" t="s">
        <v>855</v>
      </c>
      <c r="D125" s="79" t="n">
        <v>11849</v>
      </c>
      <c r="E125" s="81" t="s">
        <v>856</v>
      </c>
      <c r="F125" s="136" t="n">
        <v>8</v>
      </c>
      <c r="G125" s="136" t="n">
        <v>15</v>
      </c>
      <c r="H125" s="136" t="n">
        <v>17</v>
      </c>
      <c r="I125" s="136" t="n">
        <v>0</v>
      </c>
      <c r="J125" s="136" t="n">
        <v>1</v>
      </c>
      <c r="K125" s="81" t="s">
        <v>485</v>
      </c>
      <c r="L125" s="79"/>
      <c r="M125" s="79" t="s">
        <v>486</v>
      </c>
      <c r="N125" s="79" t="s">
        <v>486</v>
      </c>
      <c r="O125" s="137" t="str">
        <f aca="false">IF(E125="","",IF(M125&lt;&gt;"Sim","Solicitar confirmação à unidade",IF(N125&lt;&gt;"Sim","Validar dados com a unidade pela GOP",IF(IFERROR(VALUE(J125),0)&gt;0,"Planejar instalação de "&amp;J125&amp;" aparelho(s)","Inventário em dia"))))</f>
        <v>Solicitar confirmação à unidade</v>
      </c>
      <c r="P125" s="81" t="s">
        <v>857</v>
      </c>
      <c r="Q125" s="81" t="s">
        <v>505</v>
      </c>
      <c r="R125" s="128"/>
      <c r="S125" s="128"/>
      <c r="T125" s="128"/>
      <c r="U125" s="128"/>
      <c r="V125" s="128"/>
      <c r="W125" s="128"/>
      <c r="X125" s="128"/>
      <c r="Y125" s="128"/>
      <c r="Z125" s="128"/>
      <c r="AA125" s="78"/>
      <c r="AB125" s="78"/>
      <c r="AC125" s="78"/>
      <c r="AD125" s="78"/>
      <c r="AE125" s="78"/>
      <c r="AF125" s="78"/>
      <c r="AG125" s="78"/>
      <c r="AH125" s="78"/>
      <c r="AI125" s="78"/>
    </row>
    <row r="126" customFormat="false" ht="27.75" hidden="false" customHeight="true" outlineLevel="0" collapsed="false">
      <c r="A126" s="70" t="s">
        <v>482</v>
      </c>
      <c r="B126" s="70" t="n">
        <v>312810</v>
      </c>
      <c r="C126" s="70" t="s">
        <v>858</v>
      </c>
      <c r="D126" s="70" t="n">
        <v>45649</v>
      </c>
      <c r="E126" s="72" t="s">
        <v>859</v>
      </c>
      <c r="F126" s="134" t="n">
        <v>5</v>
      </c>
      <c r="G126" s="134" t="n">
        <v>10</v>
      </c>
      <c r="H126" s="134" t="n">
        <v>14</v>
      </c>
      <c r="I126" s="134" t="n">
        <v>0</v>
      </c>
      <c r="J126" s="134" t="n">
        <v>0</v>
      </c>
      <c r="K126" s="72" t="s">
        <v>485</v>
      </c>
      <c r="L126" s="70"/>
      <c r="M126" s="70" t="s">
        <v>486</v>
      </c>
      <c r="N126" s="70" t="s">
        <v>486</v>
      </c>
      <c r="O126" s="135" t="str">
        <f aca="false">IF(E126="","",IF(M126&lt;&gt;"Sim","Solicitar confirmação à unidade",IF(N126&lt;&gt;"Sim","Validar dados com a unidade pela GOP",IF(IFERROR(VALUE(J126),0)&gt;0,"Planejar instalação de "&amp;J126&amp;" aparelho(s)","Inventário em dia"))))</f>
        <v>Solicitar confirmação à unidade</v>
      </c>
      <c r="P126" s="72" t="s">
        <v>860</v>
      </c>
      <c r="Q126" s="72" t="s">
        <v>519</v>
      </c>
      <c r="R126" s="128"/>
      <c r="S126" s="128"/>
      <c r="T126" s="128"/>
      <c r="U126" s="128"/>
      <c r="V126" s="128"/>
      <c r="W126" s="128"/>
      <c r="X126" s="128"/>
      <c r="Y126" s="128"/>
      <c r="Z126" s="128"/>
      <c r="AA126" s="78"/>
      <c r="AB126" s="78"/>
      <c r="AC126" s="78"/>
      <c r="AD126" s="78"/>
      <c r="AE126" s="78"/>
      <c r="AF126" s="78"/>
      <c r="AG126" s="78"/>
      <c r="AH126" s="78"/>
      <c r="AI126" s="78"/>
    </row>
    <row r="127" customFormat="false" ht="27.75" hidden="false" customHeight="true" outlineLevel="0" collapsed="false">
      <c r="A127" s="79" t="s">
        <v>482</v>
      </c>
      <c r="B127" s="79" t="n">
        <v>313805</v>
      </c>
      <c r="C127" s="79" t="s">
        <v>861</v>
      </c>
      <c r="D127" s="79" t="n">
        <v>11819</v>
      </c>
      <c r="E127" s="81" t="s">
        <v>862</v>
      </c>
      <c r="F127" s="136" t="n">
        <v>10</v>
      </c>
      <c r="G127" s="136" t="n">
        <v>10</v>
      </c>
      <c r="H127" s="136" t="n">
        <v>14</v>
      </c>
      <c r="I127" s="136" t="n">
        <v>0</v>
      </c>
      <c r="J127" s="136" t="n">
        <v>0</v>
      </c>
      <c r="K127" s="81" t="s">
        <v>485</v>
      </c>
      <c r="L127" s="79"/>
      <c r="M127" s="79" t="s">
        <v>486</v>
      </c>
      <c r="N127" s="79" t="s">
        <v>486</v>
      </c>
      <c r="O127" s="137" t="str">
        <f aca="false">IF(E127="","",IF(M127&lt;&gt;"Sim","Solicitar confirmação à unidade",IF(N127&lt;&gt;"Sim","Validar dados com a unidade pela GOP",IF(IFERROR(VALUE(J127),0)&gt;0,"Planejar instalação de "&amp;J127&amp;" aparelho(s)","Inventário em dia"))))</f>
        <v>Solicitar confirmação à unidade</v>
      </c>
      <c r="P127" s="81" t="s">
        <v>863</v>
      </c>
      <c r="Q127" s="81" t="s">
        <v>544</v>
      </c>
      <c r="R127" s="128"/>
      <c r="S127" s="128"/>
      <c r="T127" s="128"/>
      <c r="U127" s="128"/>
      <c r="V127" s="128"/>
      <c r="W127" s="128"/>
      <c r="X127" s="128"/>
      <c r="Y127" s="128"/>
      <c r="Z127" s="128"/>
      <c r="AA127" s="78"/>
      <c r="AB127" s="78"/>
      <c r="AC127" s="78"/>
      <c r="AD127" s="78"/>
      <c r="AE127" s="78"/>
      <c r="AF127" s="78"/>
      <c r="AG127" s="78"/>
      <c r="AH127" s="78"/>
      <c r="AI127" s="78"/>
    </row>
    <row r="128" customFormat="false" ht="27.75" hidden="false" customHeight="true" outlineLevel="0" collapsed="false">
      <c r="A128" s="70" t="s">
        <v>482</v>
      </c>
      <c r="B128" s="70" t="n">
        <v>328801</v>
      </c>
      <c r="C128" s="70" t="s">
        <v>864</v>
      </c>
      <c r="D128" s="70" t="n">
        <v>43288</v>
      </c>
      <c r="E128" s="72" t="s">
        <v>185</v>
      </c>
      <c r="F128" s="134" t="n">
        <v>8</v>
      </c>
      <c r="G128" s="134" t="n">
        <v>9</v>
      </c>
      <c r="H128" s="134" t="n">
        <v>11</v>
      </c>
      <c r="I128" s="134" t="n">
        <v>1</v>
      </c>
      <c r="J128" s="134" t="n">
        <v>3</v>
      </c>
      <c r="K128" s="72" t="s">
        <v>485</v>
      </c>
      <c r="L128" s="70"/>
      <c r="M128" s="70" t="s">
        <v>486</v>
      </c>
      <c r="N128" s="70" t="s">
        <v>486</v>
      </c>
      <c r="O128" s="135" t="str">
        <f aca="false">IF(E128="","",IF(M128&lt;&gt;"Sim","Solicitar confirmação à unidade",IF(N128&lt;&gt;"Sim","Validar dados com a unidade pela GOP",IF(IFERROR(VALUE(J128),0)&gt;0,"Planejar instalação de "&amp;J128&amp;" aparelho(s)","Inventário em dia"))))</f>
        <v>Solicitar confirmação à unidade</v>
      </c>
      <c r="P128" s="72" t="s">
        <v>865</v>
      </c>
      <c r="Q128" s="72" t="s">
        <v>821</v>
      </c>
      <c r="R128" s="128"/>
      <c r="S128" s="128"/>
      <c r="T128" s="128"/>
      <c r="U128" s="128"/>
      <c r="V128" s="128"/>
      <c r="W128" s="128"/>
      <c r="X128" s="128"/>
      <c r="Y128" s="128"/>
      <c r="Z128" s="128"/>
      <c r="AA128" s="78"/>
      <c r="AB128" s="78"/>
      <c r="AC128" s="78"/>
      <c r="AD128" s="78"/>
      <c r="AE128" s="78"/>
      <c r="AF128" s="78"/>
      <c r="AG128" s="78"/>
      <c r="AH128" s="78"/>
      <c r="AI128" s="78"/>
    </row>
    <row r="129" customFormat="false" ht="27.75" hidden="false" customHeight="true" outlineLevel="0" collapsed="false">
      <c r="A129" s="79" t="s">
        <v>482</v>
      </c>
      <c r="B129" s="79" t="n">
        <v>313808</v>
      </c>
      <c r="C129" s="79" t="s">
        <v>866</v>
      </c>
      <c r="D129" s="79" t="n">
        <v>11854</v>
      </c>
      <c r="E129" s="81" t="s">
        <v>867</v>
      </c>
      <c r="F129" s="136" t="n">
        <v>6</v>
      </c>
      <c r="G129" s="136" t="n">
        <v>6</v>
      </c>
      <c r="H129" s="136" t="n">
        <v>11</v>
      </c>
      <c r="I129" s="136" t="n">
        <v>0</v>
      </c>
      <c r="J129" s="136" t="n">
        <v>0</v>
      </c>
      <c r="K129" s="81" t="s">
        <v>485</v>
      </c>
      <c r="L129" s="79"/>
      <c r="M129" s="79" t="s">
        <v>486</v>
      </c>
      <c r="N129" s="79" t="s">
        <v>486</v>
      </c>
      <c r="O129" s="137" t="str">
        <f aca="false">IF(E129="","",IF(M129&lt;&gt;"Sim","Solicitar confirmação à unidade",IF(N129&lt;&gt;"Sim","Validar dados com a unidade pela GOP",IF(IFERROR(VALUE(J129),0)&gt;0,"Planejar instalação de "&amp;J129&amp;" aparelho(s)","Inventário em dia"))))</f>
        <v>Solicitar confirmação à unidade</v>
      </c>
      <c r="P129" s="81" t="s">
        <v>868</v>
      </c>
      <c r="Q129" s="81" t="s">
        <v>645</v>
      </c>
      <c r="R129" s="128"/>
      <c r="S129" s="128"/>
      <c r="T129" s="128"/>
      <c r="U129" s="128"/>
      <c r="V129" s="128"/>
      <c r="W129" s="128"/>
      <c r="X129" s="128"/>
      <c r="Y129" s="128"/>
      <c r="Z129" s="128"/>
      <c r="AA129" s="78"/>
      <c r="AB129" s="78"/>
      <c r="AC129" s="78"/>
      <c r="AD129" s="78"/>
      <c r="AE129" s="78"/>
      <c r="AF129" s="78"/>
      <c r="AG129" s="78"/>
      <c r="AH129" s="78"/>
      <c r="AI129" s="78"/>
    </row>
    <row r="130" customFormat="false" ht="27.75" hidden="false" customHeight="true" outlineLevel="0" collapsed="false">
      <c r="A130" s="70" t="s">
        <v>482</v>
      </c>
      <c r="B130" s="70" t="n">
        <v>313801</v>
      </c>
      <c r="C130" s="70" t="s">
        <v>869</v>
      </c>
      <c r="D130" s="70" t="n">
        <v>44811</v>
      </c>
      <c r="E130" s="72" t="s">
        <v>870</v>
      </c>
      <c r="F130" s="134" t="n">
        <v>4</v>
      </c>
      <c r="G130" s="134" t="n">
        <v>9</v>
      </c>
      <c r="H130" s="134" t="n">
        <v>10</v>
      </c>
      <c r="I130" s="134" t="n">
        <v>0</v>
      </c>
      <c r="J130" s="134" t="n">
        <v>1</v>
      </c>
      <c r="K130" s="72" t="s">
        <v>485</v>
      </c>
      <c r="L130" s="70"/>
      <c r="M130" s="70" t="s">
        <v>486</v>
      </c>
      <c r="N130" s="70" t="s">
        <v>486</v>
      </c>
      <c r="O130" s="135" t="str">
        <f aca="false">IF(E130="","",IF(M130&lt;&gt;"Sim","Solicitar confirmação à unidade",IF(N130&lt;&gt;"Sim","Validar dados com a unidade pela GOP",IF(IFERROR(VALUE(J130),0)&gt;0,"Planejar instalação de "&amp;J130&amp;" aparelho(s)","Inventário em dia"))))</f>
        <v>Solicitar confirmação à unidade</v>
      </c>
      <c r="P130" s="72" t="s">
        <v>715</v>
      </c>
      <c r="Q130" s="72" t="s">
        <v>608</v>
      </c>
      <c r="R130" s="128"/>
      <c r="S130" s="128"/>
      <c r="T130" s="128"/>
      <c r="U130" s="128"/>
      <c r="V130" s="128"/>
      <c r="W130" s="128"/>
      <c r="X130" s="128"/>
      <c r="Y130" s="128"/>
      <c r="Z130" s="128"/>
      <c r="AA130" s="78"/>
      <c r="AB130" s="78"/>
      <c r="AC130" s="78"/>
      <c r="AD130" s="78"/>
      <c r="AE130" s="78"/>
      <c r="AF130" s="78"/>
      <c r="AG130" s="78"/>
      <c r="AH130" s="78"/>
      <c r="AI130" s="78"/>
    </row>
    <row r="131" customFormat="false" ht="27.75" hidden="false" customHeight="true" outlineLevel="0" collapsed="false">
      <c r="A131" s="79" t="s">
        <v>482</v>
      </c>
      <c r="B131" s="79" t="n">
        <v>312806</v>
      </c>
      <c r="C131" s="79" t="s">
        <v>871</v>
      </c>
      <c r="D131" s="79" t="n">
        <v>44858</v>
      </c>
      <c r="E131" s="81" t="s">
        <v>872</v>
      </c>
      <c r="F131" s="136" t="n">
        <v>6</v>
      </c>
      <c r="G131" s="136" t="n">
        <v>6</v>
      </c>
      <c r="H131" s="136" t="n">
        <v>11</v>
      </c>
      <c r="I131" s="136" t="n">
        <v>0</v>
      </c>
      <c r="J131" s="136" t="n">
        <v>0</v>
      </c>
      <c r="K131" s="81" t="s">
        <v>485</v>
      </c>
      <c r="L131" s="79"/>
      <c r="M131" s="79" t="s">
        <v>486</v>
      </c>
      <c r="N131" s="79" t="s">
        <v>486</v>
      </c>
      <c r="O131" s="137" t="str">
        <f aca="false">IF(E131="","",IF(M131&lt;&gt;"Sim","Solicitar confirmação à unidade",IF(N131&lt;&gt;"Sim","Validar dados com a unidade pela GOP",IF(IFERROR(VALUE(J131),0)&gt;0,"Planejar instalação de "&amp;J131&amp;" aparelho(s)","Inventário em dia"))))</f>
        <v>Solicitar confirmação à unidade</v>
      </c>
      <c r="P131" s="81" t="s">
        <v>873</v>
      </c>
      <c r="Q131" s="81" t="s">
        <v>845</v>
      </c>
      <c r="R131" s="128"/>
      <c r="S131" s="128"/>
      <c r="T131" s="128"/>
      <c r="U131" s="128"/>
      <c r="V131" s="128"/>
      <c r="W131" s="128"/>
      <c r="X131" s="128"/>
      <c r="Y131" s="128"/>
      <c r="Z131" s="128"/>
      <c r="AA131" s="78"/>
      <c r="AB131" s="78"/>
      <c r="AC131" s="78"/>
      <c r="AD131" s="78"/>
      <c r="AE131" s="78"/>
      <c r="AF131" s="78"/>
      <c r="AG131" s="78"/>
      <c r="AH131" s="78"/>
      <c r="AI131" s="78"/>
    </row>
    <row r="132" customFormat="false" ht="27.75" hidden="false" customHeight="true" outlineLevel="0" collapsed="false">
      <c r="A132" s="70" t="s">
        <v>482</v>
      </c>
      <c r="B132" s="70" t="n">
        <v>312803</v>
      </c>
      <c r="C132" s="70" t="s">
        <v>874</v>
      </c>
      <c r="D132" s="70" t="n">
        <v>44418</v>
      </c>
      <c r="E132" s="72" t="s">
        <v>875</v>
      </c>
      <c r="F132" s="134" t="n">
        <v>5</v>
      </c>
      <c r="G132" s="134" t="n">
        <v>8</v>
      </c>
      <c r="H132" s="134" t="n">
        <v>13</v>
      </c>
      <c r="I132" s="134" t="n">
        <v>0</v>
      </c>
      <c r="J132" s="134" t="n">
        <v>1</v>
      </c>
      <c r="K132" s="72" t="s">
        <v>485</v>
      </c>
      <c r="L132" s="70"/>
      <c r="M132" s="70" t="s">
        <v>486</v>
      </c>
      <c r="N132" s="70" t="s">
        <v>486</v>
      </c>
      <c r="O132" s="135" t="str">
        <f aca="false">IF(E132="","",IF(M132&lt;&gt;"Sim","Solicitar confirmação à unidade",IF(N132&lt;&gt;"Sim","Validar dados com a unidade pela GOP",IF(IFERROR(VALUE(J132),0)&gt;0,"Planejar instalação de "&amp;J132&amp;" aparelho(s)","Inventário em dia"))))</f>
        <v>Solicitar confirmação à unidade</v>
      </c>
      <c r="P132" s="72" t="s">
        <v>876</v>
      </c>
      <c r="Q132" s="72" t="s">
        <v>527</v>
      </c>
      <c r="R132" s="128"/>
      <c r="S132" s="128"/>
      <c r="T132" s="128"/>
      <c r="U132" s="128"/>
      <c r="V132" s="128"/>
      <c r="W132" s="128"/>
      <c r="X132" s="128"/>
      <c r="Y132" s="128"/>
      <c r="Z132" s="128"/>
      <c r="AA132" s="78"/>
      <c r="AB132" s="78"/>
      <c r="AC132" s="78"/>
      <c r="AD132" s="78"/>
      <c r="AE132" s="78"/>
      <c r="AF132" s="78"/>
      <c r="AG132" s="78"/>
      <c r="AH132" s="78"/>
      <c r="AI132" s="78"/>
    </row>
    <row r="133" customFormat="false" ht="27.75" hidden="false" customHeight="true" outlineLevel="0" collapsed="false">
      <c r="A133" s="79" t="s">
        <v>482</v>
      </c>
      <c r="B133" s="79" t="n">
        <v>312804</v>
      </c>
      <c r="C133" s="79" t="s">
        <v>877</v>
      </c>
      <c r="D133" s="79" t="n">
        <v>44468</v>
      </c>
      <c r="E133" s="81" t="s">
        <v>878</v>
      </c>
      <c r="F133" s="136" t="n">
        <v>8</v>
      </c>
      <c r="G133" s="136" t="n">
        <v>10</v>
      </c>
      <c r="H133" s="136" t="n">
        <v>14</v>
      </c>
      <c r="I133" s="136" t="n">
        <v>0</v>
      </c>
      <c r="J133" s="136" t="n">
        <v>1</v>
      </c>
      <c r="K133" s="81" t="s">
        <v>485</v>
      </c>
      <c r="L133" s="79"/>
      <c r="M133" s="79" t="s">
        <v>486</v>
      </c>
      <c r="N133" s="79" t="s">
        <v>486</v>
      </c>
      <c r="O133" s="137" t="str">
        <f aca="false">IF(E133="","",IF(M133&lt;&gt;"Sim","Solicitar confirmação à unidade",IF(N133&lt;&gt;"Sim","Validar dados com a unidade pela GOP",IF(IFERROR(VALUE(J133),0)&gt;0,"Planejar instalação de "&amp;J133&amp;" aparelho(s)","Inventário em dia"))))</f>
        <v>Solicitar confirmação à unidade</v>
      </c>
      <c r="P133" s="81" t="s">
        <v>879</v>
      </c>
      <c r="Q133" s="81" t="s">
        <v>880</v>
      </c>
      <c r="R133" s="128"/>
      <c r="S133" s="128"/>
      <c r="T133" s="128"/>
      <c r="U133" s="128"/>
      <c r="V133" s="128"/>
      <c r="W133" s="128"/>
      <c r="X133" s="128"/>
      <c r="Y133" s="128"/>
      <c r="Z133" s="128"/>
      <c r="AA133" s="78"/>
      <c r="AB133" s="78"/>
      <c r="AC133" s="78"/>
      <c r="AD133" s="78"/>
      <c r="AE133" s="78"/>
      <c r="AF133" s="78"/>
      <c r="AG133" s="78"/>
      <c r="AH133" s="78"/>
      <c r="AI133" s="78"/>
    </row>
    <row r="134" customFormat="false" ht="27.75" hidden="false" customHeight="true" outlineLevel="0" collapsed="false">
      <c r="A134" s="70" t="s">
        <v>482</v>
      </c>
      <c r="B134" s="70" t="n">
        <v>312809</v>
      </c>
      <c r="C134" s="70" t="s">
        <v>881</v>
      </c>
      <c r="D134" s="70" t="n">
        <v>45421</v>
      </c>
      <c r="E134" s="72" t="s">
        <v>882</v>
      </c>
      <c r="F134" s="134" t="n">
        <v>9</v>
      </c>
      <c r="G134" s="134" t="n">
        <v>17</v>
      </c>
      <c r="H134" s="134" t="n">
        <v>21</v>
      </c>
      <c r="I134" s="134" t="n">
        <v>0</v>
      </c>
      <c r="J134" s="134" t="n">
        <v>9</v>
      </c>
      <c r="K134" s="72" t="s">
        <v>485</v>
      </c>
      <c r="L134" s="70"/>
      <c r="M134" s="70" t="s">
        <v>486</v>
      </c>
      <c r="N134" s="70" t="s">
        <v>486</v>
      </c>
      <c r="O134" s="135" t="str">
        <f aca="false">IF(E134="","",IF(M134&lt;&gt;"Sim","Solicitar confirmação à unidade",IF(N134&lt;&gt;"Sim","Validar dados com a unidade pela GOP",IF(IFERROR(VALUE(J134),0)&gt;0,"Planejar instalação de "&amp;J134&amp;" aparelho(s)","Inventário em dia"))))</f>
        <v>Solicitar confirmação à unidade</v>
      </c>
      <c r="P134" s="72" t="s">
        <v>883</v>
      </c>
      <c r="Q134" s="72" t="s">
        <v>527</v>
      </c>
      <c r="R134" s="128"/>
      <c r="S134" s="128"/>
      <c r="T134" s="128"/>
      <c r="U134" s="128"/>
      <c r="V134" s="128"/>
      <c r="W134" s="128"/>
      <c r="X134" s="128"/>
      <c r="Y134" s="128"/>
      <c r="Z134" s="128"/>
      <c r="AA134" s="78"/>
      <c r="AB134" s="78"/>
      <c r="AC134" s="78"/>
      <c r="AD134" s="78"/>
      <c r="AE134" s="78"/>
      <c r="AF134" s="78"/>
      <c r="AG134" s="78"/>
      <c r="AH134" s="78"/>
      <c r="AI134" s="78"/>
    </row>
    <row r="135" customFormat="false" ht="27.75" hidden="false" customHeight="true" outlineLevel="0" collapsed="false">
      <c r="A135" s="79" t="s">
        <v>482</v>
      </c>
      <c r="B135" s="79" t="n">
        <v>312805</v>
      </c>
      <c r="C135" s="79" t="s">
        <v>884</v>
      </c>
      <c r="D135" s="79" t="n">
        <v>44630</v>
      </c>
      <c r="E135" s="81" t="s">
        <v>166</v>
      </c>
      <c r="F135" s="136" t="n">
        <v>9</v>
      </c>
      <c r="G135" s="136" t="n">
        <v>9</v>
      </c>
      <c r="H135" s="136" t="n">
        <v>13</v>
      </c>
      <c r="I135" s="136" t="n">
        <v>8</v>
      </c>
      <c r="J135" s="136" t="n">
        <v>8</v>
      </c>
      <c r="K135" s="81" t="s">
        <v>485</v>
      </c>
      <c r="L135" s="79"/>
      <c r="M135" s="79" t="s">
        <v>486</v>
      </c>
      <c r="N135" s="79" t="s">
        <v>486</v>
      </c>
      <c r="O135" s="137" t="str">
        <f aca="false">IF(E135="","",IF(M135&lt;&gt;"Sim","Solicitar confirmação à unidade",IF(N135&lt;&gt;"Sim","Validar dados com a unidade pela GOP",IF(IFERROR(VALUE(J135),0)&gt;0,"Planejar instalação de "&amp;J135&amp;" aparelho(s)","Inventário em dia"))))</f>
        <v>Solicitar confirmação à unidade</v>
      </c>
      <c r="P135" s="81" t="s">
        <v>885</v>
      </c>
      <c r="Q135" s="81" t="s">
        <v>492</v>
      </c>
      <c r="R135" s="128"/>
      <c r="S135" s="128"/>
      <c r="T135" s="128"/>
      <c r="U135" s="128"/>
      <c r="V135" s="128"/>
      <c r="W135" s="128"/>
      <c r="X135" s="128"/>
      <c r="Y135" s="128"/>
      <c r="Z135" s="128"/>
      <c r="AA135" s="78"/>
      <c r="AB135" s="78"/>
      <c r="AC135" s="78"/>
      <c r="AD135" s="78"/>
      <c r="AE135" s="78"/>
      <c r="AF135" s="78"/>
      <c r="AG135" s="78"/>
      <c r="AH135" s="78"/>
      <c r="AI135" s="78"/>
    </row>
    <row r="136" customFormat="false" ht="27.75" hidden="false" customHeight="true" outlineLevel="0" collapsed="false">
      <c r="A136" s="70" t="s">
        <v>482</v>
      </c>
      <c r="B136" s="70" t="n">
        <v>312006</v>
      </c>
      <c r="C136" s="70" t="s">
        <v>886</v>
      </c>
      <c r="D136" s="70" t="n">
        <v>33166803</v>
      </c>
      <c r="E136" s="72" t="s">
        <v>247</v>
      </c>
      <c r="F136" s="134" t="n">
        <v>13</v>
      </c>
      <c r="G136" s="134" t="n">
        <v>13</v>
      </c>
      <c r="H136" s="134" t="n">
        <v>23</v>
      </c>
      <c r="I136" s="134" t="n">
        <v>0</v>
      </c>
      <c r="J136" s="134" t="n">
        <v>0</v>
      </c>
      <c r="K136" s="72" t="s">
        <v>485</v>
      </c>
      <c r="L136" s="70"/>
      <c r="M136" s="70" t="s">
        <v>486</v>
      </c>
      <c r="N136" s="70" t="s">
        <v>486</v>
      </c>
      <c r="O136" s="135" t="str">
        <f aca="false">IF(E136="","",IF(M136&lt;&gt;"Sim","Solicitar confirmação à unidade",IF(N136&lt;&gt;"Sim","Validar dados com a unidade pela GOP",IF(IFERROR(VALUE(J136),0)&gt;0,"Planejar instalação de "&amp;J136&amp;" aparelho(s)","Inventário em dia"))))</f>
        <v>Solicitar confirmação à unidade</v>
      </c>
      <c r="P136" s="72" t="s">
        <v>887</v>
      </c>
      <c r="Q136" s="72" t="s">
        <v>580</v>
      </c>
      <c r="R136" s="128"/>
      <c r="S136" s="128"/>
      <c r="T136" s="128"/>
      <c r="U136" s="128"/>
      <c r="V136" s="128"/>
      <c r="W136" s="128"/>
      <c r="X136" s="128"/>
      <c r="Y136" s="128"/>
      <c r="Z136" s="128"/>
      <c r="AA136" s="78"/>
      <c r="AB136" s="78"/>
      <c r="AC136" s="78"/>
      <c r="AD136" s="78"/>
      <c r="AE136" s="78"/>
      <c r="AF136" s="78"/>
      <c r="AG136" s="78"/>
      <c r="AH136" s="78"/>
      <c r="AI136" s="78"/>
    </row>
    <row r="137" customFormat="false" ht="16.5" hidden="false" customHeight="true" outlineLevel="0" collapsed="false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131"/>
      <c r="U137" s="131"/>
      <c r="V137" s="131"/>
      <c r="W137" s="131"/>
      <c r="X137" s="131"/>
      <c r="Y137" s="131"/>
      <c r="Z137" s="131"/>
    </row>
    <row r="138" customFormat="false" ht="16.5" hidden="false" customHeight="true" outlineLevel="0" collapsed="false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131"/>
      <c r="U138" s="131"/>
      <c r="V138" s="131"/>
      <c r="W138" s="131"/>
      <c r="X138" s="131"/>
      <c r="Y138" s="131"/>
      <c r="Z138" s="131"/>
    </row>
    <row r="139" customFormat="false" ht="16.5" hidden="false" customHeight="true" outlineLevel="0" collapsed="false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131"/>
      <c r="U139" s="131"/>
      <c r="V139" s="131"/>
      <c r="W139" s="131"/>
      <c r="X139" s="131"/>
      <c r="Y139" s="131"/>
      <c r="Z139" s="131"/>
    </row>
    <row r="140" customFormat="false" ht="16.5" hidden="false" customHeight="true" outlineLevel="0" collapsed="false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131"/>
      <c r="U140" s="131"/>
      <c r="V140" s="131"/>
      <c r="W140" s="131"/>
      <c r="X140" s="131"/>
      <c r="Y140" s="131"/>
      <c r="Z140" s="131"/>
    </row>
    <row r="141" customFormat="false" ht="16.5" hidden="false" customHeight="true" outlineLevel="0" collapsed="false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131"/>
      <c r="U141" s="131"/>
      <c r="V141" s="131"/>
      <c r="W141" s="131"/>
      <c r="X141" s="131"/>
      <c r="Y141" s="131"/>
      <c r="Z141" s="131"/>
    </row>
    <row r="142" customFormat="false" ht="16.5" hidden="false" customHeight="true" outlineLevel="0" collapsed="false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131"/>
      <c r="U142" s="131"/>
      <c r="V142" s="131"/>
      <c r="W142" s="131"/>
      <c r="X142" s="131"/>
      <c r="Y142" s="131"/>
      <c r="Z142" s="131"/>
    </row>
    <row r="143" customFormat="false" ht="16.5" hidden="false" customHeight="true" outlineLevel="0" collapsed="false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131"/>
      <c r="U143" s="131"/>
      <c r="V143" s="131"/>
      <c r="W143" s="131"/>
      <c r="X143" s="131"/>
      <c r="Y143" s="131"/>
      <c r="Z143" s="131"/>
    </row>
    <row r="144" customFormat="false" ht="16.5" hidden="false" customHeight="true" outlineLevel="0" collapsed="false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131"/>
      <c r="U144" s="131"/>
      <c r="V144" s="131"/>
      <c r="W144" s="131"/>
      <c r="X144" s="131"/>
      <c r="Y144" s="131"/>
      <c r="Z144" s="131"/>
    </row>
    <row r="145" customFormat="false" ht="16.5" hidden="false" customHeight="true" outlineLevel="0" collapsed="false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131"/>
      <c r="U145" s="131"/>
      <c r="V145" s="131"/>
      <c r="W145" s="131"/>
      <c r="X145" s="131"/>
      <c r="Y145" s="131"/>
      <c r="Z145" s="131"/>
    </row>
    <row r="146" customFormat="false" ht="16.5" hidden="false" customHeight="true" outlineLevel="0" collapsed="false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131"/>
      <c r="U146" s="131"/>
      <c r="V146" s="131"/>
      <c r="W146" s="131"/>
      <c r="X146" s="131"/>
      <c r="Y146" s="131"/>
      <c r="Z146" s="131"/>
    </row>
    <row r="147" customFormat="false" ht="16.5" hidden="false" customHeight="true" outlineLevel="0" collapsed="false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131"/>
      <c r="U147" s="131"/>
      <c r="V147" s="131"/>
      <c r="W147" s="131"/>
      <c r="X147" s="131"/>
      <c r="Y147" s="131"/>
      <c r="Z147" s="131"/>
    </row>
    <row r="148" customFormat="false" ht="16.5" hidden="false" customHeight="true" outlineLevel="0" collapsed="false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131"/>
      <c r="U148" s="131"/>
      <c r="V148" s="131"/>
      <c r="W148" s="131"/>
      <c r="X148" s="131"/>
      <c r="Y148" s="131"/>
      <c r="Z148" s="131"/>
    </row>
    <row r="149" customFormat="false" ht="16.5" hidden="false" customHeight="true" outlineLevel="0" collapsed="false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131"/>
      <c r="U149" s="131"/>
      <c r="V149" s="131"/>
      <c r="W149" s="131"/>
      <c r="X149" s="131"/>
      <c r="Y149" s="131"/>
      <c r="Z149" s="131"/>
    </row>
    <row r="150" customFormat="false" ht="16.5" hidden="false" customHeight="true" outlineLevel="0" collapsed="false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131"/>
      <c r="U150" s="131"/>
      <c r="V150" s="131"/>
      <c r="W150" s="131"/>
      <c r="X150" s="131"/>
      <c r="Y150" s="131"/>
      <c r="Z150" s="131"/>
    </row>
    <row r="151" customFormat="false" ht="16.5" hidden="false" customHeight="true" outlineLevel="0" collapsed="false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131"/>
      <c r="U151" s="131"/>
      <c r="V151" s="131"/>
      <c r="W151" s="131"/>
      <c r="X151" s="131"/>
      <c r="Y151" s="131"/>
      <c r="Z151" s="131"/>
    </row>
    <row r="152" customFormat="false" ht="16.5" hidden="false" customHeight="true" outlineLevel="0" collapsed="false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131"/>
      <c r="U152" s="131"/>
      <c r="V152" s="131"/>
      <c r="W152" s="131"/>
      <c r="X152" s="131"/>
      <c r="Y152" s="131"/>
      <c r="Z152" s="131"/>
    </row>
    <row r="153" customFormat="false" ht="16.5" hidden="false" customHeight="true" outlineLevel="0" collapsed="false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131"/>
      <c r="U153" s="131"/>
      <c r="V153" s="131"/>
      <c r="W153" s="131"/>
      <c r="X153" s="131"/>
      <c r="Y153" s="131"/>
      <c r="Z153" s="131"/>
    </row>
    <row r="154" customFormat="false" ht="16.5" hidden="false" customHeight="true" outlineLevel="0" collapsed="false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131"/>
      <c r="U154" s="131"/>
      <c r="V154" s="131"/>
      <c r="W154" s="131"/>
      <c r="X154" s="131"/>
      <c r="Y154" s="131"/>
      <c r="Z154" s="131"/>
    </row>
    <row r="155" customFormat="false" ht="16.5" hidden="false" customHeight="true" outlineLevel="0" collapsed="false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131"/>
      <c r="U155" s="131"/>
      <c r="V155" s="131"/>
      <c r="W155" s="131"/>
      <c r="X155" s="131"/>
      <c r="Y155" s="131"/>
      <c r="Z155" s="131"/>
    </row>
    <row r="156" customFormat="false" ht="16.5" hidden="false" customHeight="true" outlineLevel="0" collapsed="false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131"/>
      <c r="U156" s="131"/>
      <c r="V156" s="131"/>
      <c r="W156" s="131"/>
      <c r="X156" s="131"/>
      <c r="Y156" s="131"/>
      <c r="Z156" s="131"/>
    </row>
    <row r="157" customFormat="false" ht="16.5" hidden="false" customHeight="true" outlineLevel="0" collapsed="false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131"/>
      <c r="U157" s="131"/>
      <c r="V157" s="131"/>
      <c r="W157" s="131"/>
      <c r="X157" s="131"/>
      <c r="Y157" s="131"/>
      <c r="Z157" s="131"/>
    </row>
    <row r="158" customFormat="false" ht="16.5" hidden="false" customHeight="true" outlineLevel="0" collapsed="false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131"/>
      <c r="U158" s="131"/>
      <c r="V158" s="131"/>
      <c r="W158" s="131"/>
      <c r="X158" s="131"/>
      <c r="Y158" s="131"/>
      <c r="Z158" s="131"/>
    </row>
    <row r="159" customFormat="false" ht="16.5" hidden="false" customHeight="true" outlineLevel="0" collapsed="false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131"/>
      <c r="U159" s="131"/>
      <c r="V159" s="131"/>
      <c r="W159" s="131"/>
      <c r="X159" s="131"/>
      <c r="Y159" s="131"/>
      <c r="Z159" s="131"/>
    </row>
    <row r="160" customFormat="false" ht="16.5" hidden="false" customHeight="true" outlineLevel="0" collapsed="false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131"/>
      <c r="U160" s="131"/>
      <c r="V160" s="131"/>
      <c r="W160" s="131"/>
      <c r="X160" s="131"/>
      <c r="Y160" s="131"/>
      <c r="Z160" s="131"/>
    </row>
    <row r="161" customFormat="false" ht="16.5" hidden="false" customHeight="true" outlineLevel="0" collapsed="false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131"/>
      <c r="U161" s="131"/>
      <c r="V161" s="131"/>
      <c r="W161" s="131"/>
      <c r="X161" s="131"/>
      <c r="Y161" s="131"/>
      <c r="Z161" s="131"/>
    </row>
    <row r="162" customFormat="false" ht="16.5" hidden="false" customHeight="true" outlineLevel="0" collapsed="false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131"/>
      <c r="U162" s="131"/>
      <c r="V162" s="131"/>
      <c r="W162" s="131"/>
      <c r="X162" s="131"/>
      <c r="Y162" s="131"/>
      <c r="Z162" s="131"/>
    </row>
    <row r="163" customFormat="false" ht="16.5" hidden="false" customHeight="true" outlineLevel="0" collapsed="false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131"/>
      <c r="U163" s="131"/>
      <c r="V163" s="131"/>
      <c r="W163" s="131"/>
      <c r="X163" s="131"/>
      <c r="Y163" s="131"/>
      <c r="Z163" s="131"/>
    </row>
    <row r="164" customFormat="false" ht="16.5" hidden="false" customHeight="true" outlineLevel="0" collapsed="false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131"/>
      <c r="U164" s="131"/>
      <c r="V164" s="131"/>
      <c r="W164" s="131"/>
      <c r="X164" s="131"/>
      <c r="Y164" s="131"/>
      <c r="Z164" s="131"/>
    </row>
    <row r="165" customFormat="false" ht="16.5" hidden="false" customHeight="true" outlineLevel="0" collapsed="false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131"/>
      <c r="U165" s="131"/>
      <c r="V165" s="131"/>
      <c r="W165" s="131"/>
      <c r="X165" s="131"/>
      <c r="Y165" s="131"/>
      <c r="Z165" s="131"/>
    </row>
    <row r="166" customFormat="false" ht="16.5" hidden="false" customHeight="true" outlineLevel="0" collapsed="false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131"/>
      <c r="U166" s="131"/>
      <c r="V166" s="131"/>
      <c r="W166" s="131"/>
      <c r="X166" s="131"/>
      <c r="Y166" s="131"/>
      <c r="Z166" s="131"/>
    </row>
    <row r="167" customFormat="false" ht="16.5" hidden="false" customHeight="true" outlineLevel="0" collapsed="false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131"/>
      <c r="U167" s="131"/>
      <c r="V167" s="131"/>
      <c r="W167" s="131"/>
      <c r="X167" s="131"/>
      <c r="Y167" s="131"/>
      <c r="Z167" s="131"/>
    </row>
    <row r="168" customFormat="false" ht="16.5" hidden="false" customHeight="true" outlineLevel="0" collapsed="false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131"/>
      <c r="U168" s="131"/>
      <c r="V168" s="131"/>
      <c r="W168" s="131"/>
      <c r="X168" s="131"/>
      <c r="Y168" s="131"/>
      <c r="Z168" s="131"/>
    </row>
    <row r="169" customFormat="false" ht="16.5" hidden="false" customHeight="true" outlineLevel="0" collapsed="false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131"/>
      <c r="U169" s="131"/>
      <c r="V169" s="131"/>
      <c r="W169" s="131"/>
      <c r="X169" s="131"/>
      <c r="Y169" s="131"/>
      <c r="Z169" s="131"/>
    </row>
    <row r="170" customFormat="false" ht="16.5" hidden="false" customHeight="true" outlineLevel="0" collapsed="false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131"/>
      <c r="U170" s="131"/>
      <c r="V170" s="131"/>
      <c r="W170" s="131"/>
      <c r="X170" s="131"/>
      <c r="Y170" s="131"/>
      <c r="Z170" s="131"/>
    </row>
    <row r="171" customFormat="false" ht="16.5" hidden="false" customHeight="true" outlineLevel="0" collapsed="false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131"/>
      <c r="U171" s="131"/>
      <c r="V171" s="131"/>
      <c r="W171" s="131"/>
      <c r="X171" s="131"/>
      <c r="Y171" s="131"/>
      <c r="Z171" s="131"/>
    </row>
    <row r="172" customFormat="false" ht="16.5" hidden="false" customHeight="true" outlineLevel="0" collapsed="false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131"/>
      <c r="U172" s="131"/>
      <c r="V172" s="131"/>
      <c r="W172" s="131"/>
      <c r="X172" s="131"/>
      <c r="Y172" s="131"/>
      <c r="Z172" s="131"/>
    </row>
    <row r="173" customFormat="false" ht="16.5" hidden="false" customHeight="true" outlineLevel="0" collapsed="false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131"/>
      <c r="U173" s="131"/>
      <c r="V173" s="131"/>
      <c r="W173" s="131"/>
      <c r="X173" s="131"/>
      <c r="Y173" s="131"/>
      <c r="Z173" s="131"/>
    </row>
    <row r="174" customFormat="false" ht="16.5" hidden="false" customHeight="true" outlineLevel="0" collapsed="false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131"/>
      <c r="U174" s="131"/>
      <c r="V174" s="131"/>
      <c r="W174" s="131"/>
      <c r="X174" s="131"/>
      <c r="Y174" s="131"/>
      <c r="Z174" s="131"/>
    </row>
    <row r="175" customFormat="false" ht="16.5" hidden="false" customHeight="true" outlineLevel="0" collapsed="false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131"/>
      <c r="U175" s="131"/>
      <c r="V175" s="131"/>
      <c r="W175" s="131"/>
      <c r="X175" s="131"/>
      <c r="Y175" s="131"/>
      <c r="Z175" s="131"/>
    </row>
    <row r="176" customFormat="false" ht="16.5" hidden="false" customHeight="true" outlineLevel="0" collapsed="false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131"/>
      <c r="U176" s="131"/>
      <c r="V176" s="131"/>
      <c r="W176" s="131"/>
      <c r="X176" s="131"/>
      <c r="Y176" s="131"/>
      <c r="Z176" s="131"/>
    </row>
    <row r="177" customFormat="false" ht="16.5" hidden="false" customHeight="true" outlineLevel="0" collapsed="false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131"/>
      <c r="U177" s="131"/>
      <c r="V177" s="131"/>
      <c r="W177" s="131"/>
      <c r="X177" s="131"/>
      <c r="Y177" s="131"/>
      <c r="Z177" s="131"/>
    </row>
    <row r="178" customFormat="false" ht="16.5" hidden="false" customHeight="true" outlineLevel="0" collapsed="false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131"/>
      <c r="U178" s="131"/>
      <c r="V178" s="131"/>
      <c r="W178" s="131"/>
      <c r="X178" s="131"/>
      <c r="Y178" s="131"/>
      <c r="Z178" s="131"/>
    </row>
    <row r="179" customFormat="false" ht="16.5" hidden="false" customHeight="true" outlineLevel="0" collapsed="false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131"/>
      <c r="U179" s="131"/>
      <c r="V179" s="131"/>
      <c r="W179" s="131"/>
      <c r="X179" s="131"/>
      <c r="Y179" s="131"/>
      <c r="Z179" s="131"/>
    </row>
    <row r="180" customFormat="false" ht="16.5" hidden="false" customHeight="true" outlineLevel="0" collapsed="false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131"/>
      <c r="U180" s="131"/>
      <c r="V180" s="131"/>
      <c r="W180" s="131"/>
      <c r="X180" s="131"/>
      <c r="Y180" s="131"/>
      <c r="Z180" s="131"/>
    </row>
    <row r="181" customFormat="false" ht="16.5" hidden="false" customHeight="true" outlineLevel="0" collapsed="false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131"/>
      <c r="U181" s="131"/>
      <c r="V181" s="131"/>
      <c r="W181" s="131"/>
      <c r="X181" s="131"/>
      <c r="Y181" s="131"/>
      <c r="Z181" s="131"/>
    </row>
    <row r="182" customFormat="false" ht="16.5" hidden="false" customHeight="true" outlineLevel="0" collapsed="false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131"/>
      <c r="U182" s="131"/>
      <c r="V182" s="131"/>
      <c r="W182" s="131"/>
      <c r="X182" s="131"/>
      <c r="Y182" s="131"/>
      <c r="Z182" s="131"/>
    </row>
    <row r="183" customFormat="false" ht="16.5" hidden="false" customHeight="true" outlineLevel="0" collapsed="false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131"/>
      <c r="U183" s="131"/>
      <c r="V183" s="131"/>
      <c r="W183" s="131"/>
      <c r="X183" s="131"/>
      <c r="Y183" s="131"/>
      <c r="Z183" s="131"/>
    </row>
    <row r="184" customFormat="false" ht="16.5" hidden="false" customHeight="true" outlineLevel="0" collapsed="false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131"/>
      <c r="U184" s="131"/>
      <c r="V184" s="131"/>
      <c r="W184" s="131"/>
      <c r="X184" s="131"/>
      <c r="Y184" s="131"/>
      <c r="Z184" s="131"/>
    </row>
    <row r="185" customFormat="false" ht="16.5" hidden="false" customHeight="true" outlineLevel="0" collapsed="false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131"/>
      <c r="U185" s="131"/>
      <c r="V185" s="131"/>
      <c r="W185" s="131"/>
      <c r="X185" s="131"/>
      <c r="Y185" s="131"/>
      <c r="Z185" s="131"/>
    </row>
    <row r="186" customFormat="false" ht="16.5" hidden="false" customHeight="true" outlineLevel="0" collapsed="false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131"/>
      <c r="U186" s="131"/>
      <c r="V186" s="131"/>
      <c r="W186" s="131"/>
      <c r="X186" s="131"/>
      <c r="Y186" s="131"/>
      <c r="Z186" s="131"/>
    </row>
    <row r="187" customFormat="false" ht="16.5" hidden="false" customHeight="true" outlineLevel="0" collapsed="false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131"/>
      <c r="U187" s="131"/>
      <c r="V187" s="131"/>
      <c r="W187" s="131"/>
      <c r="X187" s="131"/>
      <c r="Y187" s="131"/>
      <c r="Z187" s="131"/>
    </row>
    <row r="188" customFormat="false" ht="16.5" hidden="false" customHeight="true" outlineLevel="0" collapsed="false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131"/>
      <c r="U188" s="131"/>
      <c r="V188" s="131"/>
      <c r="W188" s="131"/>
      <c r="X188" s="131"/>
      <c r="Y188" s="131"/>
      <c r="Z188" s="131"/>
    </row>
    <row r="189" customFormat="false" ht="16.5" hidden="false" customHeight="true" outlineLevel="0" collapsed="false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131"/>
      <c r="U189" s="131"/>
      <c r="V189" s="131"/>
      <c r="W189" s="131"/>
      <c r="X189" s="131"/>
      <c r="Y189" s="131"/>
      <c r="Z189" s="131"/>
    </row>
    <row r="190" customFormat="false" ht="16.5" hidden="false" customHeight="true" outlineLevel="0" collapsed="false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131"/>
      <c r="U190" s="131"/>
      <c r="V190" s="131"/>
      <c r="W190" s="131"/>
      <c r="X190" s="131"/>
      <c r="Y190" s="131"/>
      <c r="Z190" s="131"/>
    </row>
    <row r="191" customFormat="false" ht="16.5" hidden="false" customHeight="true" outlineLevel="0" collapsed="false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131"/>
      <c r="U191" s="131"/>
      <c r="V191" s="131"/>
      <c r="W191" s="131"/>
      <c r="X191" s="131"/>
      <c r="Y191" s="131"/>
      <c r="Z191" s="131"/>
    </row>
    <row r="192" customFormat="false" ht="16.5" hidden="false" customHeight="true" outlineLevel="0" collapsed="false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131"/>
      <c r="U192" s="131"/>
      <c r="V192" s="131"/>
      <c r="W192" s="131"/>
      <c r="X192" s="131"/>
      <c r="Y192" s="131"/>
      <c r="Z192" s="131"/>
    </row>
    <row r="193" customFormat="false" ht="16.5" hidden="false" customHeight="true" outlineLevel="0" collapsed="false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131"/>
      <c r="U193" s="131"/>
      <c r="V193" s="131"/>
      <c r="W193" s="131"/>
      <c r="X193" s="131"/>
      <c r="Y193" s="131"/>
      <c r="Z193" s="131"/>
    </row>
    <row r="194" customFormat="false" ht="16.5" hidden="false" customHeight="true" outlineLevel="0" collapsed="false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131"/>
      <c r="U194" s="131"/>
      <c r="V194" s="131"/>
      <c r="W194" s="131"/>
      <c r="X194" s="131"/>
      <c r="Y194" s="131"/>
      <c r="Z194" s="131"/>
    </row>
    <row r="195" customFormat="false" ht="16.5" hidden="false" customHeight="true" outlineLevel="0" collapsed="false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131"/>
      <c r="U195" s="131"/>
      <c r="V195" s="131"/>
      <c r="W195" s="131"/>
      <c r="X195" s="131"/>
      <c r="Y195" s="131"/>
      <c r="Z195" s="131"/>
    </row>
    <row r="196" customFormat="false" ht="16.5" hidden="false" customHeight="true" outlineLevel="0" collapsed="false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131"/>
      <c r="U196" s="131"/>
      <c r="V196" s="131"/>
      <c r="W196" s="131"/>
      <c r="X196" s="131"/>
      <c r="Y196" s="131"/>
      <c r="Z196" s="131"/>
    </row>
    <row r="197" customFormat="false" ht="16.5" hidden="false" customHeight="true" outlineLevel="0" collapsed="false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131"/>
      <c r="U197" s="131"/>
      <c r="V197" s="131"/>
      <c r="W197" s="131"/>
      <c r="X197" s="131"/>
      <c r="Y197" s="131"/>
      <c r="Z197" s="131"/>
    </row>
    <row r="198" customFormat="false" ht="16.5" hidden="false" customHeight="true" outlineLevel="0" collapsed="false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131"/>
      <c r="U198" s="131"/>
      <c r="V198" s="131"/>
      <c r="W198" s="131"/>
      <c r="X198" s="131"/>
      <c r="Y198" s="131"/>
      <c r="Z198" s="131"/>
    </row>
    <row r="199" customFormat="false" ht="16.5" hidden="false" customHeight="true" outlineLevel="0" collapsed="false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131"/>
      <c r="U199" s="131"/>
      <c r="V199" s="131"/>
      <c r="W199" s="131"/>
      <c r="X199" s="131"/>
      <c r="Y199" s="131"/>
      <c r="Z199" s="131"/>
    </row>
    <row r="200" customFormat="false" ht="16.5" hidden="false" customHeight="true" outlineLevel="0" collapsed="false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131"/>
      <c r="U200" s="131"/>
      <c r="V200" s="131"/>
      <c r="W200" s="131"/>
      <c r="X200" s="131"/>
      <c r="Y200" s="131"/>
      <c r="Z200" s="131"/>
    </row>
    <row r="201" customFormat="false" ht="16.5" hidden="false" customHeight="true" outlineLevel="0" collapsed="false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</row>
    <row r="202" customFormat="false" ht="16.5" hidden="false" customHeight="true" outlineLevel="0" collapsed="false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</row>
    <row r="203" customFormat="false" ht="16.5" hidden="false" customHeight="true" outlineLevel="0" collapsed="false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</row>
    <row r="204" customFormat="false" ht="16.5" hidden="false" customHeight="true" outlineLevel="0" collapsed="false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</row>
    <row r="205" customFormat="false" ht="16.5" hidden="false" customHeight="true" outlineLevel="0" collapsed="false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</row>
    <row r="206" customFormat="false" ht="16.5" hidden="false" customHeight="true" outlineLevel="0" collapsed="false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</row>
    <row r="207" customFormat="false" ht="16.5" hidden="false" customHeight="true" outlineLevel="0" collapsed="false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</row>
    <row r="208" customFormat="false" ht="16.5" hidden="false" customHeight="true" outlineLevel="0" collapsed="false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</row>
    <row r="209" customFormat="false" ht="16.5" hidden="false" customHeight="true" outlineLevel="0" collapsed="false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</row>
    <row r="210" customFormat="false" ht="16.5" hidden="false" customHeight="true" outlineLevel="0" collapsed="false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</row>
    <row r="211" customFormat="false" ht="16.5" hidden="false" customHeight="true" outlineLevel="0" collapsed="false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</row>
    <row r="212" customFormat="false" ht="16.5" hidden="false" customHeight="true" outlineLevel="0" collapsed="false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</row>
    <row r="213" customFormat="false" ht="16.5" hidden="false" customHeight="true" outlineLevel="0" collapsed="false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</row>
    <row r="214" customFormat="false" ht="16.5" hidden="false" customHeight="true" outlineLevel="0" collapsed="false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</row>
    <row r="215" customFormat="false" ht="16.5" hidden="false" customHeight="true" outlineLevel="0" collapsed="false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</row>
    <row r="216" customFormat="false" ht="16.5" hidden="false" customHeight="true" outlineLevel="0" collapsed="false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</row>
    <row r="217" customFormat="false" ht="16.5" hidden="false" customHeight="true" outlineLevel="0" collapsed="false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</row>
    <row r="218" customFormat="false" ht="16.5" hidden="false" customHeight="true" outlineLevel="0" collapsed="false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</row>
    <row r="219" customFormat="false" ht="16.5" hidden="false" customHeight="true" outlineLevel="0" collapsed="false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</row>
    <row r="220" customFormat="false" ht="16.5" hidden="false" customHeight="true" outlineLevel="0" collapsed="false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</row>
    <row r="221" customFormat="false" ht="16.5" hidden="false" customHeight="true" outlineLevel="0" collapsed="false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</row>
    <row r="222" customFormat="false" ht="16.5" hidden="false" customHeight="true" outlineLevel="0" collapsed="false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</row>
    <row r="223" customFormat="false" ht="16.5" hidden="false" customHeight="true" outlineLevel="0" collapsed="false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</row>
    <row r="224" customFormat="false" ht="16.5" hidden="false" customHeight="true" outlineLevel="0" collapsed="false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</row>
    <row r="225" customFormat="false" ht="16.5" hidden="false" customHeight="true" outlineLevel="0" collapsed="false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</row>
    <row r="226" customFormat="false" ht="16.5" hidden="false" customHeight="true" outlineLevel="0" collapsed="false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</row>
    <row r="227" customFormat="false" ht="16.5" hidden="false" customHeight="true" outlineLevel="0" collapsed="false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</row>
    <row r="228" customFormat="false" ht="16.5" hidden="false" customHeight="true" outlineLevel="0" collapsed="false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</row>
    <row r="229" customFormat="false" ht="16.5" hidden="false" customHeight="true" outlineLevel="0" collapsed="false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</row>
    <row r="230" customFormat="false" ht="16.5" hidden="false" customHeight="true" outlineLevel="0" collapsed="false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</row>
    <row r="231" customFormat="false" ht="16.5" hidden="false" customHeight="true" outlineLevel="0" collapsed="false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</row>
    <row r="232" customFormat="false" ht="16.5" hidden="false" customHeight="true" outlineLevel="0" collapsed="false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</row>
    <row r="233" customFormat="false" ht="16.5" hidden="false" customHeight="true" outlineLevel="0" collapsed="false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</row>
    <row r="234" customFormat="false" ht="16.5" hidden="false" customHeight="true" outlineLevel="0" collapsed="false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</row>
    <row r="235" customFormat="false" ht="16.5" hidden="false" customHeight="true" outlineLevel="0" collapsed="false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</row>
    <row r="236" customFormat="false" ht="16.5" hidden="false" customHeight="true" outlineLevel="0" collapsed="false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</row>
    <row r="237" customFormat="false" ht="16.5" hidden="false" customHeight="true" outlineLevel="0" collapsed="false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</row>
    <row r="238" customFormat="false" ht="16.5" hidden="false" customHeight="true" outlineLevel="0" collapsed="false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</row>
    <row r="239" customFormat="false" ht="16.5" hidden="false" customHeight="true" outlineLevel="0" collapsed="false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</row>
    <row r="240" customFormat="false" ht="16.5" hidden="false" customHeight="true" outlineLevel="0" collapsed="false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</row>
    <row r="241" customFormat="false" ht="16.5" hidden="false" customHeight="true" outlineLevel="0" collapsed="false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</row>
    <row r="242" customFormat="false" ht="16.5" hidden="false" customHeight="true" outlineLevel="0" collapsed="false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</row>
    <row r="243" customFormat="false" ht="16.5" hidden="false" customHeight="true" outlineLevel="0" collapsed="false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</row>
    <row r="244" customFormat="false" ht="16.5" hidden="false" customHeight="true" outlineLevel="0" collapsed="false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</row>
    <row r="245" customFormat="false" ht="16.5" hidden="false" customHeight="true" outlineLevel="0" collapsed="false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</row>
    <row r="246" customFormat="false" ht="16.5" hidden="false" customHeight="true" outlineLevel="0" collapsed="false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</row>
    <row r="247" customFormat="false" ht="16.5" hidden="false" customHeight="true" outlineLevel="0" collapsed="false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</row>
    <row r="248" customFormat="false" ht="16.5" hidden="false" customHeight="true" outlineLevel="0" collapsed="false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</row>
    <row r="249" customFormat="false" ht="16.5" hidden="false" customHeight="true" outlineLevel="0" collapsed="false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</row>
    <row r="250" customFormat="false" ht="16.5" hidden="false" customHeight="true" outlineLevel="0" collapsed="false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</row>
    <row r="251" customFormat="false" ht="16.5" hidden="false" customHeight="true" outlineLevel="0" collapsed="false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</row>
    <row r="252" customFormat="false" ht="16.5" hidden="false" customHeight="true" outlineLevel="0" collapsed="false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</row>
    <row r="253" customFormat="false" ht="16.5" hidden="false" customHeight="true" outlineLevel="0" collapsed="false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</row>
    <row r="254" customFormat="false" ht="16.5" hidden="false" customHeight="true" outlineLevel="0" collapsed="false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</row>
    <row r="255" customFormat="false" ht="16.5" hidden="false" customHeight="true" outlineLevel="0" collapsed="false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</row>
    <row r="256" customFormat="false" ht="16.5" hidden="false" customHeight="true" outlineLevel="0" collapsed="false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</row>
    <row r="257" customFormat="false" ht="16.5" hidden="false" customHeight="true" outlineLevel="0" collapsed="false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</row>
    <row r="258" customFormat="false" ht="16.5" hidden="false" customHeight="true" outlineLevel="0" collapsed="false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</row>
    <row r="259" customFormat="false" ht="16.5" hidden="false" customHeight="true" outlineLevel="0" collapsed="false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</row>
    <row r="260" customFormat="false" ht="16.5" hidden="false" customHeight="true" outlineLevel="0" collapsed="false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</row>
    <row r="261" customFormat="false" ht="16.5" hidden="false" customHeight="true" outlineLevel="0" collapsed="false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</row>
    <row r="262" customFormat="false" ht="16.5" hidden="false" customHeight="true" outlineLevel="0" collapsed="false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</row>
    <row r="263" customFormat="false" ht="16.5" hidden="false" customHeight="true" outlineLevel="0" collapsed="false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</row>
    <row r="264" customFormat="false" ht="16.5" hidden="false" customHeight="true" outlineLevel="0" collapsed="false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</row>
    <row r="265" customFormat="false" ht="16.5" hidden="false" customHeight="true" outlineLevel="0" collapsed="false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</row>
    <row r="266" customFormat="false" ht="16.5" hidden="false" customHeight="true" outlineLevel="0" collapsed="false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</row>
    <row r="267" customFormat="false" ht="16.5" hidden="false" customHeight="true" outlineLevel="0" collapsed="false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</row>
    <row r="268" customFormat="false" ht="16.5" hidden="false" customHeight="true" outlineLevel="0" collapsed="false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</row>
    <row r="269" customFormat="false" ht="16.5" hidden="false" customHeight="true" outlineLevel="0" collapsed="false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</row>
    <row r="270" customFormat="false" ht="16.5" hidden="false" customHeight="true" outlineLevel="0" collapsed="false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</row>
    <row r="271" customFormat="false" ht="16.5" hidden="false" customHeight="true" outlineLevel="0" collapsed="false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</row>
    <row r="272" customFormat="false" ht="16.5" hidden="false" customHeight="true" outlineLevel="0" collapsed="false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</row>
    <row r="273" customFormat="false" ht="16.5" hidden="false" customHeight="true" outlineLevel="0" collapsed="false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</row>
    <row r="274" customFormat="false" ht="16.5" hidden="false" customHeight="true" outlineLevel="0" collapsed="false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</row>
    <row r="275" customFormat="false" ht="16.5" hidden="false" customHeight="true" outlineLevel="0" collapsed="false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</row>
    <row r="276" customFormat="false" ht="16.5" hidden="false" customHeight="true" outlineLevel="0" collapsed="false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</row>
    <row r="277" customFormat="false" ht="16.5" hidden="false" customHeight="true" outlineLevel="0" collapsed="false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</row>
    <row r="278" customFormat="false" ht="16.5" hidden="false" customHeight="true" outlineLevel="0" collapsed="false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</row>
    <row r="279" customFormat="false" ht="16.5" hidden="false" customHeight="true" outlineLevel="0" collapsed="false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</row>
    <row r="280" customFormat="false" ht="16.5" hidden="false" customHeight="true" outlineLevel="0" collapsed="false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</row>
    <row r="281" customFormat="false" ht="16.5" hidden="false" customHeight="true" outlineLevel="0" collapsed="false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</row>
    <row r="282" customFormat="false" ht="16.5" hidden="false" customHeight="true" outlineLevel="0" collapsed="false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</row>
    <row r="283" customFormat="false" ht="16.5" hidden="false" customHeight="true" outlineLevel="0" collapsed="false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</row>
    <row r="284" customFormat="false" ht="16.5" hidden="false" customHeight="true" outlineLevel="0" collapsed="false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</row>
    <row r="285" customFormat="false" ht="16.5" hidden="false" customHeight="true" outlineLevel="0" collapsed="false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</row>
    <row r="286" customFormat="false" ht="16.5" hidden="false" customHeight="true" outlineLevel="0" collapsed="false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</row>
    <row r="287" customFormat="false" ht="16.5" hidden="false" customHeight="true" outlineLevel="0" collapsed="false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</row>
    <row r="288" customFormat="false" ht="16.5" hidden="false" customHeight="true" outlineLevel="0" collapsed="false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</row>
    <row r="289" customFormat="false" ht="16.5" hidden="false" customHeight="true" outlineLevel="0" collapsed="false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</row>
    <row r="290" customFormat="false" ht="16.5" hidden="false" customHeight="true" outlineLevel="0" collapsed="false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</row>
    <row r="291" customFormat="false" ht="16.5" hidden="false" customHeight="true" outlineLevel="0" collapsed="false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</row>
    <row r="292" customFormat="false" ht="16.5" hidden="false" customHeight="true" outlineLevel="0" collapsed="false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</row>
    <row r="293" customFormat="false" ht="16.5" hidden="false" customHeight="true" outlineLevel="0" collapsed="false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</row>
    <row r="294" customFormat="false" ht="16.5" hidden="false" customHeight="true" outlineLevel="0" collapsed="false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</row>
    <row r="295" customFormat="false" ht="16.5" hidden="false" customHeight="true" outlineLevel="0" collapsed="false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</row>
    <row r="296" customFormat="false" ht="16.5" hidden="false" customHeight="true" outlineLevel="0" collapsed="false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</row>
    <row r="297" customFormat="false" ht="16.5" hidden="false" customHeight="true" outlineLevel="0" collapsed="false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</row>
    <row r="298" customFormat="false" ht="16.5" hidden="false" customHeight="true" outlineLevel="0" collapsed="false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</row>
    <row r="299" customFormat="false" ht="16.5" hidden="false" customHeight="true" outlineLevel="0" collapsed="false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</row>
    <row r="300" customFormat="false" ht="16.5" hidden="false" customHeight="true" outlineLevel="0" collapsed="false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</row>
    <row r="301" customFormat="false" ht="16.5" hidden="false" customHeight="true" outlineLevel="0" collapsed="false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</row>
    <row r="302" customFormat="false" ht="16.5" hidden="false" customHeight="true" outlineLevel="0" collapsed="false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</row>
    <row r="303" customFormat="false" ht="16.5" hidden="false" customHeight="true" outlineLevel="0" collapsed="false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</row>
    <row r="304" customFormat="false" ht="16.5" hidden="false" customHeight="true" outlineLevel="0" collapsed="false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</row>
    <row r="305" customFormat="false" ht="16.5" hidden="false" customHeight="true" outlineLevel="0" collapsed="false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</row>
    <row r="306" customFormat="false" ht="16.5" hidden="false" customHeight="true" outlineLevel="0" collapsed="false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</row>
    <row r="307" customFormat="false" ht="16.5" hidden="false" customHeight="true" outlineLevel="0" collapsed="false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</row>
    <row r="308" customFormat="false" ht="16.5" hidden="false" customHeight="true" outlineLevel="0" collapsed="false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</row>
    <row r="309" customFormat="false" ht="16.5" hidden="false" customHeight="true" outlineLevel="0" collapsed="false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</row>
    <row r="310" customFormat="false" ht="16.5" hidden="false" customHeight="true" outlineLevel="0" collapsed="false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</row>
    <row r="311" customFormat="false" ht="16.5" hidden="false" customHeight="true" outlineLevel="0" collapsed="false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</row>
    <row r="312" customFormat="false" ht="16.5" hidden="false" customHeight="true" outlineLevel="0" collapsed="false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</row>
    <row r="313" customFormat="false" ht="16.5" hidden="false" customHeight="true" outlineLevel="0" collapsed="false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</row>
    <row r="314" customFormat="false" ht="16.5" hidden="false" customHeight="true" outlineLevel="0" collapsed="false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</row>
    <row r="315" customFormat="false" ht="16.5" hidden="false" customHeight="true" outlineLevel="0" collapsed="false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</row>
    <row r="316" customFormat="false" ht="16.5" hidden="false" customHeight="true" outlineLevel="0" collapsed="false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</row>
    <row r="317" customFormat="false" ht="16.5" hidden="false" customHeight="true" outlineLevel="0" collapsed="false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</row>
    <row r="318" customFormat="false" ht="16.5" hidden="false" customHeight="true" outlineLevel="0" collapsed="false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</row>
    <row r="319" customFormat="false" ht="16.5" hidden="false" customHeight="true" outlineLevel="0" collapsed="false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</row>
    <row r="320" customFormat="false" ht="16.5" hidden="false" customHeight="true" outlineLevel="0" collapsed="false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</row>
    <row r="321" customFormat="false" ht="16.5" hidden="false" customHeight="true" outlineLevel="0" collapsed="false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</row>
    <row r="322" customFormat="false" ht="16.5" hidden="false" customHeight="true" outlineLevel="0" collapsed="false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</row>
    <row r="323" customFormat="false" ht="16.5" hidden="false" customHeight="true" outlineLevel="0" collapsed="false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</row>
    <row r="324" customFormat="false" ht="16.5" hidden="false" customHeight="true" outlineLevel="0" collapsed="false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</row>
    <row r="325" customFormat="false" ht="16.5" hidden="false" customHeight="true" outlineLevel="0" collapsed="false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</row>
    <row r="326" customFormat="false" ht="16.5" hidden="false" customHeight="true" outlineLevel="0" collapsed="false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</row>
    <row r="327" customFormat="false" ht="16.5" hidden="false" customHeight="true" outlineLevel="0" collapsed="false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</row>
    <row r="328" customFormat="false" ht="16.5" hidden="false" customHeight="true" outlineLevel="0" collapsed="false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</row>
    <row r="329" customFormat="false" ht="16.5" hidden="false" customHeight="true" outlineLevel="0" collapsed="false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</row>
    <row r="330" customFormat="false" ht="16.5" hidden="false" customHeight="true" outlineLevel="0" collapsed="false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</row>
    <row r="331" customFormat="false" ht="16.5" hidden="false" customHeight="true" outlineLevel="0" collapsed="false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</row>
    <row r="332" customFormat="false" ht="16.5" hidden="false" customHeight="true" outlineLevel="0" collapsed="false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</row>
    <row r="333" customFormat="false" ht="16.5" hidden="false" customHeight="true" outlineLevel="0" collapsed="false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</row>
    <row r="334" customFormat="false" ht="16.5" hidden="false" customHeight="true" outlineLevel="0" collapsed="false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</row>
    <row r="335" customFormat="false" ht="16.5" hidden="false" customHeight="true" outlineLevel="0" collapsed="false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</row>
    <row r="336" customFormat="false" ht="16.5" hidden="false" customHeight="true" outlineLevel="0" collapsed="false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</row>
    <row r="337" customFormat="false" ht="16.5" hidden="false" customHeight="true" outlineLevel="0" collapsed="false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</row>
    <row r="338" customFormat="false" ht="16.5" hidden="false" customHeight="true" outlineLevel="0" collapsed="false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</row>
    <row r="339" customFormat="false" ht="16.5" hidden="false" customHeight="true" outlineLevel="0" collapsed="false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</row>
    <row r="340" customFormat="false" ht="16.5" hidden="false" customHeight="true" outlineLevel="0" collapsed="false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</row>
    <row r="341" customFormat="false" ht="16.5" hidden="false" customHeight="true" outlineLevel="0" collapsed="false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</row>
    <row r="342" customFormat="false" ht="16.5" hidden="false" customHeight="true" outlineLevel="0" collapsed="false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</row>
    <row r="343" customFormat="false" ht="16.5" hidden="false" customHeight="true" outlineLevel="0" collapsed="false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</row>
    <row r="344" customFormat="false" ht="16.5" hidden="false" customHeight="true" outlineLevel="0" collapsed="false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</row>
    <row r="345" customFormat="false" ht="16.5" hidden="false" customHeight="true" outlineLevel="0" collapsed="false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</row>
    <row r="346" customFormat="false" ht="16.5" hidden="false" customHeight="true" outlineLevel="0" collapsed="false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</row>
    <row r="347" customFormat="false" ht="16.5" hidden="false" customHeight="true" outlineLevel="0" collapsed="false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</row>
    <row r="348" customFormat="false" ht="16.5" hidden="false" customHeight="true" outlineLevel="0" collapsed="false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</row>
    <row r="349" customFormat="false" ht="16.5" hidden="false" customHeight="true" outlineLevel="0" collapsed="false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</row>
    <row r="350" customFormat="false" ht="16.5" hidden="false" customHeight="true" outlineLevel="0" collapsed="false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</row>
    <row r="351" customFormat="false" ht="16.5" hidden="false" customHeight="true" outlineLevel="0" collapsed="false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</row>
    <row r="352" customFormat="false" ht="16.5" hidden="false" customHeight="true" outlineLevel="0" collapsed="false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</row>
    <row r="353" customFormat="false" ht="16.5" hidden="false" customHeight="true" outlineLevel="0" collapsed="false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</row>
    <row r="354" customFormat="false" ht="16.5" hidden="false" customHeight="true" outlineLevel="0" collapsed="false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</row>
    <row r="355" customFormat="false" ht="16.5" hidden="false" customHeight="true" outlineLevel="0" collapsed="false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</row>
    <row r="356" customFormat="false" ht="16.5" hidden="false" customHeight="true" outlineLevel="0" collapsed="false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</row>
    <row r="357" customFormat="false" ht="16.5" hidden="false" customHeight="true" outlineLevel="0" collapsed="false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</row>
    <row r="358" customFormat="false" ht="16.5" hidden="false" customHeight="true" outlineLevel="0" collapsed="false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</row>
    <row r="359" customFormat="false" ht="16.5" hidden="false" customHeight="true" outlineLevel="0" collapsed="false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</row>
    <row r="360" customFormat="false" ht="16.5" hidden="false" customHeight="true" outlineLevel="0" collapsed="false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</row>
    <row r="361" customFormat="false" ht="16.5" hidden="false" customHeight="true" outlineLevel="0" collapsed="false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</row>
    <row r="362" customFormat="false" ht="16.5" hidden="false" customHeight="true" outlineLevel="0" collapsed="false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</row>
    <row r="363" customFormat="false" ht="16.5" hidden="false" customHeight="true" outlineLevel="0" collapsed="false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</row>
    <row r="364" customFormat="false" ht="16.5" hidden="false" customHeight="true" outlineLevel="0" collapsed="false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</row>
    <row r="365" customFormat="false" ht="16.5" hidden="false" customHeight="true" outlineLevel="0" collapsed="false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</row>
    <row r="366" customFormat="false" ht="16.5" hidden="false" customHeight="true" outlineLevel="0" collapsed="false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</row>
    <row r="367" customFormat="false" ht="16.5" hidden="false" customHeight="true" outlineLevel="0" collapsed="false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</row>
    <row r="368" customFormat="false" ht="16.5" hidden="false" customHeight="true" outlineLevel="0" collapsed="false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</row>
    <row r="369" customFormat="false" ht="16.5" hidden="false" customHeight="true" outlineLevel="0" collapsed="false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</row>
    <row r="370" customFormat="false" ht="16.5" hidden="false" customHeight="true" outlineLevel="0" collapsed="false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</row>
    <row r="371" customFormat="false" ht="16.5" hidden="false" customHeight="true" outlineLevel="0" collapsed="false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</row>
    <row r="372" customFormat="false" ht="16.5" hidden="false" customHeight="true" outlineLevel="0" collapsed="false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</row>
    <row r="373" customFormat="false" ht="16.5" hidden="false" customHeight="true" outlineLevel="0" collapsed="false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</row>
    <row r="374" customFormat="false" ht="16.5" hidden="false" customHeight="true" outlineLevel="0" collapsed="false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</row>
    <row r="375" customFormat="false" ht="16.5" hidden="false" customHeight="true" outlineLevel="0" collapsed="false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</row>
    <row r="376" customFormat="false" ht="16.5" hidden="false" customHeight="true" outlineLevel="0" collapsed="false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</row>
    <row r="377" customFormat="false" ht="16.5" hidden="false" customHeight="true" outlineLevel="0" collapsed="false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</row>
    <row r="378" customFormat="false" ht="16.5" hidden="false" customHeight="true" outlineLevel="0" collapsed="false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</row>
    <row r="379" customFormat="false" ht="16.5" hidden="false" customHeight="true" outlineLevel="0" collapsed="false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</row>
    <row r="380" customFormat="false" ht="16.5" hidden="false" customHeight="true" outlineLevel="0" collapsed="false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</row>
    <row r="381" customFormat="false" ht="16.5" hidden="false" customHeight="true" outlineLevel="0" collapsed="false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</row>
    <row r="382" customFormat="false" ht="16.5" hidden="false" customHeight="true" outlineLevel="0" collapsed="false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</row>
    <row r="383" customFormat="false" ht="16.5" hidden="false" customHeight="true" outlineLevel="0" collapsed="false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</row>
    <row r="384" customFormat="false" ht="16.5" hidden="false" customHeight="true" outlineLevel="0" collapsed="false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</row>
    <row r="385" customFormat="false" ht="16.5" hidden="false" customHeight="true" outlineLevel="0" collapsed="false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</row>
    <row r="386" customFormat="false" ht="16.5" hidden="false" customHeight="true" outlineLevel="0" collapsed="false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</row>
    <row r="387" customFormat="false" ht="16.5" hidden="false" customHeight="true" outlineLevel="0" collapsed="false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</row>
    <row r="388" customFormat="false" ht="16.5" hidden="false" customHeight="true" outlineLevel="0" collapsed="false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</row>
    <row r="389" customFormat="false" ht="16.5" hidden="false" customHeight="true" outlineLevel="0" collapsed="false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</row>
    <row r="390" customFormat="false" ht="16.5" hidden="false" customHeight="true" outlineLevel="0" collapsed="false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</row>
    <row r="391" customFormat="false" ht="16.5" hidden="false" customHeight="true" outlineLevel="0" collapsed="false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</row>
    <row r="392" customFormat="false" ht="16.5" hidden="false" customHeight="true" outlineLevel="0" collapsed="false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</row>
    <row r="393" customFormat="false" ht="16.5" hidden="false" customHeight="true" outlineLevel="0" collapsed="false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</row>
    <row r="394" customFormat="false" ht="16.5" hidden="false" customHeight="true" outlineLevel="0" collapsed="false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</row>
    <row r="395" customFormat="false" ht="16.5" hidden="false" customHeight="true" outlineLevel="0" collapsed="false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</row>
    <row r="396" customFormat="false" ht="16.5" hidden="false" customHeight="true" outlineLevel="0" collapsed="false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</row>
    <row r="397" customFormat="false" ht="16.5" hidden="false" customHeight="true" outlineLevel="0" collapsed="false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</row>
    <row r="398" customFormat="false" ht="16.5" hidden="false" customHeight="true" outlineLevel="0" collapsed="false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</row>
    <row r="399" customFormat="false" ht="16.5" hidden="false" customHeight="true" outlineLevel="0" collapsed="false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</row>
    <row r="400" customFormat="false" ht="16.5" hidden="false" customHeight="true" outlineLevel="0" collapsed="false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</row>
    <row r="401" customFormat="false" ht="16.5" hidden="false" customHeight="true" outlineLevel="0" collapsed="false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</row>
    <row r="402" customFormat="false" ht="16.5" hidden="false" customHeight="true" outlineLevel="0" collapsed="false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</row>
    <row r="403" customFormat="false" ht="16.5" hidden="false" customHeight="true" outlineLevel="0" collapsed="false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</row>
    <row r="404" customFormat="false" ht="16.5" hidden="false" customHeight="true" outlineLevel="0" collapsed="false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</row>
    <row r="405" customFormat="false" ht="16.5" hidden="false" customHeight="true" outlineLevel="0" collapsed="false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</row>
    <row r="406" customFormat="false" ht="16.5" hidden="false" customHeight="true" outlineLevel="0" collapsed="false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</row>
    <row r="407" customFormat="false" ht="16.5" hidden="false" customHeight="true" outlineLevel="0" collapsed="false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</row>
    <row r="408" customFormat="false" ht="16.5" hidden="false" customHeight="true" outlineLevel="0" collapsed="false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</row>
    <row r="409" customFormat="false" ht="16.5" hidden="false" customHeight="true" outlineLevel="0" collapsed="false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</row>
    <row r="410" customFormat="false" ht="16.5" hidden="false" customHeight="true" outlineLevel="0" collapsed="false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</row>
    <row r="411" customFormat="false" ht="16.5" hidden="false" customHeight="true" outlineLevel="0" collapsed="false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</row>
    <row r="412" customFormat="false" ht="16.5" hidden="false" customHeight="true" outlineLevel="0" collapsed="false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</row>
    <row r="413" customFormat="false" ht="16.5" hidden="false" customHeight="true" outlineLevel="0" collapsed="false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</row>
    <row r="414" customFormat="false" ht="16.5" hidden="false" customHeight="true" outlineLevel="0" collapsed="false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</row>
    <row r="415" customFormat="false" ht="16.5" hidden="false" customHeight="true" outlineLevel="0" collapsed="false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</row>
    <row r="416" customFormat="false" ht="16.5" hidden="false" customHeight="true" outlineLevel="0" collapsed="false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</row>
    <row r="417" customFormat="false" ht="16.5" hidden="false" customHeight="true" outlineLevel="0" collapsed="false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</row>
    <row r="418" customFormat="false" ht="16.5" hidden="false" customHeight="true" outlineLevel="0" collapsed="false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</row>
    <row r="419" customFormat="false" ht="16.5" hidden="false" customHeight="true" outlineLevel="0" collapsed="false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</row>
    <row r="420" customFormat="false" ht="16.5" hidden="false" customHeight="true" outlineLevel="0" collapsed="false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</row>
    <row r="421" customFormat="false" ht="16.5" hidden="false" customHeight="true" outlineLevel="0" collapsed="false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</row>
    <row r="422" customFormat="false" ht="16.5" hidden="false" customHeight="true" outlineLevel="0" collapsed="false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</row>
    <row r="423" customFormat="false" ht="16.5" hidden="false" customHeight="true" outlineLevel="0" collapsed="false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</row>
    <row r="424" customFormat="false" ht="16.5" hidden="false" customHeight="true" outlineLevel="0" collapsed="false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</row>
    <row r="425" customFormat="false" ht="16.5" hidden="false" customHeight="true" outlineLevel="0" collapsed="false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</row>
    <row r="426" customFormat="false" ht="16.5" hidden="false" customHeight="true" outlineLevel="0" collapsed="false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</row>
    <row r="427" customFormat="false" ht="16.5" hidden="false" customHeight="true" outlineLevel="0" collapsed="false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</row>
    <row r="428" customFormat="false" ht="16.5" hidden="false" customHeight="true" outlineLevel="0" collapsed="false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</row>
    <row r="429" customFormat="false" ht="16.5" hidden="false" customHeight="true" outlineLevel="0" collapsed="false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</row>
    <row r="430" customFormat="false" ht="16.5" hidden="false" customHeight="true" outlineLevel="0" collapsed="false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</row>
    <row r="431" customFormat="false" ht="16.5" hidden="false" customHeight="true" outlineLevel="0" collapsed="false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</row>
    <row r="432" customFormat="false" ht="16.5" hidden="false" customHeight="true" outlineLevel="0" collapsed="false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</row>
    <row r="433" customFormat="false" ht="16.5" hidden="false" customHeight="true" outlineLevel="0" collapsed="false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</row>
    <row r="434" customFormat="false" ht="16.5" hidden="false" customHeight="true" outlineLevel="0" collapsed="false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</row>
    <row r="435" customFormat="false" ht="16.5" hidden="false" customHeight="true" outlineLevel="0" collapsed="false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</row>
    <row r="436" customFormat="false" ht="16.5" hidden="false" customHeight="true" outlineLevel="0" collapsed="false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</row>
    <row r="437" customFormat="false" ht="16.5" hidden="false" customHeight="true" outlineLevel="0" collapsed="false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</row>
    <row r="438" customFormat="false" ht="16.5" hidden="false" customHeight="true" outlineLevel="0" collapsed="false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</row>
    <row r="439" customFormat="false" ht="16.5" hidden="false" customHeight="true" outlineLevel="0" collapsed="false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</row>
    <row r="440" customFormat="false" ht="16.5" hidden="false" customHeight="true" outlineLevel="0" collapsed="false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</row>
    <row r="441" customFormat="false" ht="16.5" hidden="false" customHeight="true" outlineLevel="0" collapsed="false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</row>
    <row r="442" customFormat="false" ht="16.5" hidden="false" customHeight="true" outlineLevel="0" collapsed="false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</row>
    <row r="443" customFormat="false" ht="16.5" hidden="false" customHeight="true" outlineLevel="0" collapsed="false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</row>
    <row r="444" customFormat="false" ht="16.5" hidden="false" customHeight="true" outlineLevel="0" collapsed="false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</row>
    <row r="445" customFormat="false" ht="16.5" hidden="false" customHeight="true" outlineLevel="0" collapsed="false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</row>
    <row r="446" customFormat="false" ht="16.5" hidden="false" customHeight="true" outlineLevel="0" collapsed="false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</row>
    <row r="447" customFormat="false" ht="16.5" hidden="false" customHeight="true" outlineLevel="0" collapsed="false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</row>
    <row r="448" customFormat="false" ht="16.5" hidden="false" customHeight="true" outlineLevel="0" collapsed="false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</row>
    <row r="449" customFormat="false" ht="16.5" hidden="false" customHeight="true" outlineLevel="0" collapsed="false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</row>
    <row r="450" customFormat="false" ht="16.5" hidden="false" customHeight="true" outlineLevel="0" collapsed="false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</row>
    <row r="451" customFormat="false" ht="16.5" hidden="false" customHeight="true" outlineLevel="0" collapsed="false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</row>
    <row r="452" customFormat="false" ht="16.5" hidden="false" customHeight="true" outlineLevel="0" collapsed="false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</row>
    <row r="453" customFormat="false" ht="16.5" hidden="false" customHeight="true" outlineLevel="0" collapsed="false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</row>
    <row r="454" customFormat="false" ht="16.5" hidden="false" customHeight="true" outlineLevel="0" collapsed="false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</row>
    <row r="455" customFormat="false" ht="16.5" hidden="false" customHeight="true" outlineLevel="0" collapsed="false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</row>
    <row r="456" customFormat="false" ht="16.5" hidden="false" customHeight="true" outlineLevel="0" collapsed="false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</row>
    <row r="457" customFormat="false" ht="16.5" hidden="false" customHeight="true" outlineLevel="0" collapsed="false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</row>
    <row r="458" customFormat="false" ht="16.5" hidden="false" customHeight="true" outlineLevel="0" collapsed="false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</row>
    <row r="459" customFormat="false" ht="16.5" hidden="false" customHeight="true" outlineLevel="0" collapsed="false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</row>
    <row r="460" customFormat="false" ht="16.5" hidden="false" customHeight="true" outlineLevel="0" collapsed="false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</row>
    <row r="461" customFormat="false" ht="16.5" hidden="false" customHeight="true" outlineLevel="0" collapsed="false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</row>
    <row r="462" customFormat="false" ht="16.5" hidden="false" customHeight="true" outlineLevel="0" collapsed="false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</row>
    <row r="463" customFormat="false" ht="16.5" hidden="false" customHeight="true" outlineLevel="0" collapsed="false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</row>
    <row r="464" customFormat="false" ht="16.5" hidden="false" customHeight="true" outlineLevel="0" collapsed="false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</row>
    <row r="465" customFormat="false" ht="16.5" hidden="false" customHeight="true" outlineLevel="0" collapsed="false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</row>
    <row r="466" customFormat="false" ht="16.5" hidden="false" customHeight="true" outlineLevel="0" collapsed="false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</row>
    <row r="467" customFormat="false" ht="16.5" hidden="false" customHeight="true" outlineLevel="0" collapsed="false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</row>
    <row r="468" customFormat="false" ht="16.5" hidden="false" customHeight="true" outlineLevel="0" collapsed="false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</row>
    <row r="469" customFormat="false" ht="16.5" hidden="false" customHeight="true" outlineLevel="0" collapsed="false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</row>
    <row r="470" customFormat="false" ht="16.5" hidden="false" customHeight="true" outlineLevel="0" collapsed="false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</row>
    <row r="471" customFormat="false" ht="16.5" hidden="false" customHeight="true" outlineLevel="0" collapsed="false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</row>
    <row r="472" customFormat="false" ht="16.5" hidden="false" customHeight="true" outlineLevel="0" collapsed="false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</row>
    <row r="473" customFormat="false" ht="16.5" hidden="false" customHeight="true" outlineLevel="0" collapsed="false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</row>
    <row r="474" customFormat="false" ht="16.5" hidden="false" customHeight="true" outlineLevel="0" collapsed="false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</row>
    <row r="475" customFormat="false" ht="16.5" hidden="false" customHeight="true" outlineLevel="0" collapsed="false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</row>
    <row r="476" customFormat="false" ht="16.5" hidden="false" customHeight="true" outlineLevel="0" collapsed="false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</row>
    <row r="477" customFormat="false" ht="16.5" hidden="false" customHeight="true" outlineLevel="0" collapsed="false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</row>
    <row r="478" customFormat="false" ht="16.5" hidden="false" customHeight="true" outlineLevel="0" collapsed="false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</row>
    <row r="479" customFormat="false" ht="16.5" hidden="false" customHeight="true" outlineLevel="0" collapsed="false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</row>
    <row r="480" customFormat="false" ht="16.5" hidden="false" customHeight="true" outlineLevel="0" collapsed="false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</row>
    <row r="481" customFormat="false" ht="16.5" hidden="false" customHeight="true" outlineLevel="0" collapsed="false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</row>
    <row r="482" customFormat="false" ht="16.5" hidden="false" customHeight="true" outlineLevel="0" collapsed="false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</row>
    <row r="483" customFormat="false" ht="16.5" hidden="false" customHeight="true" outlineLevel="0" collapsed="false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</row>
    <row r="484" customFormat="false" ht="16.5" hidden="false" customHeight="true" outlineLevel="0" collapsed="false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</row>
    <row r="485" customFormat="false" ht="16.5" hidden="false" customHeight="true" outlineLevel="0" collapsed="false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</row>
    <row r="486" customFormat="false" ht="16.5" hidden="false" customHeight="true" outlineLevel="0" collapsed="false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</row>
    <row r="487" customFormat="false" ht="16.5" hidden="false" customHeight="true" outlineLevel="0" collapsed="false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</row>
    <row r="488" customFormat="false" ht="16.5" hidden="false" customHeight="true" outlineLevel="0" collapsed="false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</row>
    <row r="489" customFormat="false" ht="16.5" hidden="false" customHeight="true" outlineLevel="0" collapsed="false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</row>
    <row r="490" customFormat="false" ht="16.5" hidden="false" customHeight="true" outlineLevel="0" collapsed="false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</row>
    <row r="491" customFormat="false" ht="16.5" hidden="false" customHeight="true" outlineLevel="0" collapsed="false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</row>
    <row r="492" customFormat="false" ht="16.5" hidden="false" customHeight="true" outlineLevel="0" collapsed="false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</row>
    <row r="493" customFormat="false" ht="16.5" hidden="false" customHeight="true" outlineLevel="0" collapsed="false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</row>
    <row r="494" customFormat="false" ht="16.5" hidden="false" customHeight="true" outlineLevel="0" collapsed="false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</row>
    <row r="495" customFormat="false" ht="16.5" hidden="false" customHeight="true" outlineLevel="0" collapsed="false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</row>
    <row r="496" customFormat="false" ht="16.5" hidden="false" customHeight="true" outlineLevel="0" collapsed="false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</row>
    <row r="497" customFormat="false" ht="16.5" hidden="false" customHeight="true" outlineLevel="0" collapsed="false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</row>
    <row r="498" customFormat="false" ht="16.5" hidden="false" customHeight="true" outlineLevel="0" collapsed="false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</row>
    <row r="499" customFormat="false" ht="16.5" hidden="false" customHeight="true" outlineLevel="0" collapsed="false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</row>
    <row r="500" customFormat="false" ht="16.5" hidden="false" customHeight="true" outlineLevel="0" collapsed="false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</row>
    <row r="501" customFormat="false" ht="16.5" hidden="false" customHeight="true" outlineLevel="0" collapsed="false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</row>
    <row r="502" customFormat="false" ht="16.5" hidden="false" customHeight="true" outlineLevel="0" collapsed="false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</row>
    <row r="503" customFormat="false" ht="16.5" hidden="false" customHeight="true" outlineLevel="0" collapsed="false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</row>
    <row r="504" customFormat="false" ht="16.5" hidden="false" customHeight="true" outlineLevel="0" collapsed="false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</row>
    <row r="505" customFormat="false" ht="16.5" hidden="false" customHeight="true" outlineLevel="0" collapsed="false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</row>
    <row r="506" customFormat="false" ht="16.5" hidden="false" customHeight="true" outlineLevel="0" collapsed="false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</row>
    <row r="507" customFormat="false" ht="16.5" hidden="false" customHeight="true" outlineLevel="0" collapsed="false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</row>
    <row r="508" customFormat="false" ht="16.5" hidden="false" customHeight="true" outlineLevel="0" collapsed="false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</row>
    <row r="509" customFormat="false" ht="16.5" hidden="false" customHeight="true" outlineLevel="0" collapsed="false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</row>
    <row r="510" customFormat="false" ht="16.5" hidden="false" customHeight="true" outlineLevel="0" collapsed="false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</row>
    <row r="511" customFormat="false" ht="16.5" hidden="false" customHeight="true" outlineLevel="0" collapsed="false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</row>
    <row r="512" customFormat="false" ht="16.5" hidden="false" customHeight="true" outlineLevel="0" collapsed="false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</row>
    <row r="513" customFormat="false" ht="16.5" hidden="false" customHeight="true" outlineLevel="0" collapsed="false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</row>
    <row r="514" customFormat="false" ht="16.5" hidden="false" customHeight="true" outlineLevel="0" collapsed="false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</row>
    <row r="515" customFormat="false" ht="16.5" hidden="false" customHeight="true" outlineLevel="0" collapsed="false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</row>
    <row r="516" customFormat="false" ht="16.5" hidden="false" customHeight="true" outlineLevel="0" collapsed="false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</row>
    <row r="517" customFormat="false" ht="16.5" hidden="false" customHeight="true" outlineLevel="0" collapsed="false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</row>
    <row r="518" customFormat="false" ht="16.5" hidden="false" customHeight="true" outlineLevel="0" collapsed="false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</row>
    <row r="519" customFormat="false" ht="16.5" hidden="false" customHeight="true" outlineLevel="0" collapsed="false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</row>
    <row r="520" customFormat="false" ht="16.5" hidden="false" customHeight="true" outlineLevel="0" collapsed="false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</row>
    <row r="521" customFormat="false" ht="16.5" hidden="false" customHeight="true" outlineLevel="0" collapsed="false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</row>
    <row r="522" customFormat="false" ht="16.5" hidden="false" customHeight="true" outlineLevel="0" collapsed="false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</row>
    <row r="523" customFormat="false" ht="16.5" hidden="false" customHeight="true" outlineLevel="0" collapsed="false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</row>
    <row r="524" customFormat="false" ht="16.5" hidden="false" customHeight="true" outlineLevel="0" collapsed="false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</row>
    <row r="525" customFormat="false" ht="16.5" hidden="false" customHeight="true" outlineLevel="0" collapsed="false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</row>
    <row r="526" customFormat="false" ht="16.5" hidden="false" customHeight="true" outlineLevel="0" collapsed="false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</row>
    <row r="527" customFormat="false" ht="16.5" hidden="false" customHeight="true" outlineLevel="0" collapsed="false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</row>
    <row r="528" customFormat="false" ht="16.5" hidden="false" customHeight="true" outlineLevel="0" collapsed="false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</row>
    <row r="529" customFormat="false" ht="16.5" hidden="false" customHeight="true" outlineLevel="0" collapsed="false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</row>
    <row r="530" customFormat="false" ht="16.5" hidden="false" customHeight="true" outlineLevel="0" collapsed="false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</row>
    <row r="531" customFormat="false" ht="16.5" hidden="false" customHeight="true" outlineLevel="0" collapsed="false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</row>
    <row r="532" customFormat="false" ht="16.5" hidden="false" customHeight="true" outlineLevel="0" collapsed="false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</row>
    <row r="533" customFormat="false" ht="16.5" hidden="false" customHeight="true" outlineLevel="0" collapsed="false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</row>
    <row r="534" customFormat="false" ht="16.5" hidden="false" customHeight="true" outlineLevel="0" collapsed="false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</row>
    <row r="535" customFormat="false" ht="16.5" hidden="false" customHeight="true" outlineLevel="0" collapsed="false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</row>
    <row r="536" customFormat="false" ht="16.5" hidden="false" customHeight="true" outlineLevel="0" collapsed="false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</row>
    <row r="537" customFormat="false" ht="16.5" hidden="false" customHeight="true" outlineLevel="0" collapsed="false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</row>
    <row r="538" customFormat="false" ht="16.5" hidden="false" customHeight="true" outlineLevel="0" collapsed="false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</row>
    <row r="539" customFormat="false" ht="16.5" hidden="false" customHeight="true" outlineLevel="0" collapsed="false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</row>
    <row r="540" customFormat="false" ht="16.5" hidden="false" customHeight="true" outlineLevel="0" collapsed="false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</row>
    <row r="541" customFormat="false" ht="16.5" hidden="false" customHeight="true" outlineLevel="0" collapsed="false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</row>
    <row r="542" customFormat="false" ht="16.5" hidden="false" customHeight="true" outlineLevel="0" collapsed="false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</row>
    <row r="543" customFormat="false" ht="16.5" hidden="false" customHeight="true" outlineLevel="0" collapsed="false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</row>
    <row r="544" customFormat="false" ht="16.5" hidden="false" customHeight="true" outlineLevel="0" collapsed="false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</row>
    <row r="545" customFormat="false" ht="16.5" hidden="false" customHeight="true" outlineLevel="0" collapsed="false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</row>
    <row r="546" customFormat="false" ht="16.5" hidden="false" customHeight="true" outlineLevel="0" collapsed="false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</row>
    <row r="547" customFormat="false" ht="16.5" hidden="false" customHeight="true" outlineLevel="0" collapsed="false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</row>
    <row r="548" customFormat="false" ht="16.5" hidden="false" customHeight="true" outlineLevel="0" collapsed="false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</row>
    <row r="549" customFormat="false" ht="16.5" hidden="false" customHeight="true" outlineLevel="0" collapsed="false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</row>
    <row r="550" customFormat="false" ht="16.5" hidden="false" customHeight="true" outlineLevel="0" collapsed="false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</row>
    <row r="551" customFormat="false" ht="16.5" hidden="false" customHeight="true" outlineLevel="0" collapsed="false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</row>
    <row r="552" customFormat="false" ht="16.5" hidden="false" customHeight="true" outlineLevel="0" collapsed="false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</row>
    <row r="553" customFormat="false" ht="16.5" hidden="false" customHeight="true" outlineLevel="0" collapsed="false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</row>
    <row r="554" customFormat="false" ht="16.5" hidden="false" customHeight="true" outlineLevel="0" collapsed="false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</row>
    <row r="555" customFormat="false" ht="16.5" hidden="false" customHeight="true" outlineLevel="0" collapsed="false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</row>
    <row r="556" customFormat="false" ht="16.5" hidden="false" customHeight="true" outlineLevel="0" collapsed="false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</row>
    <row r="557" customFormat="false" ht="16.5" hidden="false" customHeight="true" outlineLevel="0" collapsed="false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</row>
    <row r="558" customFormat="false" ht="16.5" hidden="false" customHeight="true" outlineLevel="0" collapsed="false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</row>
    <row r="559" customFormat="false" ht="16.5" hidden="false" customHeight="true" outlineLevel="0" collapsed="false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</row>
    <row r="560" customFormat="false" ht="16.5" hidden="false" customHeight="true" outlineLevel="0" collapsed="false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</row>
    <row r="561" customFormat="false" ht="16.5" hidden="false" customHeight="true" outlineLevel="0" collapsed="false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</row>
    <row r="562" customFormat="false" ht="16.5" hidden="false" customHeight="true" outlineLevel="0" collapsed="false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</row>
    <row r="563" customFormat="false" ht="16.5" hidden="false" customHeight="true" outlineLevel="0" collapsed="false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</row>
    <row r="564" customFormat="false" ht="16.5" hidden="false" customHeight="true" outlineLevel="0" collapsed="false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</row>
    <row r="565" customFormat="false" ht="16.5" hidden="false" customHeight="true" outlineLevel="0" collapsed="false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</row>
    <row r="566" customFormat="false" ht="16.5" hidden="false" customHeight="true" outlineLevel="0" collapsed="false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</row>
    <row r="567" customFormat="false" ht="16.5" hidden="false" customHeight="true" outlineLevel="0" collapsed="false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</row>
    <row r="568" customFormat="false" ht="16.5" hidden="false" customHeight="true" outlineLevel="0" collapsed="false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</row>
    <row r="569" customFormat="false" ht="16.5" hidden="false" customHeight="true" outlineLevel="0" collapsed="false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</row>
    <row r="570" customFormat="false" ht="16.5" hidden="false" customHeight="true" outlineLevel="0" collapsed="false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</row>
    <row r="571" customFormat="false" ht="16.5" hidden="false" customHeight="true" outlineLevel="0" collapsed="false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</row>
    <row r="572" customFormat="false" ht="16.5" hidden="false" customHeight="true" outlineLevel="0" collapsed="false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</row>
    <row r="573" customFormat="false" ht="16.5" hidden="false" customHeight="true" outlineLevel="0" collapsed="false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</row>
    <row r="574" customFormat="false" ht="16.5" hidden="false" customHeight="true" outlineLevel="0" collapsed="false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</row>
    <row r="575" customFormat="false" ht="16.5" hidden="false" customHeight="true" outlineLevel="0" collapsed="false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</row>
    <row r="576" customFormat="false" ht="16.5" hidden="false" customHeight="true" outlineLevel="0" collapsed="false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</row>
    <row r="577" customFormat="false" ht="16.5" hidden="false" customHeight="true" outlineLevel="0" collapsed="false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</row>
    <row r="578" customFormat="false" ht="16.5" hidden="false" customHeight="true" outlineLevel="0" collapsed="false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</row>
    <row r="579" customFormat="false" ht="16.5" hidden="false" customHeight="true" outlineLevel="0" collapsed="false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</row>
    <row r="580" customFormat="false" ht="16.5" hidden="false" customHeight="true" outlineLevel="0" collapsed="false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</row>
    <row r="581" customFormat="false" ht="16.5" hidden="false" customHeight="true" outlineLevel="0" collapsed="false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</row>
    <row r="582" customFormat="false" ht="16.5" hidden="false" customHeight="true" outlineLevel="0" collapsed="false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</row>
    <row r="583" customFormat="false" ht="16.5" hidden="false" customHeight="true" outlineLevel="0" collapsed="false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</row>
    <row r="584" customFormat="false" ht="16.5" hidden="false" customHeight="true" outlineLevel="0" collapsed="false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</row>
    <row r="585" customFormat="false" ht="16.5" hidden="false" customHeight="true" outlineLevel="0" collapsed="false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</row>
    <row r="586" customFormat="false" ht="16.5" hidden="false" customHeight="true" outlineLevel="0" collapsed="false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</row>
    <row r="587" customFormat="false" ht="16.5" hidden="false" customHeight="true" outlineLevel="0" collapsed="false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</row>
    <row r="588" customFormat="false" ht="16.5" hidden="false" customHeight="true" outlineLevel="0" collapsed="false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</row>
    <row r="589" customFormat="false" ht="16.5" hidden="false" customHeight="true" outlineLevel="0" collapsed="false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</row>
    <row r="590" customFormat="false" ht="16.5" hidden="false" customHeight="true" outlineLevel="0" collapsed="false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</row>
    <row r="591" customFormat="false" ht="16.5" hidden="false" customHeight="true" outlineLevel="0" collapsed="false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</row>
    <row r="592" customFormat="false" ht="16.5" hidden="false" customHeight="true" outlineLevel="0" collapsed="false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</row>
    <row r="593" customFormat="false" ht="16.5" hidden="false" customHeight="true" outlineLevel="0" collapsed="false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</row>
    <row r="594" customFormat="false" ht="16.5" hidden="false" customHeight="true" outlineLevel="0" collapsed="false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</row>
    <row r="595" customFormat="false" ht="16.5" hidden="false" customHeight="true" outlineLevel="0" collapsed="false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</row>
    <row r="596" customFormat="false" ht="16.5" hidden="false" customHeight="true" outlineLevel="0" collapsed="false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</row>
    <row r="597" customFormat="false" ht="16.5" hidden="false" customHeight="true" outlineLevel="0" collapsed="false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</row>
    <row r="598" customFormat="false" ht="16.5" hidden="false" customHeight="true" outlineLevel="0" collapsed="false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</row>
    <row r="599" customFormat="false" ht="16.5" hidden="false" customHeight="true" outlineLevel="0" collapsed="false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</row>
    <row r="600" customFormat="false" ht="16.5" hidden="false" customHeight="true" outlineLevel="0" collapsed="false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</row>
    <row r="601" customFormat="false" ht="16.5" hidden="false" customHeight="true" outlineLevel="0" collapsed="false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</row>
    <row r="602" customFormat="false" ht="16.5" hidden="false" customHeight="true" outlineLevel="0" collapsed="false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</row>
    <row r="603" customFormat="false" ht="16.5" hidden="false" customHeight="true" outlineLevel="0" collapsed="false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</row>
    <row r="604" customFormat="false" ht="16.5" hidden="false" customHeight="true" outlineLevel="0" collapsed="false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</row>
    <row r="605" customFormat="false" ht="16.5" hidden="false" customHeight="true" outlineLevel="0" collapsed="false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</row>
    <row r="606" customFormat="false" ht="16.5" hidden="false" customHeight="true" outlineLevel="0" collapsed="false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</row>
    <row r="607" customFormat="false" ht="16.5" hidden="false" customHeight="true" outlineLevel="0" collapsed="false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</row>
    <row r="608" customFormat="false" ht="16.5" hidden="false" customHeight="true" outlineLevel="0" collapsed="false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</row>
    <row r="609" customFormat="false" ht="16.5" hidden="false" customHeight="true" outlineLevel="0" collapsed="false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</row>
    <row r="610" customFormat="false" ht="16.5" hidden="false" customHeight="true" outlineLevel="0" collapsed="false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</row>
    <row r="611" customFormat="false" ht="16.5" hidden="false" customHeight="true" outlineLevel="0" collapsed="false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</row>
    <row r="612" customFormat="false" ht="16.5" hidden="false" customHeight="true" outlineLevel="0" collapsed="false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</row>
    <row r="613" customFormat="false" ht="16.5" hidden="false" customHeight="true" outlineLevel="0" collapsed="false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</row>
    <row r="614" customFormat="false" ht="16.5" hidden="false" customHeight="true" outlineLevel="0" collapsed="false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</row>
    <row r="615" customFormat="false" ht="16.5" hidden="false" customHeight="true" outlineLevel="0" collapsed="false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</row>
    <row r="616" customFormat="false" ht="16.5" hidden="false" customHeight="true" outlineLevel="0" collapsed="false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</row>
    <row r="617" customFormat="false" ht="16.5" hidden="false" customHeight="true" outlineLevel="0" collapsed="false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</row>
    <row r="618" customFormat="false" ht="16.5" hidden="false" customHeight="true" outlineLevel="0" collapsed="false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</row>
    <row r="619" customFormat="false" ht="16.5" hidden="false" customHeight="true" outlineLevel="0" collapsed="false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</row>
    <row r="620" customFormat="false" ht="16.5" hidden="false" customHeight="true" outlineLevel="0" collapsed="false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</row>
    <row r="621" customFormat="false" ht="16.5" hidden="false" customHeight="true" outlineLevel="0" collapsed="false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</row>
    <row r="622" customFormat="false" ht="16.5" hidden="false" customHeight="true" outlineLevel="0" collapsed="false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</row>
    <row r="623" customFormat="false" ht="16.5" hidden="false" customHeight="true" outlineLevel="0" collapsed="false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</row>
    <row r="624" customFormat="false" ht="16.5" hidden="false" customHeight="true" outlineLevel="0" collapsed="false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</row>
    <row r="625" customFormat="false" ht="16.5" hidden="false" customHeight="true" outlineLevel="0" collapsed="false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</row>
    <row r="626" customFormat="false" ht="16.5" hidden="false" customHeight="true" outlineLevel="0" collapsed="false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</row>
    <row r="627" customFormat="false" ht="16.5" hidden="false" customHeight="true" outlineLevel="0" collapsed="false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</row>
    <row r="628" customFormat="false" ht="16.5" hidden="false" customHeight="true" outlineLevel="0" collapsed="false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</row>
    <row r="629" customFormat="false" ht="16.5" hidden="false" customHeight="true" outlineLevel="0" collapsed="false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</row>
    <row r="630" customFormat="false" ht="16.5" hidden="false" customHeight="true" outlineLevel="0" collapsed="false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</row>
    <row r="631" customFormat="false" ht="16.5" hidden="false" customHeight="true" outlineLevel="0" collapsed="false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</row>
    <row r="632" customFormat="false" ht="16.5" hidden="false" customHeight="true" outlineLevel="0" collapsed="false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</row>
    <row r="633" customFormat="false" ht="16.5" hidden="false" customHeight="true" outlineLevel="0" collapsed="false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</row>
    <row r="634" customFormat="false" ht="16.5" hidden="false" customHeight="true" outlineLevel="0" collapsed="false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</row>
    <row r="635" customFormat="false" ht="16.5" hidden="false" customHeight="true" outlineLevel="0" collapsed="false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</row>
    <row r="636" customFormat="false" ht="16.5" hidden="false" customHeight="true" outlineLevel="0" collapsed="false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</row>
    <row r="637" customFormat="false" ht="16.5" hidden="false" customHeight="true" outlineLevel="0" collapsed="false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</row>
    <row r="638" customFormat="false" ht="16.5" hidden="false" customHeight="true" outlineLevel="0" collapsed="false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</row>
    <row r="639" customFormat="false" ht="16.5" hidden="false" customHeight="true" outlineLevel="0" collapsed="false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</row>
    <row r="640" customFormat="false" ht="16.5" hidden="false" customHeight="true" outlineLevel="0" collapsed="false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</row>
    <row r="641" customFormat="false" ht="16.5" hidden="false" customHeight="true" outlineLevel="0" collapsed="false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</row>
    <row r="642" customFormat="false" ht="16.5" hidden="false" customHeight="true" outlineLevel="0" collapsed="false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</row>
    <row r="643" customFormat="false" ht="16.5" hidden="false" customHeight="true" outlineLevel="0" collapsed="false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</row>
    <row r="644" customFormat="false" ht="16.5" hidden="false" customHeight="true" outlineLevel="0" collapsed="false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</row>
    <row r="645" customFormat="false" ht="16.5" hidden="false" customHeight="true" outlineLevel="0" collapsed="false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</row>
    <row r="646" customFormat="false" ht="16.5" hidden="false" customHeight="true" outlineLevel="0" collapsed="false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</row>
    <row r="647" customFormat="false" ht="16.5" hidden="false" customHeight="true" outlineLevel="0" collapsed="false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</row>
    <row r="648" customFormat="false" ht="16.5" hidden="false" customHeight="true" outlineLevel="0" collapsed="false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</row>
    <row r="649" customFormat="false" ht="16.5" hidden="false" customHeight="true" outlineLevel="0" collapsed="false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</row>
    <row r="650" customFormat="false" ht="16.5" hidden="false" customHeight="true" outlineLevel="0" collapsed="false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</row>
    <row r="651" customFormat="false" ht="16.5" hidden="false" customHeight="true" outlineLevel="0" collapsed="false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</row>
    <row r="652" customFormat="false" ht="16.5" hidden="false" customHeight="true" outlineLevel="0" collapsed="false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</row>
    <row r="653" customFormat="false" ht="16.5" hidden="false" customHeight="true" outlineLevel="0" collapsed="false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</row>
    <row r="654" customFormat="false" ht="16.5" hidden="false" customHeight="true" outlineLevel="0" collapsed="false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</row>
    <row r="655" customFormat="false" ht="16.5" hidden="false" customHeight="true" outlineLevel="0" collapsed="false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</row>
    <row r="656" customFormat="false" ht="16.5" hidden="false" customHeight="true" outlineLevel="0" collapsed="false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</row>
    <row r="657" customFormat="false" ht="16.5" hidden="false" customHeight="true" outlineLevel="0" collapsed="false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</row>
    <row r="658" customFormat="false" ht="16.5" hidden="false" customHeight="true" outlineLevel="0" collapsed="false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</row>
    <row r="659" customFormat="false" ht="16.5" hidden="false" customHeight="true" outlineLevel="0" collapsed="false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</row>
    <row r="660" customFormat="false" ht="16.5" hidden="false" customHeight="true" outlineLevel="0" collapsed="false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</row>
    <row r="661" customFormat="false" ht="16.5" hidden="false" customHeight="true" outlineLevel="0" collapsed="false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</row>
    <row r="662" customFormat="false" ht="16.5" hidden="false" customHeight="true" outlineLevel="0" collapsed="false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</row>
    <row r="663" customFormat="false" ht="16.5" hidden="false" customHeight="true" outlineLevel="0" collapsed="false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</row>
    <row r="664" customFormat="false" ht="16.5" hidden="false" customHeight="true" outlineLevel="0" collapsed="false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</row>
    <row r="665" customFormat="false" ht="16.5" hidden="false" customHeight="true" outlineLevel="0" collapsed="false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</row>
    <row r="666" customFormat="false" ht="16.5" hidden="false" customHeight="true" outlineLevel="0" collapsed="false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</row>
    <row r="667" customFormat="false" ht="16.5" hidden="false" customHeight="true" outlineLevel="0" collapsed="false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</row>
    <row r="668" customFormat="false" ht="16.5" hidden="false" customHeight="true" outlineLevel="0" collapsed="false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</row>
    <row r="669" customFormat="false" ht="16.5" hidden="false" customHeight="true" outlineLevel="0" collapsed="false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</row>
    <row r="670" customFormat="false" ht="16.5" hidden="false" customHeight="true" outlineLevel="0" collapsed="false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</row>
    <row r="671" customFormat="false" ht="16.5" hidden="false" customHeight="true" outlineLevel="0" collapsed="false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</row>
    <row r="672" customFormat="false" ht="16.5" hidden="false" customHeight="true" outlineLevel="0" collapsed="false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</row>
    <row r="673" customFormat="false" ht="16.5" hidden="false" customHeight="true" outlineLevel="0" collapsed="false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</row>
    <row r="674" customFormat="false" ht="16.5" hidden="false" customHeight="true" outlineLevel="0" collapsed="false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</row>
    <row r="675" customFormat="false" ht="16.5" hidden="false" customHeight="true" outlineLevel="0" collapsed="false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</row>
    <row r="676" customFormat="false" ht="16.5" hidden="false" customHeight="true" outlineLevel="0" collapsed="false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</row>
    <row r="677" customFormat="false" ht="16.5" hidden="false" customHeight="true" outlineLevel="0" collapsed="false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</row>
    <row r="678" customFormat="false" ht="16.5" hidden="false" customHeight="true" outlineLevel="0" collapsed="false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</row>
    <row r="679" customFormat="false" ht="16.5" hidden="false" customHeight="true" outlineLevel="0" collapsed="false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</row>
    <row r="680" customFormat="false" ht="16.5" hidden="false" customHeight="true" outlineLevel="0" collapsed="false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</row>
    <row r="681" customFormat="false" ht="16.5" hidden="false" customHeight="true" outlineLevel="0" collapsed="false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</row>
    <row r="682" customFormat="false" ht="16.5" hidden="false" customHeight="true" outlineLevel="0" collapsed="false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</row>
    <row r="683" customFormat="false" ht="16.5" hidden="false" customHeight="true" outlineLevel="0" collapsed="false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</row>
    <row r="684" customFormat="false" ht="16.5" hidden="false" customHeight="true" outlineLevel="0" collapsed="false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</row>
    <row r="685" customFormat="false" ht="16.5" hidden="false" customHeight="true" outlineLevel="0" collapsed="false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</row>
    <row r="686" customFormat="false" ht="16.5" hidden="false" customHeight="true" outlineLevel="0" collapsed="false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</row>
    <row r="687" customFormat="false" ht="16.5" hidden="false" customHeight="true" outlineLevel="0" collapsed="false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</row>
    <row r="688" customFormat="false" ht="16.5" hidden="false" customHeight="true" outlineLevel="0" collapsed="false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</row>
    <row r="689" customFormat="false" ht="16.5" hidden="false" customHeight="true" outlineLevel="0" collapsed="false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</row>
    <row r="690" customFormat="false" ht="16.5" hidden="false" customHeight="true" outlineLevel="0" collapsed="false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</row>
    <row r="691" customFormat="false" ht="16.5" hidden="false" customHeight="true" outlineLevel="0" collapsed="false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</row>
    <row r="692" customFormat="false" ht="16.5" hidden="false" customHeight="true" outlineLevel="0" collapsed="false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</row>
    <row r="693" customFormat="false" ht="16.5" hidden="false" customHeight="true" outlineLevel="0" collapsed="false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</row>
    <row r="694" customFormat="false" ht="16.5" hidden="false" customHeight="true" outlineLevel="0" collapsed="false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</row>
    <row r="695" customFormat="false" ht="16.5" hidden="false" customHeight="true" outlineLevel="0" collapsed="false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</row>
    <row r="696" customFormat="false" ht="16.5" hidden="false" customHeight="true" outlineLevel="0" collapsed="false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</row>
    <row r="697" customFormat="false" ht="16.5" hidden="false" customHeight="true" outlineLevel="0" collapsed="false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</row>
    <row r="698" customFormat="false" ht="16.5" hidden="false" customHeight="true" outlineLevel="0" collapsed="false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</row>
    <row r="699" customFormat="false" ht="16.5" hidden="false" customHeight="true" outlineLevel="0" collapsed="false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</row>
    <row r="700" customFormat="false" ht="16.5" hidden="false" customHeight="true" outlineLevel="0" collapsed="false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</row>
    <row r="701" customFormat="false" ht="16.5" hidden="false" customHeight="true" outlineLevel="0" collapsed="false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</row>
    <row r="702" customFormat="false" ht="16.5" hidden="false" customHeight="true" outlineLevel="0" collapsed="false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</row>
    <row r="703" customFormat="false" ht="16.5" hidden="false" customHeight="true" outlineLevel="0" collapsed="false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</row>
    <row r="704" customFormat="false" ht="16.5" hidden="false" customHeight="true" outlineLevel="0" collapsed="false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</row>
    <row r="705" customFormat="false" ht="16.5" hidden="false" customHeight="true" outlineLevel="0" collapsed="false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</row>
    <row r="706" customFormat="false" ht="16.5" hidden="false" customHeight="true" outlineLevel="0" collapsed="false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</row>
    <row r="707" customFormat="false" ht="16.5" hidden="false" customHeight="true" outlineLevel="0" collapsed="false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</row>
    <row r="708" customFormat="false" ht="16.5" hidden="false" customHeight="true" outlineLevel="0" collapsed="false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</row>
    <row r="709" customFormat="false" ht="16.5" hidden="false" customHeight="true" outlineLevel="0" collapsed="false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</row>
    <row r="710" customFormat="false" ht="16.5" hidden="false" customHeight="true" outlineLevel="0" collapsed="false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</row>
    <row r="711" customFormat="false" ht="16.5" hidden="false" customHeight="true" outlineLevel="0" collapsed="false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</row>
    <row r="712" customFormat="false" ht="16.5" hidden="false" customHeight="true" outlineLevel="0" collapsed="false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</row>
    <row r="713" customFormat="false" ht="16.5" hidden="false" customHeight="true" outlineLevel="0" collapsed="false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</row>
    <row r="714" customFormat="false" ht="16.5" hidden="false" customHeight="true" outlineLevel="0" collapsed="false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</row>
    <row r="715" customFormat="false" ht="16.5" hidden="false" customHeight="true" outlineLevel="0" collapsed="false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</row>
    <row r="716" customFormat="false" ht="16.5" hidden="false" customHeight="true" outlineLevel="0" collapsed="false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</row>
    <row r="717" customFormat="false" ht="16.5" hidden="false" customHeight="true" outlineLevel="0" collapsed="false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</row>
    <row r="718" customFormat="false" ht="16.5" hidden="false" customHeight="true" outlineLevel="0" collapsed="false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</row>
    <row r="719" customFormat="false" ht="16.5" hidden="false" customHeight="true" outlineLevel="0" collapsed="false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</row>
    <row r="720" customFormat="false" ht="16.5" hidden="false" customHeight="true" outlineLevel="0" collapsed="false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</row>
    <row r="721" customFormat="false" ht="16.5" hidden="false" customHeight="true" outlineLevel="0" collapsed="false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</row>
    <row r="722" customFormat="false" ht="16.5" hidden="false" customHeight="true" outlineLevel="0" collapsed="false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</row>
    <row r="723" customFormat="false" ht="16.5" hidden="false" customHeight="true" outlineLevel="0" collapsed="false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</row>
    <row r="724" customFormat="false" ht="16.5" hidden="false" customHeight="true" outlineLevel="0" collapsed="false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</row>
    <row r="725" customFormat="false" ht="16.5" hidden="false" customHeight="true" outlineLevel="0" collapsed="false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</row>
    <row r="726" customFormat="false" ht="16.5" hidden="false" customHeight="true" outlineLevel="0" collapsed="false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</row>
    <row r="727" customFormat="false" ht="16.5" hidden="false" customHeight="true" outlineLevel="0" collapsed="false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</row>
    <row r="728" customFormat="false" ht="16.5" hidden="false" customHeight="true" outlineLevel="0" collapsed="false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</row>
    <row r="729" customFormat="false" ht="16.5" hidden="false" customHeight="true" outlineLevel="0" collapsed="false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</row>
    <row r="730" customFormat="false" ht="16.5" hidden="false" customHeight="true" outlineLevel="0" collapsed="false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</row>
    <row r="731" customFormat="false" ht="16.5" hidden="false" customHeight="true" outlineLevel="0" collapsed="false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</row>
    <row r="732" customFormat="false" ht="16.5" hidden="false" customHeight="true" outlineLevel="0" collapsed="false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</row>
    <row r="733" customFormat="false" ht="16.5" hidden="false" customHeight="true" outlineLevel="0" collapsed="false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</row>
    <row r="734" customFormat="false" ht="16.5" hidden="false" customHeight="true" outlineLevel="0" collapsed="false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</row>
    <row r="735" customFormat="false" ht="16.5" hidden="false" customHeight="true" outlineLevel="0" collapsed="false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</row>
    <row r="736" customFormat="false" ht="16.5" hidden="false" customHeight="true" outlineLevel="0" collapsed="false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</row>
    <row r="737" customFormat="false" ht="16.5" hidden="false" customHeight="true" outlineLevel="0" collapsed="false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</row>
    <row r="738" customFormat="false" ht="16.5" hidden="false" customHeight="true" outlineLevel="0" collapsed="false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</row>
    <row r="739" customFormat="false" ht="16.5" hidden="false" customHeight="true" outlineLevel="0" collapsed="false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</row>
    <row r="740" customFormat="false" ht="16.5" hidden="false" customHeight="true" outlineLevel="0" collapsed="false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</row>
    <row r="741" customFormat="false" ht="16.5" hidden="false" customHeight="true" outlineLevel="0" collapsed="false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</row>
    <row r="742" customFormat="false" ht="16.5" hidden="false" customHeight="true" outlineLevel="0" collapsed="false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</row>
    <row r="743" customFormat="false" ht="16.5" hidden="false" customHeight="true" outlineLevel="0" collapsed="false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</row>
    <row r="744" customFormat="false" ht="16.5" hidden="false" customHeight="true" outlineLevel="0" collapsed="false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</row>
    <row r="745" customFormat="false" ht="16.5" hidden="false" customHeight="true" outlineLevel="0" collapsed="false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</row>
    <row r="746" customFormat="false" ht="16.5" hidden="false" customHeight="true" outlineLevel="0" collapsed="false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</row>
    <row r="747" customFormat="false" ht="16.5" hidden="false" customHeight="true" outlineLevel="0" collapsed="false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</row>
    <row r="748" customFormat="false" ht="16.5" hidden="false" customHeight="true" outlineLevel="0" collapsed="false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</row>
    <row r="749" customFormat="false" ht="16.5" hidden="false" customHeight="true" outlineLevel="0" collapsed="false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</row>
    <row r="750" customFormat="false" ht="16.5" hidden="false" customHeight="true" outlineLevel="0" collapsed="false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</row>
    <row r="751" customFormat="false" ht="16.5" hidden="false" customHeight="true" outlineLevel="0" collapsed="false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</row>
    <row r="752" customFormat="false" ht="16.5" hidden="false" customHeight="true" outlineLevel="0" collapsed="false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</row>
    <row r="753" customFormat="false" ht="16.5" hidden="false" customHeight="true" outlineLevel="0" collapsed="false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</row>
    <row r="754" customFormat="false" ht="16.5" hidden="false" customHeight="true" outlineLevel="0" collapsed="false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</row>
    <row r="755" customFormat="false" ht="16.5" hidden="false" customHeight="true" outlineLevel="0" collapsed="false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</row>
    <row r="756" customFormat="false" ht="16.5" hidden="false" customHeight="true" outlineLevel="0" collapsed="false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</row>
    <row r="757" customFormat="false" ht="16.5" hidden="false" customHeight="true" outlineLevel="0" collapsed="false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</row>
    <row r="758" customFormat="false" ht="16.5" hidden="false" customHeight="true" outlineLevel="0" collapsed="false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</row>
    <row r="759" customFormat="false" ht="16.5" hidden="false" customHeight="true" outlineLevel="0" collapsed="false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</row>
    <row r="760" customFormat="false" ht="16.5" hidden="false" customHeight="true" outlineLevel="0" collapsed="false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</row>
    <row r="761" customFormat="false" ht="16.5" hidden="false" customHeight="true" outlineLevel="0" collapsed="false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</row>
    <row r="762" customFormat="false" ht="16.5" hidden="false" customHeight="true" outlineLevel="0" collapsed="false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</row>
    <row r="763" customFormat="false" ht="16.5" hidden="false" customHeight="true" outlineLevel="0" collapsed="false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</row>
    <row r="764" customFormat="false" ht="16.5" hidden="false" customHeight="true" outlineLevel="0" collapsed="false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</row>
    <row r="765" customFormat="false" ht="16.5" hidden="false" customHeight="true" outlineLevel="0" collapsed="false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</row>
    <row r="766" customFormat="false" ht="16.5" hidden="false" customHeight="true" outlineLevel="0" collapsed="false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</row>
    <row r="767" customFormat="false" ht="16.5" hidden="false" customHeight="true" outlineLevel="0" collapsed="false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</row>
    <row r="768" customFormat="false" ht="16.5" hidden="false" customHeight="true" outlineLevel="0" collapsed="false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</row>
    <row r="769" customFormat="false" ht="16.5" hidden="false" customHeight="true" outlineLevel="0" collapsed="false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</row>
    <row r="770" customFormat="false" ht="16.5" hidden="false" customHeight="true" outlineLevel="0" collapsed="false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</row>
    <row r="771" customFormat="false" ht="16.5" hidden="false" customHeight="true" outlineLevel="0" collapsed="false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</row>
    <row r="772" customFormat="false" ht="16.5" hidden="false" customHeight="true" outlineLevel="0" collapsed="false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</row>
    <row r="773" customFormat="false" ht="16.5" hidden="false" customHeight="true" outlineLevel="0" collapsed="false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</row>
    <row r="774" customFormat="false" ht="16.5" hidden="false" customHeight="true" outlineLevel="0" collapsed="false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</row>
    <row r="775" customFormat="false" ht="16.5" hidden="false" customHeight="true" outlineLevel="0" collapsed="false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</row>
    <row r="776" customFormat="false" ht="16.5" hidden="false" customHeight="true" outlineLevel="0" collapsed="false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</row>
    <row r="777" customFormat="false" ht="16.5" hidden="false" customHeight="true" outlineLevel="0" collapsed="false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</row>
    <row r="778" customFormat="false" ht="16.5" hidden="false" customHeight="true" outlineLevel="0" collapsed="false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</row>
    <row r="779" customFormat="false" ht="16.5" hidden="false" customHeight="true" outlineLevel="0" collapsed="false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</row>
    <row r="780" customFormat="false" ht="16.5" hidden="false" customHeight="true" outlineLevel="0" collapsed="false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</row>
    <row r="781" customFormat="false" ht="16.5" hidden="false" customHeight="true" outlineLevel="0" collapsed="false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</row>
    <row r="782" customFormat="false" ht="16.5" hidden="false" customHeight="true" outlineLevel="0" collapsed="false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</row>
    <row r="783" customFormat="false" ht="16.5" hidden="false" customHeight="true" outlineLevel="0" collapsed="false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</row>
    <row r="784" customFormat="false" ht="16.5" hidden="false" customHeight="true" outlineLevel="0" collapsed="false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</row>
    <row r="785" customFormat="false" ht="16.5" hidden="false" customHeight="true" outlineLevel="0" collapsed="false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</row>
    <row r="786" customFormat="false" ht="16.5" hidden="false" customHeight="true" outlineLevel="0" collapsed="false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</row>
    <row r="787" customFormat="false" ht="16.5" hidden="false" customHeight="true" outlineLevel="0" collapsed="false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</row>
    <row r="788" customFormat="false" ht="16.5" hidden="false" customHeight="true" outlineLevel="0" collapsed="false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</row>
    <row r="789" customFormat="false" ht="16.5" hidden="false" customHeight="true" outlineLevel="0" collapsed="false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</row>
    <row r="790" customFormat="false" ht="16.5" hidden="false" customHeight="true" outlineLevel="0" collapsed="false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</row>
    <row r="791" customFormat="false" ht="16.5" hidden="false" customHeight="true" outlineLevel="0" collapsed="false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</row>
    <row r="792" customFormat="false" ht="16.5" hidden="false" customHeight="true" outlineLevel="0" collapsed="false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</row>
    <row r="793" customFormat="false" ht="16.5" hidden="false" customHeight="true" outlineLevel="0" collapsed="false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</row>
    <row r="794" customFormat="false" ht="16.5" hidden="false" customHeight="true" outlineLevel="0" collapsed="false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</row>
    <row r="795" customFormat="false" ht="16.5" hidden="false" customHeight="true" outlineLevel="0" collapsed="false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</row>
    <row r="796" customFormat="false" ht="16.5" hidden="false" customHeight="true" outlineLevel="0" collapsed="false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</row>
    <row r="797" customFormat="false" ht="16.5" hidden="false" customHeight="true" outlineLevel="0" collapsed="false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</row>
    <row r="798" customFormat="false" ht="16.5" hidden="false" customHeight="true" outlineLevel="0" collapsed="false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</row>
    <row r="799" customFormat="false" ht="16.5" hidden="false" customHeight="true" outlineLevel="0" collapsed="false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</row>
    <row r="800" customFormat="false" ht="16.5" hidden="false" customHeight="true" outlineLevel="0" collapsed="false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</row>
    <row r="801" customFormat="false" ht="16.5" hidden="false" customHeight="true" outlineLevel="0" collapsed="false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</row>
    <row r="802" customFormat="false" ht="16.5" hidden="false" customHeight="true" outlineLevel="0" collapsed="false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</row>
    <row r="803" customFormat="false" ht="16.5" hidden="false" customHeight="true" outlineLevel="0" collapsed="false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</row>
    <row r="804" customFormat="false" ht="16.5" hidden="false" customHeight="true" outlineLevel="0" collapsed="false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</row>
    <row r="805" customFormat="false" ht="16.5" hidden="false" customHeight="true" outlineLevel="0" collapsed="false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</row>
    <row r="806" customFormat="false" ht="16.5" hidden="false" customHeight="true" outlineLevel="0" collapsed="false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</row>
    <row r="807" customFormat="false" ht="16.5" hidden="false" customHeight="true" outlineLevel="0" collapsed="false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</row>
    <row r="808" customFormat="false" ht="16.5" hidden="false" customHeight="true" outlineLevel="0" collapsed="false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</row>
    <row r="809" customFormat="false" ht="16.5" hidden="false" customHeight="true" outlineLevel="0" collapsed="false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</row>
    <row r="810" customFormat="false" ht="16.5" hidden="false" customHeight="true" outlineLevel="0" collapsed="false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</row>
    <row r="811" customFormat="false" ht="16.5" hidden="false" customHeight="true" outlineLevel="0" collapsed="false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</row>
    <row r="812" customFormat="false" ht="16.5" hidden="false" customHeight="true" outlineLevel="0" collapsed="false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</row>
    <row r="813" customFormat="false" ht="16.5" hidden="false" customHeight="true" outlineLevel="0" collapsed="false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</row>
    <row r="814" customFormat="false" ht="16.5" hidden="false" customHeight="true" outlineLevel="0" collapsed="false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</row>
    <row r="815" customFormat="false" ht="16.5" hidden="false" customHeight="true" outlineLevel="0" collapsed="false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</row>
    <row r="816" customFormat="false" ht="16.5" hidden="false" customHeight="true" outlineLevel="0" collapsed="false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</row>
    <row r="817" customFormat="false" ht="16.5" hidden="false" customHeight="true" outlineLevel="0" collapsed="false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</row>
    <row r="818" customFormat="false" ht="16.5" hidden="false" customHeight="true" outlineLevel="0" collapsed="false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</row>
    <row r="819" customFormat="false" ht="16.5" hidden="false" customHeight="true" outlineLevel="0" collapsed="false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</row>
    <row r="820" customFormat="false" ht="16.5" hidden="false" customHeight="true" outlineLevel="0" collapsed="false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</row>
    <row r="821" customFormat="false" ht="16.5" hidden="false" customHeight="true" outlineLevel="0" collapsed="false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</row>
    <row r="822" customFormat="false" ht="16.5" hidden="false" customHeight="true" outlineLevel="0" collapsed="false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</row>
    <row r="823" customFormat="false" ht="16.5" hidden="false" customHeight="true" outlineLevel="0" collapsed="false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</row>
    <row r="824" customFormat="false" ht="16.5" hidden="false" customHeight="true" outlineLevel="0" collapsed="false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</row>
    <row r="825" customFormat="false" ht="16.5" hidden="false" customHeight="true" outlineLevel="0" collapsed="false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</row>
    <row r="826" customFormat="false" ht="16.5" hidden="false" customHeight="true" outlineLevel="0" collapsed="false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</row>
    <row r="827" customFormat="false" ht="16.5" hidden="false" customHeight="true" outlineLevel="0" collapsed="false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</row>
    <row r="828" customFormat="false" ht="16.5" hidden="false" customHeight="true" outlineLevel="0" collapsed="false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</row>
    <row r="829" customFormat="false" ht="16.5" hidden="false" customHeight="true" outlineLevel="0" collapsed="false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</row>
    <row r="830" customFormat="false" ht="16.5" hidden="false" customHeight="true" outlineLevel="0" collapsed="false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</row>
    <row r="831" customFormat="false" ht="16.5" hidden="false" customHeight="true" outlineLevel="0" collapsed="false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</row>
    <row r="832" customFormat="false" ht="16.5" hidden="false" customHeight="true" outlineLevel="0" collapsed="false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</row>
    <row r="833" customFormat="false" ht="16.5" hidden="false" customHeight="true" outlineLevel="0" collapsed="false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</row>
    <row r="834" customFormat="false" ht="16.5" hidden="false" customHeight="true" outlineLevel="0" collapsed="false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</row>
    <row r="835" customFormat="false" ht="16.5" hidden="false" customHeight="true" outlineLevel="0" collapsed="false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</row>
    <row r="836" customFormat="false" ht="16.5" hidden="false" customHeight="true" outlineLevel="0" collapsed="false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</row>
    <row r="837" customFormat="false" ht="16.5" hidden="false" customHeight="true" outlineLevel="0" collapsed="false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</row>
    <row r="838" customFormat="false" ht="16.5" hidden="false" customHeight="true" outlineLevel="0" collapsed="false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</row>
    <row r="839" customFormat="false" ht="16.5" hidden="false" customHeight="true" outlineLevel="0" collapsed="false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</row>
    <row r="840" customFormat="false" ht="16.5" hidden="false" customHeight="true" outlineLevel="0" collapsed="false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</row>
    <row r="841" customFormat="false" ht="16.5" hidden="false" customHeight="true" outlineLevel="0" collapsed="false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</row>
    <row r="842" customFormat="false" ht="16.5" hidden="false" customHeight="true" outlineLevel="0" collapsed="false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</row>
    <row r="843" customFormat="false" ht="16.5" hidden="false" customHeight="true" outlineLevel="0" collapsed="false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</row>
    <row r="844" customFormat="false" ht="16.5" hidden="false" customHeight="true" outlineLevel="0" collapsed="false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</row>
    <row r="845" customFormat="false" ht="16.5" hidden="false" customHeight="true" outlineLevel="0" collapsed="false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</row>
    <row r="846" customFormat="false" ht="16.5" hidden="false" customHeight="true" outlineLevel="0" collapsed="false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</row>
    <row r="847" customFormat="false" ht="16.5" hidden="false" customHeight="true" outlineLevel="0" collapsed="false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</row>
    <row r="848" customFormat="false" ht="16.5" hidden="false" customHeight="true" outlineLevel="0" collapsed="false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</row>
    <row r="849" customFormat="false" ht="16.5" hidden="false" customHeight="true" outlineLevel="0" collapsed="false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</row>
    <row r="850" customFormat="false" ht="16.5" hidden="false" customHeight="true" outlineLevel="0" collapsed="false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</row>
    <row r="851" customFormat="false" ht="16.5" hidden="false" customHeight="true" outlineLevel="0" collapsed="false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</row>
    <row r="852" customFormat="false" ht="16.5" hidden="false" customHeight="true" outlineLevel="0" collapsed="false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</row>
    <row r="853" customFormat="false" ht="16.5" hidden="false" customHeight="true" outlineLevel="0" collapsed="false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</row>
    <row r="854" customFormat="false" ht="16.5" hidden="false" customHeight="true" outlineLevel="0" collapsed="false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</row>
    <row r="855" customFormat="false" ht="16.5" hidden="false" customHeight="true" outlineLevel="0" collapsed="false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</row>
    <row r="856" customFormat="false" ht="16.5" hidden="false" customHeight="true" outlineLevel="0" collapsed="false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</row>
    <row r="857" customFormat="false" ht="16.5" hidden="false" customHeight="true" outlineLevel="0" collapsed="false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</row>
    <row r="858" customFormat="false" ht="16.5" hidden="false" customHeight="true" outlineLevel="0" collapsed="false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</row>
    <row r="859" customFormat="false" ht="16.5" hidden="false" customHeight="true" outlineLevel="0" collapsed="false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</row>
    <row r="860" customFormat="false" ht="16.5" hidden="false" customHeight="true" outlineLevel="0" collapsed="false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</row>
    <row r="861" customFormat="false" ht="16.5" hidden="false" customHeight="true" outlineLevel="0" collapsed="false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</row>
    <row r="862" customFormat="false" ht="16.5" hidden="false" customHeight="true" outlineLevel="0" collapsed="false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</row>
    <row r="863" customFormat="false" ht="16.5" hidden="false" customHeight="true" outlineLevel="0" collapsed="false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</row>
    <row r="864" customFormat="false" ht="16.5" hidden="false" customHeight="true" outlineLevel="0" collapsed="false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</row>
    <row r="865" customFormat="false" ht="16.5" hidden="false" customHeight="true" outlineLevel="0" collapsed="false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</row>
    <row r="866" customFormat="false" ht="16.5" hidden="false" customHeight="true" outlineLevel="0" collapsed="false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</row>
    <row r="867" customFormat="false" ht="16.5" hidden="false" customHeight="true" outlineLevel="0" collapsed="false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</row>
    <row r="868" customFormat="false" ht="16.5" hidden="false" customHeight="true" outlineLevel="0" collapsed="false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</row>
    <row r="869" customFormat="false" ht="16.5" hidden="false" customHeight="true" outlineLevel="0" collapsed="false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</row>
    <row r="870" customFormat="false" ht="16.5" hidden="false" customHeight="true" outlineLevel="0" collapsed="false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</row>
    <row r="871" customFormat="false" ht="16.5" hidden="false" customHeight="true" outlineLevel="0" collapsed="false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</row>
    <row r="872" customFormat="false" ht="16.5" hidden="false" customHeight="true" outlineLevel="0" collapsed="false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</row>
    <row r="873" customFormat="false" ht="16.5" hidden="false" customHeight="true" outlineLevel="0" collapsed="false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</row>
    <row r="874" customFormat="false" ht="16.5" hidden="false" customHeight="true" outlineLevel="0" collapsed="false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</row>
    <row r="875" customFormat="false" ht="16.5" hidden="false" customHeight="true" outlineLevel="0" collapsed="false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</row>
    <row r="876" customFormat="false" ht="16.5" hidden="false" customHeight="true" outlineLevel="0" collapsed="false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</row>
    <row r="877" customFormat="false" ht="16.5" hidden="false" customHeight="true" outlineLevel="0" collapsed="false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</row>
    <row r="878" customFormat="false" ht="16.5" hidden="false" customHeight="true" outlineLevel="0" collapsed="false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</row>
    <row r="879" customFormat="false" ht="16.5" hidden="false" customHeight="true" outlineLevel="0" collapsed="false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</row>
    <row r="880" customFormat="false" ht="16.5" hidden="false" customHeight="true" outlineLevel="0" collapsed="false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</row>
    <row r="881" customFormat="false" ht="16.5" hidden="false" customHeight="true" outlineLevel="0" collapsed="false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</row>
    <row r="882" customFormat="false" ht="16.5" hidden="false" customHeight="true" outlineLevel="0" collapsed="false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</row>
    <row r="883" customFormat="false" ht="16.5" hidden="false" customHeight="true" outlineLevel="0" collapsed="false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</row>
    <row r="884" customFormat="false" ht="16.5" hidden="false" customHeight="true" outlineLevel="0" collapsed="false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</row>
    <row r="885" customFormat="false" ht="16.5" hidden="false" customHeight="true" outlineLevel="0" collapsed="false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</row>
    <row r="886" customFormat="false" ht="16.5" hidden="false" customHeight="true" outlineLevel="0" collapsed="false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</row>
    <row r="887" customFormat="false" ht="16.5" hidden="false" customHeight="true" outlineLevel="0" collapsed="false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</row>
    <row r="888" customFormat="false" ht="16.5" hidden="false" customHeight="true" outlineLevel="0" collapsed="false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</row>
    <row r="889" customFormat="false" ht="16.5" hidden="false" customHeight="true" outlineLevel="0" collapsed="false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</row>
    <row r="890" customFormat="false" ht="16.5" hidden="false" customHeight="true" outlineLevel="0" collapsed="false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</row>
    <row r="891" customFormat="false" ht="16.5" hidden="false" customHeight="true" outlineLevel="0" collapsed="false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</row>
    <row r="892" customFormat="false" ht="16.5" hidden="false" customHeight="true" outlineLevel="0" collapsed="false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</row>
    <row r="893" customFormat="false" ht="16.5" hidden="false" customHeight="true" outlineLevel="0" collapsed="false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</row>
    <row r="894" customFormat="false" ht="16.5" hidden="false" customHeight="true" outlineLevel="0" collapsed="false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</row>
    <row r="895" customFormat="false" ht="16.5" hidden="false" customHeight="true" outlineLevel="0" collapsed="false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</row>
    <row r="896" customFormat="false" ht="16.5" hidden="false" customHeight="true" outlineLevel="0" collapsed="false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</row>
    <row r="897" customFormat="false" ht="16.5" hidden="false" customHeight="true" outlineLevel="0" collapsed="false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</row>
    <row r="898" customFormat="false" ht="16.5" hidden="false" customHeight="true" outlineLevel="0" collapsed="false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</row>
    <row r="899" customFormat="false" ht="16.5" hidden="false" customHeight="true" outlineLevel="0" collapsed="false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</row>
    <row r="900" customFormat="false" ht="16.5" hidden="false" customHeight="true" outlineLevel="0" collapsed="false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</row>
    <row r="901" customFormat="false" ht="16.5" hidden="false" customHeight="true" outlineLevel="0" collapsed="false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</row>
    <row r="902" customFormat="false" ht="16.5" hidden="false" customHeight="true" outlineLevel="0" collapsed="false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</row>
    <row r="903" customFormat="false" ht="16.5" hidden="false" customHeight="true" outlineLevel="0" collapsed="false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</row>
    <row r="904" customFormat="false" ht="16.5" hidden="false" customHeight="true" outlineLevel="0" collapsed="false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</row>
    <row r="905" customFormat="false" ht="16.5" hidden="false" customHeight="true" outlineLevel="0" collapsed="false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</row>
    <row r="906" customFormat="false" ht="16.5" hidden="false" customHeight="true" outlineLevel="0" collapsed="false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</row>
    <row r="907" customFormat="false" ht="16.5" hidden="false" customHeight="true" outlineLevel="0" collapsed="false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</row>
    <row r="908" customFormat="false" ht="16.5" hidden="false" customHeight="true" outlineLevel="0" collapsed="false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</row>
    <row r="909" customFormat="false" ht="16.5" hidden="false" customHeight="true" outlineLevel="0" collapsed="false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</row>
    <row r="910" customFormat="false" ht="16.5" hidden="false" customHeight="true" outlineLevel="0" collapsed="false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</row>
    <row r="911" customFormat="false" ht="16.5" hidden="false" customHeight="true" outlineLevel="0" collapsed="false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</row>
    <row r="912" customFormat="false" ht="16.5" hidden="false" customHeight="true" outlineLevel="0" collapsed="false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</row>
    <row r="913" customFormat="false" ht="16.5" hidden="false" customHeight="true" outlineLevel="0" collapsed="false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</row>
    <row r="914" customFormat="false" ht="16.5" hidden="false" customHeight="true" outlineLevel="0" collapsed="false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</row>
    <row r="915" customFormat="false" ht="16.5" hidden="false" customHeight="true" outlineLevel="0" collapsed="false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</row>
    <row r="916" customFormat="false" ht="16.5" hidden="false" customHeight="true" outlineLevel="0" collapsed="false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</row>
    <row r="917" customFormat="false" ht="16.5" hidden="false" customHeight="true" outlineLevel="0" collapsed="false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</row>
    <row r="918" customFormat="false" ht="16.5" hidden="false" customHeight="true" outlineLevel="0" collapsed="false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</row>
    <row r="919" customFormat="false" ht="16.5" hidden="false" customHeight="true" outlineLevel="0" collapsed="false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</row>
    <row r="920" customFormat="false" ht="16.5" hidden="false" customHeight="true" outlineLevel="0" collapsed="false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</row>
    <row r="921" customFormat="false" ht="16.5" hidden="false" customHeight="true" outlineLevel="0" collapsed="false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</row>
    <row r="922" customFormat="false" ht="16.5" hidden="false" customHeight="true" outlineLevel="0" collapsed="false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</row>
    <row r="923" customFormat="false" ht="16.5" hidden="false" customHeight="true" outlineLevel="0" collapsed="false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</row>
    <row r="924" customFormat="false" ht="16.5" hidden="false" customHeight="true" outlineLevel="0" collapsed="false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</row>
    <row r="925" customFormat="false" ht="16.5" hidden="false" customHeight="true" outlineLevel="0" collapsed="false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</row>
    <row r="926" customFormat="false" ht="16.5" hidden="false" customHeight="true" outlineLevel="0" collapsed="false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</row>
    <row r="927" customFormat="false" ht="16.5" hidden="false" customHeight="true" outlineLevel="0" collapsed="false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</row>
    <row r="928" customFormat="false" ht="16.5" hidden="false" customHeight="true" outlineLevel="0" collapsed="false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</row>
    <row r="929" customFormat="false" ht="16.5" hidden="false" customHeight="true" outlineLevel="0" collapsed="false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</row>
    <row r="930" customFormat="false" ht="16.5" hidden="false" customHeight="true" outlineLevel="0" collapsed="false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</row>
    <row r="931" customFormat="false" ht="16.5" hidden="false" customHeight="true" outlineLevel="0" collapsed="false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</row>
    <row r="932" customFormat="false" ht="16.5" hidden="false" customHeight="true" outlineLevel="0" collapsed="false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</row>
    <row r="933" customFormat="false" ht="16.5" hidden="false" customHeight="true" outlineLevel="0" collapsed="false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</row>
    <row r="934" customFormat="false" ht="16.5" hidden="false" customHeight="true" outlineLevel="0" collapsed="false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</row>
    <row r="935" customFormat="false" ht="16.5" hidden="false" customHeight="true" outlineLevel="0" collapsed="false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</row>
    <row r="936" customFormat="false" ht="16.5" hidden="false" customHeight="true" outlineLevel="0" collapsed="false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</row>
    <row r="937" customFormat="false" ht="16.5" hidden="false" customHeight="true" outlineLevel="0" collapsed="false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</row>
    <row r="938" customFormat="false" ht="16.5" hidden="false" customHeight="true" outlineLevel="0" collapsed="false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</row>
    <row r="939" customFormat="false" ht="16.5" hidden="false" customHeight="true" outlineLevel="0" collapsed="false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</row>
    <row r="940" customFormat="false" ht="16.5" hidden="false" customHeight="true" outlineLevel="0" collapsed="false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</row>
    <row r="941" customFormat="false" ht="16.5" hidden="false" customHeight="true" outlineLevel="0" collapsed="false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</row>
    <row r="942" customFormat="false" ht="16.5" hidden="false" customHeight="true" outlineLevel="0" collapsed="false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</row>
    <row r="943" customFormat="false" ht="16.5" hidden="false" customHeight="true" outlineLevel="0" collapsed="false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</row>
    <row r="944" customFormat="false" ht="16.5" hidden="false" customHeight="true" outlineLevel="0" collapsed="false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</row>
    <row r="945" customFormat="false" ht="16.5" hidden="false" customHeight="true" outlineLevel="0" collapsed="false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</row>
    <row r="946" customFormat="false" ht="16.5" hidden="false" customHeight="true" outlineLevel="0" collapsed="false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</row>
    <row r="947" customFormat="false" ht="16.5" hidden="false" customHeight="true" outlineLevel="0" collapsed="false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</row>
    <row r="948" customFormat="false" ht="16.5" hidden="false" customHeight="true" outlineLevel="0" collapsed="false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</row>
    <row r="949" customFormat="false" ht="16.5" hidden="false" customHeight="true" outlineLevel="0" collapsed="false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</row>
    <row r="950" customFormat="false" ht="16.5" hidden="false" customHeight="true" outlineLevel="0" collapsed="false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</row>
    <row r="951" customFormat="false" ht="16.5" hidden="false" customHeight="true" outlineLevel="0" collapsed="false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</row>
    <row r="952" customFormat="false" ht="16.5" hidden="false" customHeight="true" outlineLevel="0" collapsed="false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</row>
    <row r="953" customFormat="false" ht="16.5" hidden="false" customHeight="true" outlineLevel="0" collapsed="false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</row>
    <row r="954" customFormat="false" ht="16.5" hidden="false" customHeight="true" outlineLevel="0" collapsed="false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</row>
    <row r="955" customFormat="false" ht="16.5" hidden="false" customHeight="true" outlineLevel="0" collapsed="false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</row>
    <row r="956" customFormat="false" ht="16.5" hidden="false" customHeight="true" outlineLevel="0" collapsed="false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</row>
    <row r="957" customFormat="false" ht="16.5" hidden="false" customHeight="true" outlineLevel="0" collapsed="false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</row>
    <row r="958" customFormat="false" ht="16.5" hidden="false" customHeight="true" outlineLevel="0" collapsed="false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</row>
    <row r="959" customFormat="false" ht="16.5" hidden="false" customHeight="true" outlineLevel="0" collapsed="false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</row>
    <row r="960" customFormat="false" ht="16.5" hidden="false" customHeight="true" outlineLevel="0" collapsed="false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</row>
    <row r="961" customFormat="false" ht="16.5" hidden="false" customHeight="true" outlineLevel="0" collapsed="false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</row>
    <row r="962" customFormat="false" ht="16.5" hidden="false" customHeight="true" outlineLevel="0" collapsed="false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</row>
    <row r="963" customFormat="false" ht="16.5" hidden="false" customHeight="true" outlineLevel="0" collapsed="false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</row>
    <row r="964" customFormat="false" ht="16.5" hidden="false" customHeight="true" outlineLevel="0" collapsed="false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</row>
    <row r="965" customFormat="false" ht="16.5" hidden="false" customHeight="true" outlineLevel="0" collapsed="false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</row>
    <row r="966" customFormat="false" ht="16.5" hidden="false" customHeight="true" outlineLevel="0" collapsed="false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</row>
    <row r="967" customFormat="false" ht="16.5" hidden="false" customHeight="true" outlineLevel="0" collapsed="false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</row>
    <row r="968" customFormat="false" ht="16.5" hidden="false" customHeight="true" outlineLevel="0" collapsed="false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</row>
    <row r="969" customFormat="false" ht="16.5" hidden="false" customHeight="true" outlineLevel="0" collapsed="false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</row>
    <row r="970" customFormat="false" ht="16.5" hidden="false" customHeight="true" outlineLevel="0" collapsed="false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</row>
    <row r="971" customFormat="false" ht="16.5" hidden="false" customHeight="true" outlineLevel="0" collapsed="false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</row>
    <row r="972" customFormat="false" ht="16.5" hidden="false" customHeight="true" outlineLevel="0" collapsed="false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</row>
    <row r="973" customFormat="false" ht="16.5" hidden="false" customHeight="true" outlineLevel="0" collapsed="false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</row>
    <row r="974" customFormat="false" ht="16.5" hidden="false" customHeight="true" outlineLevel="0" collapsed="false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</row>
    <row r="975" customFormat="false" ht="16.5" hidden="false" customHeight="true" outlineLevel="0" collapsed="false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</row>
    <row r="976" customFormat="false" ht="16.5" hidden="false" customHeight="true" outlineLevel="0" collapsed="false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</row>
    <row r="977" customFormat="false" ht="16.5" hidden="false" customHeight="true" outlineLevel="0" collapsed="false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</row>
    <row r="978" customFormat="false" ht="16.5" hidden="false" customHeight="true" outlineLevel="0" collapsed="false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</row>
    <row r="979" customFormat="false" ht="16.5" hidden="false" customHeight="true" outlineLevel="0" collapsed="false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</row>
    <row r="980" customFormat="false" ht="16.5" hidden="false" customHeight="true" outlineLevel="0" collapsed="false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</row>
    <row r="981" customFormat="false" ht="16.5" hidden="false" customHeight="true" outlineLevel="0" collapsed="false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</row>
    <row r="982" customFormat="false" ht="16.5" hidden="false" customHeight="true" outlineLevel="0" collapsed="false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</row>
    <row r="983" customFormat="false" ht="16.5" hidden="false" customHeight="true" outlineLevel="0" collapsed="false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</row>
    <row r="984" customFormat="false" ht="16.5" hidden="false" customHeight="true" outlineLevel="0" collapsed="false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</row>
    <row r="985" customFormat="false" ht="16.5" hidden="false" customHeight="true" outlineLevel="0" collapsed="false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</row>
    <row r="986" customFormat="false" ht="16.5" hidden="false" customHeight="true" outlineLevel="0" collapsed="false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</row>
    <row r="987" customFormat="false" ht="16.5" hidden="false" customHeight="true" outlineLevel="0" collapsed="false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</row>
    <row r="988" customFormat="false" ht="16.5" hidden="false" customHeight="true" outlineLevel="0" collapsed="false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</row>
    <row r="989" customFormat="false" ht="16.5" hidden="false" customHeight="true" outlineLevel="0" collapsed="false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</row>
    <row r="990" customFormat="false" ht="16.5" hidden="false" customHeight="true" outlineLevel="0" collapsed="false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</row>
    <row r="991" customFormat="false" ht="16.5" hidden="false" customHeight="true" outlineLevel="0" collapsed="false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</row>
    <row r="992" customFormat="false" ht="16.5" hidden="false" customHeight="true" outlineLevel="0" collapsed="false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</row>
    <row r="993" customFormat="false" ht="16.5" hidden="false" customHeight="true" outlineLevel="0" collapsed="false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</row>
    <row r="994" customFormat="false" ht="16.5" hidden="false" customHeight="true" outlineLevel="0" collapsed="false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</row>
    <row r="995" customFormat="false" ht="16.5" hidden="false" customHeight="true" outlineLevel="0" collapsed="false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</row>
    <row r="996" customFormat="false" ht="16.5" hidden="false" customHeight="true" outlineLevel="0" collapsed="false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</row>
    <row r="997" customFormat="false" ht="16.5" hidden="false" customHeight="true" outlineLevel="0" collapsed="false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</row>
    <row r="998" customFormat="false" ht="16.5" hidden="false" customHeight="true" outlineLevel="0" collapsed="false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</row>
    <row r="999" customFormat="false" ht="16.5" hidden="false" customHeight="true" outlineLevel="0" collapsed="false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</row>
    <row r="1000" customFormat="false" ht="16.5" hidden="false" customHeight="true" outlineLevel="0" collapsed="false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</row>
  </sheetData>
  <sheetProtection sheet="true" formatCells="false" formatColumns="false" formatRows="false" insertColumns="false" insertRows="false" insertHyperlinks="false" deleteColumns="false" deleteRows="false" sort="false" autoFilter="false"/>
  <autoFilter ref="A1:Q136"/>
  <conditionalFormatting sqref="O2:O136">
    <cfRule type="expression" priority="2" aboveAverage="0" equalAverage="0" bottom="0" percent="0" rank="0" text="" dxfId="22">
      <formula>$O2="Inventário em dia"</formula>
    </cfRule>
    <cfRule type="expression" priority="3" aboveAverage="0" equalAverage="0" bottom="0" percent="0" rank="0" text="" dxfId="3">
      <formula>ISNUMBER(SEARCH("Planejar",$O2))</formula>
    </cfRule>
    <cfRule type="expression" priority="4" aboveAverage="0" equalAverage="0" bottom="0" percent="0" rank="0" text="" dxfId="2">
      <formula>ISNUMBER(SEARCH("Solicitar confirmação",$O2))</formula>
    </cfRule>
  </conditionalFormatting>
  <dataValidations count="1">
    <dataValidation allowBlank="true" errorStyle="stop" operator="between" showDropDown="false" showErrorMessage="false" showInputMessage="false" sqref="M2:N136" type="list">
      <formula1>"Sim,Não,A confirmar"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&amp;R&amp;"Calibri,Bold"&amp;K1f3864Controle Vivo de Climatização&amp;"Calibri,Regular"&amp;10 &amp;K595959  ·  GOP / 3ª CRE</oddHeader>
    <oddFooter>&amp;C&amp;9 &amp;K595959Página &amp;P de &amp;N  ·  &amp;D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3.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34"/>
    <col collapsed="false" customWidth="true" hidden="false" outlineLevel="0" max="7" min="4" style="1" width="18"/>
  </cols>
  <sheetData>
    <row r="1" customFormat="false" ht="29.25" hidden="false" customHeight="true" outlineLevel="0" collapsed="false">
      <c r="A1" s="138" t="s">
        <v>888</v>
      </c>
      <c r="B1" s="138" t="s">
        <v>889</v>
      </c>
      <c r="C1" s="138" t="s">
        <v>890</v>
      </c>
      <c r="D1" s="138" t="s">
        <v>891</v>
      </c>
      <c r="E1" s="138" t="s">
        <v>136</v>
      </c>
      <c r="F1" s="138" t="s">
        <v>892</v>
      </c>
      <c r="G1" s="138" t="s">
        <v>893</v>
      </c>
      <c r="H1" s="139" t="s">
        <v>894</v>
      </c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 customFormat="false" ht="19.5" hidden="false" customHeight="true" outlineLevel="0" collapsed="false">
      <c r="A2" s="140" t="s">
        <v>33</v>
      </c>
      <c r="B2" s="140" t="s">
        <v>34</v>
      </c>
      <c r="C2" s="140" t="s">
        <v>151</v>
      </c>
      <c r="D2" s="140" t="s">
        <v>171</v>
      </c>
      <c r="E2" s="140" t="s">
        <v>895</v>
      </c>
      <c r="F2" s="140" t="s">
        <v>181</v>
      </c>
      <c r="G2" s="140" t="s">
        <v>171</v>
      </c>
      <c r="H2" s="131" t="s">
        <v>169</v>
      </c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customFormat="false" ht="19.5" hidden="false" customHeight="true" outlineLevel="0" collapsed="false">
      <c r="A3" s="140" t="s">
        <v>37</v>
      </c>
      <c r="B3" s="140" t="s">
        <v>38</v>
      </c>
      <c r="C3" s="140" t="s">
        <v>896</v>
      </c>
      <c r="D3" s="140" t="s">
        <v>156</v>
      </c>
      <c r="E3" s="140" t="s">
        <v>157</v>
      </c>
      <c r="F3" s="140" t="s">
        <v>168</v>
      </c>
      <c r="G3" s="140" t="s">
        <v>486</v>
      </c>
      <c r="H3" s="131" t="s">
        <v>182</v>
      </c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customFormat="false" ht="19.5" hidden="false" customHeight="true" outlineLevel="0" collapsed="false">
      <c r="A4" s="140" t="s">
        <v>41</v>
      </c>
      <c r="B4" s="140" t="s">
        <v>42</v>
      </c>
      <c r="C4" s="140" t="s">
        <v>897</v>
      </c>
      <c r="D4" s="140" t="s">
        <v>898</v>
      </c>
      <c r="E4" s="140" t="s">
        <v>899</v>
      </c>
      <c r="F4" s="140" t="s">
        <v>152</v>
      </c>
      <c r="G4" s="140" t="s">
        <v>900</v>
      </c>
      <c r="H4" s="131" t="s">
        <v>153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customFormat="false" ht="19.5" hidden="false" customHeight="true" outlineLevel="0" collapsed="false">
      <c r="A5" s="140" t="s">
        <v>45</v>
      </c>
      <c r="B5" s="140" t="s">
        <v>46</v>
      </c>
      <c r="C5" s="140" t="s">
        <v>901</v>
      </c>
      <c r="D5" s="140" t="s">
        <v>902</v>
      </c>
      <c r="E5" s="140" t="s">
        <v>903</v>
      </c>
      <c r="F5" s="140" t="s">
        <v>904</v>
      </c>
      <c r="G5" s="140" t="s">
        <v>905</v>
      </c>
      <c r="H5" s="131" t="s">
        <v>276</v>
      </c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customFormat="false" ht="19.5" hidden="false" customHeight="true" outlineLevel="0" collapsed="false">
      <c r="A6" s="140" t="s">
        <v>49</v>
      </c>
      <c r="B6" s="140" t="s">
        <v>50</v>
      </c>
      <c r="C6" s="140" t="s">
        <v>906</v>
      </c>
      <c r="D6" s="140"/>
      <c r="E6" s="140"/>
      <c r="F6" s="140" t="s">
        <v>907</v>
      </c>
      <c r="G6" s="140"/>
      <c r="H6" s="131" t="s">
        <v>900</v>
      </c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customFormat="false" ht="19.5" hidden="false" customHeight="true" outlineLevel="0" collapsed="false">
      <c r="A7" s="140" t="s">
        <v>53</v>
      </c>
      <c r="B7" s="140" t="s">
        <v>54</v>
      </c>
      <c r="C7" s="140" t="s">
        <v>908</v>
      </c>
      <c r="D7" s="140"/>
      <c r="E7" s="140"/>
      <c r="F7" s="140"/>
      <c r="G7" s="140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customFormat="false" ht="19.5" hidden="false" customHeight="true" outlineLevel="0" collapsed="false">
      <c r="A8" s="140" t="s">
        <v>55</v>
      </c>
      <c r="B8" s="140" t="s">
        <v>56</v>
      </c>
      <c r="C8" s="140"/>
      <c r="D8" s="140"/>
      <c r="E8" s="140"/>
      <c r="F8" s="140"/>
      <c r="G8" s="140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customFormat="false" ht="19.5" hidden="false" customHeight="true" outlineLevel="0" collapsed="false">
      <c r="A9" s="140" t="s">
        <v>57</v>
      </c>
      <c r="B9" s="140" t="s">
        <v>58</v>
      </c>
      <c r="C9" s="140"/>
      <c r="D9" s="140"/>
      <c r="E9" s="140"/>
      <c r="F9" s="140"/>
      <c r="G9" s="140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customFormat="false" ht="19.5" hidden="false" customHeight="true" outlineLevel="0" collapsed="false">
      <c r="A10" s="140" t="s">
        <v>59</v>
      </c>
      <c r="B10" s="140" t="s">
        <v>60</v>
      </c>
      <c r="C10" s="140"/>
      <c r="D10" s="140"/>
      <c r="E10" s="140"/>
      <c r="F10" s="140"/>
      <c r="G10" s="140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customFormat="false" ht="19.5" hidden="false" customHeight="true" outlineLevel="0" collapsed="false">
      <c r="A11" s="140" t="s">
        <v>61</v>
      </c>
      <c r="B11" s="140" t="s">
        <v>239</v>
      </c>
      <c r="C11" s="140"/>
      <c r="D11" s="140"/>
      <c r="E11" s="140"/>
      <c r="F11" s="140"/>
      <c r="G11" s="140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customFormat="false" ht="19.5" hidden="false" customHeight="true" outlineLevel="0" collapsed="false">
      <c r="A12" s="140" t="s">
        <v>62</v>
      </c>
      <c r="B12" s="140" t="s">
        <v>154</v>
      </c>
      <c r="C12" s="140"/>
      <c r="D12" s="140"/>
      <c r="E12" s="140"/>
      <c r="F12" s="140"/>
      <c r="G12" s="140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customFormat="false" ht="19.5" hidden="false" customHeight="true" outlineLevel="0" collapsed="false">
      <c r="A13" s="140" t="s">
        <v>64</v>
      </c>
      <c r="B13" s="140" t="s">
        <v>162</v>
      </c>
      <c r="C13" s="140"/>
      <c r="D13" s="140"/>
      <c r="E13" s="140"/>
      <c r="F13" s="140"/>
      <c r="G13" s="140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customFormat="false" ht="19.5" hidden="false" customHeight="true" outlineLevel="0" collapsed="false">
      <c r="A14" s="140" t="s">
        <v>65</v>
      </c>
      <c r="B14" s="140"/>
      <c r="C14" s="140"/>
      <c r="D14" s="140"/>
      <c r="E14" s="140"/>
      <c r="F14" s="140"/>
      <c r="G14" s="140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customFormat="false" ht="19.5" hidden="false" customHeight="true" outlineLevel="0" collapsed="false">
      <c r="A15" s="140" t="s">
        <v>66</v>
      </c>
      <c r="B15" s="140"/>
      <c r="C15" s="140"/>
      <c r="D15" s="140"/>
      <c r="E15" s="140"/>
      <c r="F15" s="140"/>
      <c r="G15" s="140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customFormat="false" ht="19.5" hidden="false" customHeight="true" outlineLevel="0" collapsed="false">
      <c r="A16" s="140" t="s">
        <v>67</v>
      </c>
      <c r="B16" s="140"/>
      <c r="C16" s="140"/>
      <c r="D16" s="140"/>
      <c r="E16" s="140"/>
      <c r="F16" s="140"/>
      <c r="G16" s="140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customFormat="false" ht="19.5" hidden="false" customHeight="true" outlineLevel="0" collapsed="false">
      <c r="A17" s="140" t="s">
        <v>68</v>
      </c>
      <c r="B17" s="140"/>
      <c r="C17" s="140"/>
      <c r="D17" s="140"/>
      <c r="E17" s="140"/>
      <c r="F17" s="140"/>
      <c r="G17" s="140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customFormat="false" ht="19.5" hidden="false" customHeight="true" outlineLevel="0" collapsed="false">
      <c r="A18" s="140" t="s">
        <v>69</v>
      </c>
      <c r="B18" s="140"/>
      <c r="C18" s="140"/>
      <c r="D18" s="140"/>
      <c r="E18" s="140"/>
      <c r="F18" s="140"/>
      <c r="G18" s="140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customFormat="false" ht="19.5" hidden="false" customHeight="true" outlineLevel="0" collapsed="false">
      <c r="A19" s="140" t="s">
        <v>70</v>
      </c>
      <c r="B19" s="140"/>
      <c r="C19" s="140"/>
      <c r="D19" s="140"/>
      <c r="E19" s="140"/>
      <c r="F19" s="140"/>
      <c r="G19" s="140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customFormat="false" ht="19.5" hidden="false" customHeight="true" outlineLevel="0" collapsed="false">
      <c r="A20" s="140" t="s">
        <v>71</v>
      </c>
      <c r="B20" s="140"/>
      <c r="C20" s="140"/>
      <c r="D20" s="140"/>
      <c r="E20" s="140"/>
      <c r="F20" s="140"/>
      <c r="G20" s="140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customFormat="false" ht="19.5" hidden="false" customHeight="true" outlineLevel="0" collapsed="false">
      <c r="A21" s="140" t="s">
        <v>72</v>
      </c>
      <c r="B21" s="140"/>
      <c r="C21" s="140"/>
      <c r="D21" s="140"/>
      <c r="E21" s="140"/>
      <c r="F21" s="140"/>
      <c r="G21" s="140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customFormat="false" ht="19.5" hidden="false" customHeight="true" outlineLevel="0" collapsed="false">
      <c r="A22" s="140" t="s">
        <v>73</v>
      </c>
      <c r="B22" s="140"/>
      <c r="C22" s="140"/>
      <c r="D22" s="140"/>
      <c r="E22" s="140"/>
      <c r="F22" s="140"/>
      <c r="G22" s="140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customFormat="false" ht="19.5" hidden="false" customHeight="true" outlineLevel="0" collapsed="false">
      <c r="A23" s="140" t="s">
        <v>74</v>
      </c>
      <c r="B23" s="140"/>
      <c r="C23" s="140"/>
      <c r="D23" s="140"/>
      <c r="E23" s="140"/>
      <c r="F23" s="140"/>
      <c r="G23" s="140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customFormat="false" ht="19.5" hidden="false" customHeight="true" outlineLevel="0" collapsed="false">
      <c r="A24" s="140" t="s">
        <v>75</v>
      </c>
      <c r="B24" s="140"/>
      <c r="C24" s="140"/>
      <c r="D24" s="140"/>
      <c r="E24" s="140"/>
      <c r="F24" s="140"/>
      <c r="G24" s="140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customFormat="false" ht="19.5" hidden="false" customHeight="true" outlineLevel="0" collapsed="false">
      <c r="A25" s="140" t="s">
        <v>76</v>
      </c>
      <c r="B25" s="140"/>
      <c r="C25" s="140"/>
      <c r="D25" s="140"/>
      <c r="E25" s="140"/>
      <c r="F25" s="140"/>
      <c r="G25" s="140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customFormat="false" ht="19.5" hidden="false" customHeight="true" outlineLevel="0" collapsed="false">
      <c r="A26" s="140" t="s">
        <v>77</v>
      </c>
      <c r="B26" s="140"/>
      <c r="C26" s="140"/>
      <c r="D26" s="140"/>
      <c r="E26" s="140"/>
      <c r="F26" s="140"/>
      <c r="G26" s="140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customFormat="false" ht="19.5" hidden="false" customHeight="true" outlineLevel="0" collapsed="false">
      <c r="A27" s="140" t="s">
        <v>78</v>
      </c>
      <c r="B27" s="140"/>
      <c r="C27" s="140"/>
      <c r="D27" s="140"/>
      <c r="E27" s="140"/>
      <c r="F27" s="140"/>
      <c r="G27" s="140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customFormat="false" ht="19.5" hidden="false" customHeight="true" outlineLevel="0" collapsed="false">
      <c r="A28" s="140" t="s">
        <v>79</v>
      </c>
      <c r="B28" s="140"/>
      <c r="C28" s="140"/>
      <c r="D28" s="140"/>
      <c r="E28" s="140"/>
      <c r="F28" s="140"/>
      <c r="G28" s="140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customFormat="false" ht="19.5" hidden="false" customHeight="true" outlineLevel="0" collapsed="false">
      <c r="A29" s="140" t="s">
        <v>80</v>
      </c>
      <c r="B29" s="140"/>
      <c r="C29" s="140"/>
      <c r="D29" s="140"/>
      <c r="E29" s="140"/>
      <c r="F29" s="140"/>
      <c r="G29" s="140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customFormat="false" ht="19.5" hidden="false" customHeight="true" outlineLevel="0" collapsed="false">
      <c r="A30" s="140" t="s">
        <v>81</v>
      </c>
      <c r="B30" s="140"/>
      <c r="C30" s="140"/>
      <c r="D30" s="140"/>
      <c r="E30" s="140"/>
      <c r="F30" s="140"/>
      <c r="G30" s="140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customFormat="false" ht="19.5" hidden="false" customHeight="true" outlineLevel="0" collapsed="false">
      <c r="A31" s="140"/>
      <c r="B31" s="140"/>
      <c r="C31" s="140"/>
      <c r="D31" s="140"/>
      <c r="E31" s="140"/>
      <c r="F31" s="140"/>
      <c r="G31" s="140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customFormat="false" ht="19.5" hidden="false" customHeight="true" outlineLevel="0" collapsed="false">
      <c r="A32" s="140"/>
      <c r="B32" s="140"/>
      <c r="C32" s="140"/>
      <c r="D32" s="140"/>
      <c r="E32" s="140"/>
      <c r="F32" s="140"/>
      <c r="G32" s="140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customFormat="false" ht="19.5" hidden="false" customHeight="true" outlineLevel="0" collapsed="false">
      <c r="A33" s="140"/>
      <c r="B33" s="140"/>
      <c r="C33" s="140"/>
      <c r="D33" s="140"/>
      <c r="E33" s="140"/>
      <c r="F33" s="140"/>
      <c r="G33" s="140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customFormat="false" ht="19.5" hidden="false" customHeight="true" outlineLevel="0" collapsed="false">
      <c r="A34" s="140"/>
      <c r="B34" s="140"/>
      <c r="C34" s="140"/>
      <c r="D34" s="140"/>
      <c r="E34" s="140"/>
      <c r="F34" s="140"/>
      <c r="G34" s="140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customFormat="false" ht="19.5" hidden="false" customHeight="true" outlineLevel="0" collapsed="false">
      <c r="A35" s="140"/>
      <c r="B35" s="140"/>
      <c r="C35" s="140"/>
      <c r="D35" s="140"/>
      <c r="E35" s="140"/>
      <c r="F35" s="140"/>
      <c r="G35" s="140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customFormat="false" ht="19.5" hidden="false" customHeight="true" outlineLevel="0" collapsed="false">
      <c r="A36" s="140"/>
      <c r="B36" s="140"/>
      <c r="C36" s="140"/>
      <c r="D36" s="140"/>
      <c r="E36" s="140"/>
      <c r="F36" s="140"/>
      <c r="G36" s="140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customFormat="false" ht="19.5" hidden="false" customHeight="true" outlineLevel="0" collapsed="false">
      <c r="A37" s="140"/>
      <c r="B37" s="140"/>
      <c r="C37" s="140"/>
      <c r="D37" s="140"/>
      <c r="E37" s="140"/>
      <c r="F37" s="140"/>
      <c r="G37" s="140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customFormat="false" ht="19.5" hidden="false" customHeight="true" outlineLevel="0" collapsed="false">
      <c r="A38" s="140"/>
      <c r="B38" s="140"/>
      <c r="C38" s="140"/>
      <c r="D38" s="140"/>
      <c r="E38" s="140"/>
      <c r="F38" s="140"/>
      <c r="G38" s="140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customFormat="false" ht="19.5" hidden="false" customHeight="true" outlineLevel="0" collapsed="false">
      <c r="A39" s="140"/>
      <c r="B39" s="140"/>
      <c r="C39" s="140"/>
      <c r="D39" s="140"/>
      <c r="E39" s="140"/>
      <c r="F39" s="140"/>
      <c r="G39" s="140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customFormat="false" ht="19.5" hidden="false" customHeight="true" outlineLevel="0" collapsed="false">
      <c r="A40" s="140"/>
      <c r="B40" s="140"/>
      <c r="C40" s="140"/>
      <c r="D40" s="140"/>
      <c r="E40" s="140"/>
      <c r="F40" s="140"/>
      <c r="G40" s="140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customFormat="false" ht="19.5" hidden="false" customHeight="true" outlineLevel="0" collapsed="false">
      <c r="A41" s="140"/>
      <c r="B41" s="140"/>
      <c r="C41" s="140"/>
      <c r="D41" s="140"/>
      <c r="E41" s="140"/>
      <c r="F41" s="140"/>
      <c r="G41" s="140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customFormat="false" ht="19.5" hidden="false" customHeight="true" outlineLevel="0" collapsed="false">
      <c r="A42" s="140"/>
      <c r="B42" s="140"/>
      <c r="C42" s="140"/>
      <c r="D42" s="140"/>
      <c r="E42" s="140"/>
      <c r="F42" s="140"/>
      <c r="G42" s="140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customFormat="false" ht="19.5" hidden="false" customHeight="true" outlineLevel="0" collapsed="false">
      <c r="A43" s="140"/>
      <c r="B43" s="140"/>
      <c r="C43" s="140"/>
      <c r="D43" s="140"/>
      <c r="E43" s="140"/>
      <c r="F43" s="140"/>
      <c r="G43" s="140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customFormat="false" ht="19.5" hidden="false" customHeight="true" outlineLevel="0" collapsed="false">
      <c r="A44" s="140"/>
      <c r="B44" s="140"/>
      <c r="C44" s="140"/>
      <c r="D44" s="140"/>
      <c r="E44" s="140"/>
      <c r="F44" s="140"/>
      <c r="G44" s="140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customFormat="false" ht="19.5" hidden="false" customHeight="true" outlineLevel="0" collapsed="false">
      <c r="A45" s="140"/>
      <c r="B45" s="140"/>
      <c r="C45" s="140"/>
      <c r="D45" s="140"/>
      <c r="E45" s="140"/>
      <c r="F45" s="140"/>
      <c r="G45" s="140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customFormat="false" ht="19.5" hidden="false" customHeight="true" outlineLevel="0" collapsed="false">
      <c r="A46" s="140"/>
      <c r="B46" s="140"/>
      <c r="C46" s="140"/>
      <c r="D46" s="140"/>
      <c r="E46" s="140"/>
      <c r="F46" s="140"/>
      <c r="G46" s="140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customFormat="false" ht="19.5" hidden="false" customHeight="true" outlineLevel="0" collapsed="false">
      <c r="A47" s="140"/>
      <c r="B47" s="140"/>
      <c r="C47" s="140"/>
      <c r="D47" s="140"/>
      <c r="E47" s="140"/>
      <c r="F47" s="140"/>
      <c r="G47" s="140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customFormat="false" ht="19.5" hidden="false" customHeight="true" outlineLevel="0" collapsed="false">
      <c r="A48" s="140"/>
      <c r="B48" s="140"/>
      <c r="C48" s="140"/>
      <c r="D48" s="140"/>
      <c r="E48" s="140"/>
      <c r="F48" s="140"/>
      <c r="G48" s="140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customFormat="false" ht="19.5" hidden="false" customHeight="true" outlineLevel="0" collapsed="false">
      <c r="A49" s="140"/>
      <c r="B49" s="140"/>
      <c r="C49" s="140"/>
      <c r="D49" s="140"/>
      <c r="E49" s="140"/>
      <c r="F49" s="140"/>
      <c r="G49" s="140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customFormat="false" ht="19.5" hidden="false" customHeight="true" outlineLevel="0" collapsed="false">
      <c r="A50" s="140"/>
      <c r="B50" s="140"/>
      <c r="C50" s="140"/>
      <c r="D50" s="140"/>
      <c r="E50" s="140"/>
      <c r="F50" s="140"/>
      <c r="G50" s="140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customFormat="false" ht="19.5" hidden="false" customHeight="true" outlineLevel="0" collapsed="false">
      <c r="A51" s="140"/>
      <c r="B51" s="140"/>
      <c r="C51" s="140"/>
      <c r="D51" s="140"/>
      <c r="E51" s="140"/>
      <c r="F51" s="140"/>
      <c r="G51" s="140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customFormat="false" ht="19.5" hidden="false" customHeight="true" outlineLevel="0" collapsed="false">
      <c r="A52" s="140"/>
      <c r="B52" s="140"/>
      <c r="C52" s="140"/>
      <c r="D52" s="140"/>
      <c r="E52" s="140"/>
      <c r="F52" s="140"/>
      <c r="G52" s="140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customFormat="false" ht="19.5" hidden="false" customHeight="true" outlineLevel="0" collapsed="false">
      <c r="A53" s="140"/>
      <c r="B53" s="140"/>
      <c r="C53" s="140"/>
      <c r="D53" s="140"/>
      <c r="E53" s="140"/>
      <c r="F53" s="140"/>
      <c r="G53" s="140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customFormat="false" ht="19.5" hidden="false" customHeight="true" outlineLevel="0" collapsed="false">
      <c r="A54" s="140"/>
      <c r="B54" s="140"/>
      <c r="C54" s="140"/>
      <c r="D54" s="140"/>
      <c r="E54" s="140"/>
      <c r="F54" s="140"/>
      <c r="G54" s="140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customFormat="false" ht="19.5" hidden="false" customHeight="true" outlineLevel="0" collapsed="false">
      <c r="A55" s="140"/>
      <c r="B55" s="140"/>
      <c r="C55" s="140"/>
      <c r="D55" s="140"/>
      <c r="E55" s="140"/>
      <c r="F55" s="140"/>
      <c r="G55" s="140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customFormat="false" ht="19.5" hidden="false" customHeight="true" outlineLevel="0" collapsed="false">
      <c r="A56" s="140"/>
      <c r="B56" s="140"/>
      <c r="C56" s="140"/>
      <c r="D56" s="140"/>
      <c r="E56" s="140"/>
      <c r="F56" s="140"/>
      <c r="G56" s="140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customFormat="false" ht="19.5" hidden="false" customHeight="true" outlineLevel="0" collapsed="false">
      <c r="A57" s="140"/>
      <c r="B57" s="140"/>
      <c r="C57" s="140"/>
      <c r="D57" s="140"/>
      <c r="E57" s="140"/>
      <c r="F57" s="140"/>
      <c r="G57" s="140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customFormat="false" ht="19.5" hidden="false" customHeight="true" outlineLevel="0" collapsed="false">
      <c r="A58" s="140"/>
      <c r="B58" s="140"/>
      <c r="C58" s="140"/>
      <c r="D58" s="140"/>
      <c r="E58" s="140"/>
      <c r="F58" s="140"/>
      <c r="G58" s="140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customFormat="false" ht="19.5" hidden="false" customHeight="true" outlineLevel="0" collapsed="false">
      <c r="A59" s="140"/>
      <c r="B59" s="140"/>
      <c r="C59" s="140"/>
      <c r="D59" s="140"/>
      <c r="E59" s="140"/>
      <c r="F59" s="140"/>
      <c r="G59" s="140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customFormat="false" ht="19.5" hidden="false" customHeight="true" outlineLevel="0" collapsed="false">
      <c r="A60" s="140"/>
      <c r="B60" s="140"/>
      <c r="C60" s="140"/>
      <c r="D60" s="140"/>
      <c r="E60" s="140"/>
      <c r="F60" s="140"/>
      <c r="G60" s="140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customFormat="false" ht="19.5" hidden="false" customHeight="true" outlineLevel="0" collapsed="false">
      <c r="A61" s="140"/>
      <c r="B61" s="140"/>
      <c r="C61" s="140"/>
      <c r="D61" s="140"/>
      <c r="E61" s="140"/>
      <c r="F61" s="140"/>
      <c r="G61" s="140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customFormat="false" ht="19.5" hidden="false" customHeight="true" outlineLevel="0" collapsed="false">
      <c r="A62" s="140"/>
      <c r="B62" s="140"/>
      <c r="C62" s="140"/>
      <c r="D62" s="140"/>
      <c r="E62" s="140"/>
      <c r="F62" s="140"/>
      <c r="G62" s="140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customFormat="false" ht="19.5" hidden="false" customHeight="true" outlineLevel="0" collapsed="false">
      <c r="A63" s="140"/>
      <c r="B63" s="140"/>
      <c r="C63" s="140"/>
      <c r="D63" s="140"/>
      <c r="E63" s="140"/>
      <c r="F63" s="140"/>
      <c r="G63" s="140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customFormat="false" ht="19.5" hidden="false" customHeight="true" outlineLevel="0" collapsed="false">
      <c r="A64" s="140"/>
      <c r="B64" s="140"/>
      <c r="C64" s="140"/>
      <c r="D64" s="140"/>
      <c r="E64" s="140"/>
      <c r="F64" s="140"/>
      <c r="G64" s="140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customFormat="false" ht="19.5" hidden="false" customHeight="true" outlineLevel="0" collapsed="false">
      <c r="A65" s="140"/>
      <c r="B65" s="140"/>
      <c r="C65" s="140"/>
      <c r="D65" s="140"/>
      <c r="E65" s="140"/>
      <c r="F65" s="140"/>
      <c r="G65" s="140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customFormat="false" ht="19.5" hidden="false" customHeight="true" outlineLevel="0" collapsed="false">
      <c r="A66" s="140"/>
      <c r="B66" s="140"/>
      <c r="C66" s="140"/>
      <c r="D66" s="140"/>
      <c r="E66" s="140"/>
      <c r="F66" s="140"/>
      <c r="G66" s="140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customFormat="false" ht="19.5" hidden="false" customHeight="true" outlineLevel="0" collapsed="false">
      <c r="A67" s="140"/>
      <c r="B67" s="140"/>
      <c r="C67" s="140"/>
      <c r="D67" s="140"/>
      <c r="E67" s="140"/>
      <c r="F67" s="140"/>
      <c r="G67" s="140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customFormat="false" ht="19.5" hidden="false" customHeight="true" outlineLevel="0" collapsed="false">
      <c r="A68" s="140"/>
      <c r="B68" s="140"/>
      <c r="C68" s="140"/>
      <c r="D68" s="140"/>
      <c r="E68" s="140"/>
      <c r="F68" s="140"/>
      <c r="G68" s="140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customFormat="false" ht="19.5" hidden="false" customHeight="true" outlineLevel="0" collapsed="false">
      <c r="A69" s="140"/>
      <c r="B69" s="140"/>
      <c r="C69" s="140"/>
      <c r="D69" s="140"/>
      <c r="E69" s="140"/>
      <c r="F69" s="140"/>
      <c r="G69" s="140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customFormat="false" ht="19.5" hidden="false" customHeight="true" outlineLevel="0" collapsed="false">
      <c r="A70" s="140"/>
      <c r="B70" s="140"/>
      <c r="C70" s="140"/>
      <c r="D70" s="140"/>
      <c r="E70" s="140"/>
      <c r="F70" s="140"/>
      <c r="G70" s="140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customFormat="false" ht="19.5" hidden="false" customHeight="true" outlineLevel="0" collapsed="false">
      <c r="A71" s="140"/>
      <c r="B71" s="140"/>
      <c r="C71" s="140"/>
      <c r="D71" s="140"/>
      <c r="E71" s="140"/>
      <c r="F71" s="140"/>
      <c r="G71" s="140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customFormat="false" ht="19.5" hidden="false" customHeight="true" outlineLevel="0" collapsed="false">
      <c r="A72" s="140"/>
      <c r="B72" s="140"/>
      <c r="C72" s="140"/>
      <c r="D72" s="140"/>
      <c r="E72" s="140"/>
      <c r="F72" s="140"/>
      <c r="G72" s="140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customFormat="false" ht="19.5" hidden="false" customHeight="true" outlineLevel="0" collapsed="false">
      <c r="A73" s="140"/>
      <c r="B73" s="140"/>
      <c r="C73" s="140"/>
      <c r="D73" s="140"/>
      <c r="E73" s="140"/>
      <c r="F73" s="140"/>
      <c r="G73" s="140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customFormat="false" ht="19.5" hidden="false" customHeight="true" outlineLevel="0" collapsed="false">
      <c r="A74" s="140"/>
      <c r="B74" s="140"/>
      <c r="C74" s="140"/>
      <c r="D74" s="140"/>
      <c r="E74" s="140"/>
      <c r="F74" s="140"/>
      <c r="G74" s="140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customFormat="false" ht="19.5" hidden="false" customHeight="true" outlineLevel="0" collapsed="false">
      <c r="A75" s="140"/>
      <c r="B75" s="140"/>
      <c r="C75" s="140"/>
      <c r="D75" s="140"/>
      <c r="E75" s="140"/>
      <c r="F75" s="140"/>
      <c r="G75" s="140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customFormat="false" ht="19.5" hidden="false" customHeight="true" outlineLevel="0" collapsed="false">
      <c r="A76" s="140"/>
      <c r="B76" s="140"/>
      <c r="C76" s="140"/>
      <c r="D76" s="140"/>
      <c r="E76" s="140"/>
      <c r="F76" s="140"/>
      <c r="G76" s="140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customFormat="false" ht="19.5" hidden="false" customHeight="true" outlineLevel="0" collapsed="false">
      <c r="A77" s="140"/>
      <c r="B77" s="140"/>
      <c r="C77" s="140"/>
      <c r="D77" s="140"/>
      <c r="E77" s="140"/>
      <c r="F77" s="140"/>
      <c r="G77" s="140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customFormat="false" ht="19.5" hidden="false" customHeight="true" outlineLevel="0" collapsed="false">
      <c r="A78" s="140"/>
      <c r="B78" s="140"/>
      <c r="C78" s="140"/>
      <c r="D78" s="140"/>
      <c r="E78" s="140"/>
      <c r="F78" s="140"/>
      <c r="G78" s="140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customFormat="false" ht="19.5" hidden="false" customHeight="true" outlineLevel="0" collapsed="false">
      <c r="A79" s="140"/>
      <c r="B79" s="140"/>
      <c r="C79" s="140"/>
      <c r="D79" s="140"/>
      <c r="E79" s="140"/>
      <c r="F79" s="140"/>
      <c r="G79" s="140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customFormat="false" ht="19.5" hidden="false" customHeight="true" outlineLevel="0" collapsed="false">
      <c r="A80" s="140"/>
      <c r="B80" s="140"/>
      <c r="C80" s="140"/>
      <c r="D80" s="140"/>
      <c r="E80" s="140"/>
      <c r="F80" s="140"/>
      <c r="G80" s="140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customFormat="false" ht="19.5" hidden="false" customHeight="true" outlineLevel="0" collapsed="false">
      <c r="A81" s="140"/>
      <c r="B81" s="140"/>
      <c r="C81" s="140"/>
      <c r="D81" s="140"/>
      <c r="E81" s="140"/>
      <c r="F81" s="140"/>
      <c r="G81" s="140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customFormat="false" ht="19.5" hidden="false" customHeight="true" outlineLevel="0" collapsed="false">
      <c r="A82" s="140"/>
      <c r="B82" s="140"/>
      <c r="C82" s="140"/>
      <c r="D82" s="140"/>
      <c r="E82" s="140"/>
      <c r="F82" s="140"/>
      <c r="G82" s="140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customFormat="false" ht="19.5" hidden="false" customHeight="true" outlineLevel="0" collapsed="false">
      <c r="A83" s="140"/>
      <c r="B83" s="140"/>
      <c r="C83" s="140"/>
      <c r="D83" s="140"/>
      <c r="E83" s="140"/>
      <c r="F83" s="140"/>
      <c r="G83" s="140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customFormat="false" ht="19.5" hidden="false" customHeight="true" outlineLevel="0" collapsed="false">
      <c r="A84" s="140"/>
      <c r="B84" s="140"/>
      <c r="C84" s="140"/>
      <c r="D84" s="140"/>
      <c r="E84" s="140"/>
      <c r="F84" s="140"/>
      <c r="G84" s="140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customFormat="false" ht="19.5" hidden="false" customHeight="true" outlineLevel="0" collapsed="false">
      <c r="A85" s="140"/>
      <c r="B85" s="140"/>
      <c r="C85" s="140"/>
      <c r="D85" s="140"/>
      <c r="E85" s="140"/>
      <c r="F85" s="140"/>
      <c r="G85" s="140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customFormat="false" ht="19.5" hidden="false" customHeight="true" outlineLevel="0" collapsed="false">
      <c r="A86" s="140"/>
      <c r="B86" s="140"/>
      <c r="C86" s="140"/>
      <c r="D86" s="140"/>
      <c r="E86" s="140"/>
      <c r="F86" s="140"/>
      <c r="G86" s="140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customFormat="false" ht="19.5" hidden="false" customHeight="true" outlineLevel="0" collapsed="false">
      <c r="A87" s="140"/>
      <c r="B87" s="140"/>
      <c r="C87" s="140"/>
      <c r="D87" s="140"/>
      <c r="E87" s="140"/>
      <c r="F87" s="140"/>
      <c r="G87" s="140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customFormat="false" ht="19.5" hidden="false" customHeight="true" outlineLevel="0" collapsed="false">
      <c r="A88" s="140"/>
      <c r="B88" s="140"/>
      <c r="C88" s="140"/>
      <c r="D88" s="140"/>
      <c r="E88" s="140"/>
      <c r="F88" s="140"/>
      <c r="G88" s="140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customFormat="false" ht="19.5" hidden="false" customHeight="true" outlineLevel="0" collapsed="false">
      <c r="A89" s="140"/>
      <c r="B89" s="140"/>
      <c r="C89" s="140"/>
      <c r="D89" s="140"/>
      <c r="E89" s="140"/>
      <c r="F89" s="140"/>
      <c r="G89" s="140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customFormat="false" ht="19.5" hidden="false" customHeight="true" outlineLevel="0" collapsed="false">
      <c r="A90" s="140"/>
      <c r="B90" s="140"/>
      <c r="C90" s="140"/>
      <c r="D90" s="140"/>
      <c r="E90" s="140"/>
      <c r="F90" s="140"/>
      <c r="G90" s="140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customFormat="false" ht="19.5" hidden="false" customHeight="true" outlineLevel="0" collapsed="false">
      <c r="A91" s="140"/>
      <c r="B91" s="140"/>
      <c r="C91" s="140"/>
      <c r="D91" s="140"/>
      <c r="E91" s="140"/>
      <c r="F91" s="140"/>
      <c r="G91" s="140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customFormat="false" ht="19.5" hidden="false" customHeight="true" outlineLevel="0" collapsed="false">
      <c r="A92" s="140"/>
      <c r="B92" s="140"/>
      <c r="C92" s="140"/>
      <c r="D92" s="140"/>
      <c r="E92" s="140"/>
      <c r="F92" s="140"/>
      <c r="G92" s="140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customFormat="false" ht="19.5" hidden="false" customHeight="true" outlineLevel="0" collapsed="false">
      <c r="A93" s="140"/>
      <c r="B93" s="140"/>
      <c r="C93" s="140"/>
      <c r="D93" s="140"/>
      <c r="E93" s="140"/>
      <c r="F93" s="140"/>
      <c r="G93" s="140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customFormat="false" ht="19.5" hidden="false" customHeight="true" outlineLevel="0" collapsed="false">
      <c r="A94" s="140"/>
      <c r="B94" s="140"/>
      <c r="C94" s="140"/>
      <c r="D94" s="140"/>
      <c r="E94" s="140"/>
      <c r="F94" s="140"/>
      <c r="G94" s="140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customFormat="false" ht="19.5" hidden="false" customHeight="true" outlineLevel="0" collapsed="false">
      <c r="A95" s="140"/>
      <c r="B95" s="140"/>
      <c r="C95" s="140"/>
      <c r="D95" s="140"/>
      <c r="E95" s="140"/>
      <c r="F95" s="140"/>
      <c r="G95" s="140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customFormat="false" ht="19.5" hidden="false" customHeight="true" outlineLevel="0" collapsed="false">
      <c r="A96" s="140"/>
      <c r="B96" s="140"/>
      <c r="C96" s="140"/>
      <c r="D96" s="140"/>
      <c r="E96" s="140"/>
      <c r="F96" s="140"/>
      <c r="G96" s="140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customFormat="false" ht="19.5" hidden="false" customHeight="true" outlineLevel="0" collapsed="false">
      <c r="A97" s="140"/>
      <c r="B97" s="140"/>
      <c r="C97" s="140"/>
      <c r="D97" s="140"/>
      <c r="E97" s="140"/>
      <c r="F97" s="140"/>
      <c r="G97" s="140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customFormat="false" ht="19.5" hidden="false" customHeight="true" outlineLevel="0" collapsed="false">
      <c r="A98" s="140"/>
      <c r="B98" s="140"/>
      <c r="C98" s="140"/>
      <c r="D98" s="140"/>
      <c r="E98" s="140"/>
      <c r="F98" s="140"/>
      <c r="G98" s="140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customFormat="false" ht="19.5" hidden="false" customHeight="true" outlineLevel="0" collapsed="false">
      <c r="A99" s="140"/>
      <c r="B99" s="140"/>
      <c r="C99" s="140"/>
      <c r="D99" s="140"/>
      <c r="E99" s="140"/>
      <c r="F99" s="140"/>
      <c r="G99" s="140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customFormat="false" ht="19.5" hidden="false" customHeight="true" outlineLevel="0" collapsed="false">
      <c r="A100" s="140"/>
      <c r="B100" s="140"/>
      <c r="C100" s="140"/>
      <c r="D100" s="140"/>
      <c r="E100" s="140"/>
      <c r="F100" s="140"/>
      <c r="G100" s="140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customFormat="false" ht="19.5" hidden="false" customHeight="true" outlineLevel="0" collapsed="false">
      <c r="A101" s="140"/>
      <c r="B101" s="140"/>
      <c r="C101" s="140"/>
      <c r="D101" s="140"/>
      <c r="E101" s="140"/>
      <c r="F101" s="140"/>
      <c r="G101" s="140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customFormat="false" ht="19.5" hidden="false" customHeight="true" outlineLevel="0" collapsed="false">
      <c r="A102" s="140"/>
      <c r="B102" s="140"/>
      <c r="C102" s="140"/>
      <c r="D102" s="140"/>
      <c r="E102" s="140"/>
      <c r="F102" s="140"/>
      <c r="G102" s="140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customFormat="false" ht="19.5" hidden="false" customHeight="true" outlineLevel="0" collapsed="false">
      <c r="A103" s="140"/>
      <c r="B103" s="140"/>
      <c r="C103" s="140"/>
      <c r="D103" s="140"/>
      <c r="E103" s="140"/>
      <c r="F103" s="140"/>
      <c r="G103" s="140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customFormat="false" ht="19.5" hidden="false" customHeight="true" outlineLevel="0" collapsed="false">
      <c r="A104" s="140"/>
      <c r="B104" s="140"/>
      <c r="C104" s="140"/>
      <c r="D104" s="140"/>
      <c r="E104" s="140"/>
      <c r="F104" s="140"/>
      <c r="G104" s="140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customFormat="false" ht="19.5" hidden="false" customHeight="true" outlineLevel="0" collapsed="false">
      <c r="A105" s="140"/>
      <c r="B105" s="140"/>
      <c r="C105" s="140"/>
      <c r="D105" s="140"/>
      <c r="E105" s="140"/>
      <c r="F105" s="140"/>
      <c r="G105" s="140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customFormat="false" ht="19.5" hidden="false" customHeight="true" outlineLevel="0" collapsed="false">
      <c r="A106" s="140"/>
      <c r="B106" s="140"/>
      <c r="C106" s="140"/>
      <c r="D106" s="140"/>
      <c r="E106" s="140"/>
      <c r="F106" s="140"/>
      <c r="G106" s="140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customFormat="false" ht="19.5" hidden="false" customHeight="true" outlineLevel="0" collapsed="false">
      <c r="A107" s="140"/>
      <c r="B107" s="140"/>
      <c r="C107" s="140"/>
      <c r="D107" s="140"/>
      <c r="E107" s="140"/>
      <c r="F107" s="140"/>
      <c r="G107" s="140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customFormat="false" ht="19.5" hidden="false" customHeight="true" outlineLevel="0" collapsed="false">
      <c r="A108" s="140"/>
      <c r="B108" s="140"/>
      <c r="C108" s="140"/>
      <c r="D108" s="140"/>
      <c r="E108" s="140"/>
      <c r="F108" s="140"/>
      <c r="G108" s="140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customFormat="false" ht="19.5" hidden="false" customHeight="true" outlineLevel="0" collapsed="false">
      <c r="A109" s="140"/>
      <c r="B109" s="140"/>
      <c r="C109" s="140"/>
      <c r="D109" s="140"/>
      <c r="E109" s="140"/>
      <c r="F109" s="140"/>
      <c r="G109" s="140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customFormat="false" ht="19.5" hidden="false" customHeight="true" outlineLevel="0" collapsed="false">
      <c r="A110" s="140"/>
      <c r="B110" s="140"/>
      <c r="C110" s="140"/>
      <c r="D110" s="140"/>
      <c r="E110" s="140"/>
      <c r="F110" s="140"/>
      <c r="G110" s="140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customFormat="false" ht="19.5" hidden="false" customHeight="true" outlineLevel="0" collapsed="false">
      <c r="A111" s="140"/>
      <c r="B111" s="140"/>
      <c r="C111" s="140"/>
      <c r="D111" s="140"/>
      <c r="E111" s="140"/>
      <c r="F111" s="140"/>
      <c r="G111" s="140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customFormat="false" ht="19.5" hidden="false" customHeight="true" outlineLevel="0" collapsed="false">
      <c r="A112" s="140"/>
      <c r="B112" s="140"/>
      <c r="C112" s="140"/>
      <c r="D112" s="140"/>
      <c r="E112" s="140"/>
      <c r="F112" s="140"/>
      <c r="G112" s="140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customFormat="false" ht="19.5" hidden="false" customHeight="true" outlineLevel="0" collapsed="false">
      <c r="A113" s="140"/>
      <c r="B113" s="140"/>
      <c r="C113" s="140"/>
      <c r="D113" s="140"/>
      <c r="E113" s="140"/>
      <c r="F113" s="140"/>
      <c r="G113" s="140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customFormat="false" ht="19.5" hidden="false" customHeight="true" outlineLevel="0" collapsed="false">
      <c r="A114" s="140"/>
      <c r="B114" s="140"/>
      <c r="C114" s="140"/>
      <c r="D114" s="140"/>
      <c r="E114" s="140"/>
      <c r="F114" s="140"/>
      <c r="G114" s="140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customFormat="false" ht="19.5" hidden="false" customHeight="true" outlineLevel="0" collapsed="false">
      <c r="A115" s="140"/>
      <c r="B115" s="140"/>
      <c r="C115" s="140"/>
      <c r="D115" s="140"/>
      <c r="E115" s="140"/>
      <c r="F115" s="140"/>
      <c r="G115" s="140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customFormat="false" ht="19.5" hidden="false" customHeight="true" outlineLevel="0" collapsed="false">
      <c r="A116" s="140"/>
      <c r="B116" s="140"/>
      <c r="C116" s="140"/>
      <c r="D116" s="140"/>
      <c r="E116" s="140"/>
      <c r="F116" s="140"/>
      <c r="G116" s="140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customFormat="false" ht="19.5" hidden="false" customHeight="true" outlineLevel="0" collapsed="false">
      <c r="A117" s="140"/>
      <c r="B117" s="140"/>
      <c r="C117" s="140"/>
      <c r="D117" s="140"/>
      <c r="E117" s="140"/>
      <c r="F117" s="140"/>
      <c r="G117" s="140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customFormat="false" ht="19.5" hidden="false" customHeight="true" outlineLevel="0" collapsed="false">
      <c r="A118" s="140"/>
      <c r="B118" s="140"/>
      <c r="C118" s="140"/>
      <c r="D118" s="140"/>
      <c r="E118" s="140"/>
      <c r="F118" s="140"/>
      <c r="G118" s="140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customFormat="false" ht="19.5" hidden="false" customHeight="true" outlineLevel="0" collapsed="false">
      <c r="A119" s="140"/>
      <c r="B119" s="140"/>
      <c r="C119" s="140"/>
      <c r="D119" s="140"/>
      <c r="E119" s="140"/>
      <c r="F119" s="140"/>
      <c r="G119" s="140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customFormat="false" ht="19.5" hidden="false" customHeight="true" outlineLevel="0" collapsed="false">
      <c r="A120" s="140"/>
      <c r="B120" s="140"/>
      <c r="C120" s="140"/>
      <c r="D120" s="140"/>
      <c r="E120" s="140"/>
      <c r="F120" s="140"/>
      <c r="G120" s="140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customFormat="false" ht="19.5" hidden="false" customHeight="true" outlineLevel="0" collapsed="false">
      <c r="A121" s="140"/>
      <c r="B121" s="140"/>
      <c r="C121" s="140"/>
      <c r="D121" s="140"/>
      <c r="E121" s="140"/>
      <c r="F121" s="140"/>
      <c r="G121" s="140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customFormat="false" ht="19.5" hidden="false" customHeight="true" outlineLevel="0" collapsed="false">
      <c r="A122" s="140"/>
      <c r="B122" s="140"/>
      <c r="C122" s="140"/>
      <c r="D122" s="140"/>
      <c r="E122" s="140"/>
      <c r="F122" s="140"/>
      <c r="G122" s="140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customFormat="false" ht="19.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customFormat="false" ht="19.5" hidden="false" customHeight="true" outlineLevel="0" collapsed="false">
      <c r="A124" s="140"/>
      <c r="B124" s="140"/>
      <c r="C124" s="140"/>
      <c r="D124" s="140"/>
      <c r="E124" s="140"/>
      <c r="F124" s="140"/>
      <c r="G124" s="140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customFormat="false" ht="19.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customFormat="false" ht="19.5" hidden="false" customHeight="true" outlineLevel="0" collapsed="false">
      <c r="A126" s="140"/>
      <c r="B126" s="140"/>
      <c r="C126" s="140"/>
      <c r="D126" s="140"/>
      <c r="E126" s="140"/>
      <c r="F126" s="140"/>
      <c r="G126" s="140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customFormat="false" ht="19.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customFormat="false" ht="19.5" hidden="false" customHeight="true" outlineLevel="0" collapsed="false">
      <c r="A128" s="140"/>
      <c r="B128" s="140"/>
      <c r="C128" s="140"/>
      <c r="D128" s="140"/>
      <c r="E128" s="140"/>
      <c r="F128" s="140"/>
      <c r="G128" s="140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customFormat="false" ht="19.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customFormat="false" ht="19.5" hidden="false" customHeight="true" outlineLevel="0" collapsed="false">
      <c r="A130" s="140"/>
      <c r="B130" s="140"/>
      <c r="C130" s="140"/>
      <c r="D130" s="140"/>
      <c r="E130" s="140"/>
      <c r="F130" s="140"/>
      <c r="G130" s="140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customFormat="false" ht="19.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customFormat="false" ht="19.5" hidden="false" customHeight="true" outlineLevel="0" collapsed="false">
      <c r="A132" s="140"/>
      <c r="B132" s="140"/>
      <c r="C132" s="140"/>
      <c r="D132" s="140"/>
      <c r="E132" s="140"/>
      <c r="F132" s="140"/>
      <c r="G132" s="140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customFormat="false" ht="19.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customFormat="false" ht="19.5" hidden="false" customHeight="true" outlineLevel="0" collapsed="false">
      <c r="A134" s="140"/>
      <c r="B134" s="140"/>
      <c r="C134" s="140"/>
      <c r="D134" s="140"/>
      <c r="E134" s="140"/>
      <c r="F134" s="140"/>
      <c r="G134" s="140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customFormat="false" ht="19.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customFormat="false" ht="19.5" hidden="false" customHeight="true" outlineLevel="0" collapsed="false">
      <c r="A136" s="140"/>
      <c r="B136" s="140"/>
      <c r="C136" s="140"/>
      <c r="D136" s="140"/>
      <c r="E136" s="140"/>
      <c r="F136" s="140"/>
      <c r="G136" s="140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customFormat="false" ht="19.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customFormat="false" ht="19.5" hidden="false" customHeight="true" outlineLevel="0" collapsed="false">
      <c r="A138" s="140"/>
      <c r="B138" s="140"/>
      <c r="C138" s="140"/>
      <c r="D138" s="140"/>
      <c r="E138" s="140"/>
      <c r="F138" s="140"/>
      <c r="G138" s="140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customFormat="false" ht="19.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customFormat="false" ht="19.5" hidden="false" customHeight="true" outlineLevel="0" collapsed="false">
      <c r="A140" s="140"/>
      <c r="B140" s="140"/>
      <c r="C140" s="140"/>
      <c r="D140" s="140"/>
      <c r="E140" s="140"/>
      <c r="F140" s="140"/>
      <c r="G140" s="140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customFormat="false" ht="19.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customFormat="false" ht="19.5" hidden="false" customHeight="true" outlineLevel="0" collapsed="false">
      <c r="A142" s="140"/>
      <c r="B142" s="140"/>
      <c r="C142" s="140"/>
      <c r="D142" s="140"/>
      <c r="E142" s="140"/>
      <c r="F142" s="140"/>
      <c r="G142" s="140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customFormat="false" ht="19.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customFormat="false" ht="19.5" hidden="false" customHeight="true" outlineLevel="0" collapsed="false">
      <c r="A144" s="140"/>
      <c r="B144" s="140"/>
      <c r="C144" s="140"/>
      <c r="D144" s="140"/>
      <c r="E144" s="140"/>
      <c r="F144" s="140"/>
      <c r="G144" s="140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customFormat="false" ht="19.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customFormat="false" ht="19.5" hidden="false" customHeight="true" outlineLevel="0" collapsed="false">
      <c r="A146" s="140"/>
      <c r="B146" s="140"/>
      <c r="C146" s="140"/>
      <c r="D146" s="140"/>
      <c r="E146" s="140"/>
      <c r="F146" s="140"/>
      <c r="G146" s="140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customFormat="false" ht="19.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customFormat="false" ht="19.5" hidden="false" customHeight="true" outlineLevel="0" collapsed="false">
      <c r="A148" s="140"/>
      <c r="B148" s="140"/>
      <c r="C148" s="140"/>
      <c r="D148" s="140"/>
      <c r="E148" s="140"/>
      <c r="F148" s="140"/>
      <c r="G148" s="140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customFormat="false" ht="19.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customFormat="false" ht="19.5" hidden="false" customHeight="true" outlineLevel="0" collapsed="false">
      <c r="A150" s="140"/>
      <c r="B150" s="140"/>
      <c r="C150" s="140"/>
      <c r="D150" s="140"/>
      <c r="E150" s="140"/>
      <c r="F150" s="140"/>
      <c r="G150" s="140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customFormat="false" ht="19.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customFormat="false" ht="19.5" hidden="false" customHeight="true" outlineLevel="0" collapsed="false">
      <c r="A152" s="140"/>
      <c r="B152" s="140"/>
      <c r="C152" s="140"/>
      <c r="D152" s="140"/>
      <c r="E152" s="140"/>
      <c r="F152" s="140"/>
      <c r="G152" s="140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customFormat="false" ht="19.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customFormat="false" ht="19.5" hidden="false" customHeight="true" outlineLevel="0" collapsed="false">
      <c r="A154" s="140"/>
      <c r="B154" s="140"/>
      <c r="C154" s="140"/>
      <c r="D154" s="140"/>
      <c r="E154" s="140"/>
      <c r="F154" s="140"/>
      <c r="G154" s="140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customFormat="false" ht="19.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customFormat="false" ht="19.5" hidden="false" customHeight="true" outlineLevel="0" collapsed="false">
      <c r="A156" s="140"/>
      <c r="B156" s="140"/>
      <c r="C156" s="140"/>
      <c r="D156" s="140"/>
      <c r="E156" s="140"/>
      <c r="F156" s="140"/>
      <c r="G156" s="140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customFormat="false" ht="19.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customFormat="false" ht="19.5" hidden="false" customHeight="true" outlineLevel="0" collapsed="false">
      <c r="A158" s="140"/>
      <c r="B158" s="140"/>
      <c r="C158" s="140"/>
      <c r="D158" s="140"/>
      <c r="E158" s="140"/>
      <c r="F158" s="140"/>
      <c r="G158" s="140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customFormat="false" ht="19.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customFormat="false" ht="19.5" hidden="false" customHeight="true" outlineLevel="0" collapsed="false">
      <c r="A160" s="140"/>
      <c r="B160" s="140"/>
      <c r="C160" s="140"/>
      <c r="D160" s="140"/>
      <c r="E160" s="140"/>
      <c r="F160" s="140"/>
      <c r="G160" s="140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customFormat="false" ht="19.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customFormat="false" ht="19.5" hidden="false" customHeight="true" outlineLevel="0" collapsed="false">
      <c r="A162" s="140"/>
      <c r="B162" s="140"/>
      <c r="C162" s="140"/>
      <c r="D162" s="140"/>
      <c r="E162" s="140"/>
      <c r="F162" s="140"/>
      <c r="G162" s="140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customFormat="false" ht="19.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customFormat="false" ht="19.5" hidden="false" customHeight="true" outlineLevel="0" collapsed="false">
      <c r="A164" s="140"/>
      <c r="B164" s="140"/>
      <c r="C164" s="140"/>
      <c r="D164" s="140"/>
      <c r="E164" s="140"/>
      <c r="F164" s="140"/>
      <c r="G164" s="140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customFormat="false" ht="19.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customFormat="false" ht="19.5" hidden="false" customHeight="true" outlineLevel="0" collapsed="false">
      <c r="A166" s="140"/>
      <c r="B166" s="140"/>
      <c r="C166" s="140"/>
      <c r="D166" s="140"/>
      <c r="E166" s="140"/>
      <c r="F166" s="140"/>
      <c r="G166" s="140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customFormat="false" ht="19.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customFormat="false" ht="19.5" hidden="false" customHeight="true" outlineLevel="0" collapsed="false">
      <c r="A168" s="140"/>
      <c r="B168" s="140"/>
      <c r="C168" s="140"/>
      <c r="D168" s="140"/>
      <c r="E168" s="140"/>
      <c r="F168" s="140"/>
      <c r="G168" s="140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customFormat="false" ht="19.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customFormat="false" ht="19.5" hidden="false" customHeight="true" outlineLevel="0" collapsed="false">
      <c r="A170" s="140"/>
      <c r="B170" s="140"/>
      <c r="C170" s="140"/>
      <c r="D170" s="140"/>
      <c r="E170" s="140"/>
      <c r="F170" s="140"/>
      <c r="G170" s="140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customFormat="false" ht="19.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customFormat="false" ht="19.5" hidden="false" customHeight="true" outlineLevel="0" collapsed="false">
      <c r="A172" s="140"/>
      <c r="B172" s="140"/>
      <c r="C172" s="140"/>
      <c r="D172" s="140"/>
      <c r="E172" s="140"/>
      <c r="F172" s="140"/>
      <c r="G172" s="140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customFormat="false" ht="19.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customFormat="false" ht="19.5" hidden="false" customHeight="true" outlineLevel="0" collapsed="false">
      <c r="A174" s="140"/>
      <c r="B174" s="140"/>
      <c r="C174" s="140"/>
      <c r="D174" s="140"/>
      <c r="E174" s="140"/>
      <c r="F174" s="140"/>
      <c r="G174" s="140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customFormat="false" ht="19.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customFormat="false" ht="19.5" hidden="false" customHeight="true" outlineLevel="0" collapsed="false">
      <c r="A176" s="140"/>
      <c r="B176" s="140"/>
      <c r="C176" s="140"/>
      <c r="D176" s="140"/>
      <c r="E176" s="140"/>
      <c r="F176" s="140"/>
      <c r="G176" s="140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customFormat="false" ht="19.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customFormat="false" ht="19.5" hidden="false" customHeight="true" outlineLevel="0" collapsed="false">
      <c r="A178" s="140"/>
      <c r="B178" s="140"/>
      <c r="C178" s="140"/>
      <c r="D178" s="140"/>
      <c r="E178" s="140"/>
      <c r="F178" s="140"/>
      <c r="G178" s="140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customFormat="false" ht="19.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customFormat="false" ht="19.5" hidden="false" customHeight="true" outlineLevel="0" collapsed="false">
      <c r="A180" s="140"/>
      <c r="B180" s="140"/>
      <c r="C180" s="140"/>
      <c r="D180" s="140"/>
      <c r="E180" s="140"/>
      <c r="F180" s="140"/>
      <c r="G180" s="140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customFormat="false" ht="19.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customFormat="false" ht="19.5" hidden="false" customHeight="true" outlineLevel="0" collapsed="false">
      <c r="A182" s="140"/>
      <c r="B182" s="140"/>
      <c r="C182" s="140"/>
      <c r="D182" s="140"/>
      <c r="E182" s="140"/>
      <c r="F182" s="140"/>
      <c r="G182" s="140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customFormat="false" ht="19.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customFormat="false" ht="19.5" hidden="false" customHeight="true" outlineLevel="0" collapsed="false">
      <c r="A184" s="140"/>
      <c r="B184" s="140"/>
      <c r="C184" s="140"/>
      <c r="D184" s="140"/>
      <c r="E184" s="140"/>
      <c r="F184" s="140"/>
      <c r="G184" s="140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customFormat="false" ht="19.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customFormat="false" ht="19.5" hidden="false" customHeight="true" outlineLevel="0" collapsed="false">
      <c r="A186" s="140"/>
      <c r="B186" s="140"/>
      <c r="C186" s="140"/>
      <c r="D186" s="140"/>
      <c r="E186" s="140"/>
      <c r="F186" s="140"/>
      <c r="G186" s="140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customFormat="false" ht="19.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customFormat="false" ht="19.5" hidden="false" customHeight="true" outlineLevel="0" collapsed="false">
      <c r="A188" s="140"/>
      <c r="B188" s="140"/>
      <c r="C188" s="140"/>
      <c r="D188" s="140"/>
      <c r="E188" s="140"/>
      <c r="F188" s="140"/>
      <c r="G188" s="140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customFormat="false" ht="19.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customFormat="false" ht="19.5" hidden="false" customHeight="true" outlineLevel="0" collapsed="false">
      <c r="A190" s="140"/>
      <c r="B190" s="140"/>
      <c r="C190" s="140"/>
      <c r="D190" s="140"/>
      <c r="E190" s="140"/>
      <c r="F190" s="140"/>
      <c r="G190" s="140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customFormat="false" ht="19.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customFormat="false" ht="19.5" hidden="false" customHeight="true" outlineLevel="0" collapsed="false">
      <c r="A192" s="140"/>
      <c r="B192" s="140"/>
      <c r="C192" s="140"/>
      <c r="D192" s="140"/>
      <c r="E192" s="140"/>
      <c r="F192" s="140"/>
      <c r="G192" s="140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customFormat="false" ht="19.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customFormat="false" ht="19.5" hidden="false" customHeight="true" outlineLevel="0" collapsed="false">
      <c r="A194" s="140"/>
      <c r="B194" s="140"/>
      <c r="C194" s="140"/>
      <c r="D194" s="140"/>
      <c r="E194" s="140"/>
      <c r="F194" s="140"/>
      <c r="G194" s="140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customFormat="false" ht="19.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customFormat="false" ht="19.5" hidden="false" customHeight="true" outlineLevel="0" collapsed="false">
      <c r="A196" s="140"/>
      <c r="B196" s="140"/>
      <c r="C196" s="140"/>
      <c r="D196" s="140"/>
      <c r="E196" s="140"/>
      <c r="F196" s="140"/>
      <c r="G196" s="140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customFormat="false" ht="19.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customFormat="false" ht="19.5" hidden="false" customHeight="true" outlineLevel="0" collapsed="false">
      <c r="A198" s="140"/>
      <c r="B198" s="140"/>
      <c r="C198" s="140"/>
      <c r="D198" s="140"/>
      <c r="E198" s="140"/>
      <c r="F198" s="140"/>
      <c r="G198" s="140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customFormat="false" ht="19.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customFormat="false" ht="19.5" hidden="false" customHeight="true" outlineLevel="0" collapsed="false">
      <c r="A200" s="140"/>
      <c r="B200" s="140"/>
      <c r="C200" s="140"/>
      <c r="D200" s="140"/>
      <c r="E200" s="140"/>
      <c r="F200" s="140"/>
      <c r="G200" s="140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2026-05-28T06:22:05Z</dcterms:created>
  <dc:creator>GOP / 3ª CRE — SME-RJ</dc:creator>
  <dc:description/>
  <dc:language>en-US</dc:language>
  <cp:lastModifiedBy>GOP / 3ª CRE — SME-RJ</cp:lastModifiedBy>
  <dcterms:modified xsi:type="dcterms:W3CDTF">2026-05-29T05:23:09Z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